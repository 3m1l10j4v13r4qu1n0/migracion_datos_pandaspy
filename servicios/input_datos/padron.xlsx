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Personales" sheetId="1" r:id="rId4"/>
    <sheet state="visible" name="DatosLaborales" sheetId="2" r:id="rId5"/>
    <sheet state="visible" name="fichas_pdf" sheetId="3" r:id="rId6"/>
    <sheet state="visible" name="Hoja 11" sheetId="4" r:id="rId7"/>
    <sheet state="visible" name="aux_BD_Delegados" sheetId="5" r:id="rId8"/>
    <sheet state="visible" name="conyuges" sheetId="6" r:id="rId9"/>
    <sheet state="visible" name="padron_prevecion" sheetId="7" r:id="rId10"/>
    <sheet state="visible" name="Hoja 13" sheetId="8" r:id="rId11"/>
    <sheet state="visible" name="Hoja 7" sheetId="9" r:id="rId12"/>
    <sheet state="visible" name="Hoja 10" sheetId="10" r:id="rId13"/>
    <sheet state="visible" name="grupo_whatsapp" sheetId="11" r:id="rId14"/>
    <sheet state="visible" name="No_Datos_GrWha" sheetId="12" r:id="rId15"/>
    <sheet state="visible" name="hijos" sheetId="13" r:id="rId16"/>
    <sheet state="visible" name="Hoja 14" sheetId="14" r:id="rId17"/>
  </sheets>
  <definedNames>
    <definedName name="I2xL166">#REF!</definedName>
    <definedName name="Q2.Q222">padron_prevecion!$Q$222</definedName>
    <definedName hidden="1" localSheetId="0" name="_xlnm._FilterDatabase">DatosPersonales!$A$1:$P$196</definedName>
    <definedName hidden="1" localSheetId="1" name="_xlnm._FilterDatabase">DatosLaborales!$A$1:$Q$207</definedName>
    <definedName hidden="1" localSheetId="5" name="_xlnm._FilterDatabase">conyuges!$A$1:$E$225</definedName>
    <definedName hidden="1" localSheetId="6" name="_xlnm._FilterDatabase">padron_prevecion!$A$1:$V$227</definedName>
    <definedName hidden="1" localSheetId="9" name="_xlnm._FilterDatabase">'Hoja 10'!$A$1:$D$184</definedName>
    <definedName hidden="1" localSheetId="10" name="_xlnm._FilterDatabase">grupo_whatsapp!$A$1:$G$306</definedName>
    <definedName hidden="1" localSheetId="11" name="_xlnm._FilterDatabase">No_Datos_GrWha!$A$1:$B$999</definedName>
    <definedName hidden="1" localSheetId="12" name="_xlnm._FilterDatabase">hijos!$A$1:$L$159</definedName>
  </definedNames>
  <calcPr/>
</workbook>
</file>

<file path=xl/sharedStrings.xml><?xml version="1.0" encoding="utf-8"?>
<sst xmlns="http://schemas.openxmlformats.org/spreadsheetml/2006/main" count="6105" uniqueCount="1732">
  <si>
    <t>id:</t>
  </si>
  <si>
    <t>Apellido:</t>
  </si>
  <si>
    <t>Nombre</t>
  </si>
  <si>
    <t>D.n.i:</t>
  </si>
  <si>
    <t>Nacionalidad:</t>
  </si>
  <si>
    <t>Género:</t>
  </si>
  <si>
    <t>Domicilio (Calle y n°):</t>
  </si>
  <si>
    <t>Cod. Postal:</t>
  </si>
  <si>
    <t>Provincia:</t>
  </si>
  <si>
    <t>Estudios:</t>
  </si>
  <si>
    <t>Titulo / Carrera:</t>
  </si>
  <si>
    <t>Estado Civil:</t>
  </si>
  <si>
    <t>Localidad:</t>
  </si>
  <si>
    <t>E-Mail:</t>
  </si>
  <si>
    <t>Tel. Contacto:</t>
  </si>
  <si>
    <t>Fecha Nacimiento:</t>
  </si>
  <si>
    <t>battafarano</t>
  </si>
  <si>
    <t xml:space="preserve"> amelia andrea</t>
  </si>
  <si>
    <t/>
  </si>
  <si>
    <t>andrius_1970@hotmail.com</t>
  </si>
  <si>
    <t>arroyo</t>
  </si>
  <si>
    <t>elizabeth beatriz</t>
  </si>
  <si>
    <t xml:space="preserve">elizabeth_arroyo25@hotmail.com </t>
  </si>
  <si>
    <t>aranda</t>
  </si>
  <si>
    <t>natalia veronica</t>
  </si>
  <si>
    <t>argentina</t>
  </si>
  <si>
    <t>femenino</t>
  </si>
  <si>
    <t>pola 2952</t>
  </si>
  <si>
    <t>bsas</t>
  </si>
  <si>
    <t>terciario</t>
  </si>
  <si>
    <t>tecnica radiologa</t>
  </si>
  <si>
    <t>casada</t>
  </si>
  <si>
    <t>caba</t>
  </si>
  <si>
    <t>aranda_natalia@hotmail.com.ar</t>
  </si>
  <si>
    <t>amaya</t>
  </si>
  <si>
    <t>mariela cecilia</t>
  </si>
  <si>
    <t>el hornero 403</t>
  </si>
  <si>
    <t>secundario</t>
  </si>
  <si>
    <t>bachiller contable</t>
  </si>
  <si>
    <t>divociada</t>
  </si>
  <si>
    <t>marielaceciliaamaya@hotmail.com</t>
  </si>
  <si>
    <t>erika elizabeth</t>
  </si>
  <si>
    <t>alegre</t>
  </si>
  <si>
    <t>daniela</t>
  </si>
  <si>
    <t>danielaoriana68@gmail.com</t>
  </si>
  <si>
    <t>ale</t>
  </si>
  <si>
    <t>micaela ayelen</t>
  </si>
  <si>
    <t>micaale40@gmail.com</t>
  </si>
  <si>
    <t>albornoz</t>
  </si>
  <si>
    <t>victor omar</t>
  </si>
  <si>
    <t>albornoz78victor@gmail.com</t>
  </si>
  <si>
    <t>acosta</t>
  </si>
  <si>
    <t>belen teresa</t>
  </si>
  <si>
    <t>belenmilena1311@hotmail.com</t>
  </si>
  <si>
    <t>romero</t>
  </si>
  <si>
    <t>irina</t>
  </si>
  <si>
    <t>terciario en estraccion</t>
  </si>
  <si>
    <t>soltera</t>
  </si>
  <si>
    <t>romeroirinauma19@gmail.com</t>
  </si>
  <si>
    <t>ruiz</t>
  </si>
  <si>
    <t>pablo nahuel</t>
  </si>
  <si>
    <t>argentino</t>
  </si>
  <si>
    <t>masculino</t>
  </si>
  <si>
    <t>las calas 780</t>
  </si>
  <si>
    <t>soltero</t>
  </si>
  <si>
    <t>ciudad evita</t>
  </si>
  <si>
    <t>nahuelruiz009@gmail.com</t>
  </si>
  <si>
    <t>felipe lima</t>
  </si>
  <si>
    <t>aidee deysi</t>
  </si>
  <si>
    <t>boliviana</t>
  </si>
  <si>
    <t>av. Castañares 4650</t>
  </si>
  <si>
    <t>sociologa social</t>
  </si>
  <si>
    <t>aideefelipe1977@gmail.com</t>
  </si>
  <si>
    <t>olaya piña</t>
  </si>
  <si>
    <t>laly del pilar</t>
  </si>
  <si>
    <t>paraguaya</t>
  </si>
  <si>
    <t>hernandarias</t>
  </si>
  <si>
    <t>basa</t>
  </si>
  <si>
    <t>universitario</t>
  </si>
  <si>
    <t>licenciado en seguridad publica</t>
  </si>
  <si>
    <t>polayalp39@gmail.com</t>
  </si>
  <si>
    <t>ferro rodriguez</t>
  </si>
  <si>
    <t>maria elena</t>
  </si>
  <si>
    <t>uruguaya</t>
  </si>
  <si>
    <t>fonrouge</t>
  </si>
  <si>
    <t>divorciada</t>
  </si>
  <si>
    <t>marielen1031@hotmail.com</t>
  </si>
  <si>
    <t>gutierrez quispe</t>
  </si>
  <si>
    <t>griselda</t>
  </si>
  <si>
    <t>villa 20</t>
  </si>
  <si>
    <t>chiiguisguty@gmain.com</t>
  </si>
  <si>
    <t>fernandez</t>
  </si>
  <si>
    <t>mariana</t>
  </si>
  <si>
    <t>galvan 3556</t>
  </si>
  <si>
    <t>psicologia(en curso)</t>
  </si>
  <si>
    <t>dugour</t>
  </si>
  <si>
    <t>cecilia paola</t>
  </si>
  <si>
    <t>femenina</t>
  </si>
  <si>
    <t>catrilo 546</t>
  </si>
  <si>
    <t>lomas del mirador</t>
  </si>
  <si>
    <t>lachechu.lachechu@gmail.com</t>
  </si>
  <si>
    <t>divito</t>
  </si>
  <si>
    <t>florencia belen</t>
  </si>
  <si>
    <t>11 de septiembre 545</t>
  </si>
  <si>
    <t>bachiller en ciencias sociales y humanidades</t>
  </si>
  <si>
    <t>ramos mejia</t>
  </si>
  <si>
    <t>floordivito@gmail.com</t>
  </si>
  <si>
    <t>guitierrez</t>
  </si>
  <si>
    <t>aylin silvia</t>
  </si>
  <si>
    <t>montiel 3912</t>
  </si>
  <si>
    <t>primario</t>
  </si>
  <si>
    <t>lugano</t>
  </si>
  <si>
    <t>aylingutierrez74@gmail.com</t>
  </si>
  <si>
    <t xml:space="preserve">alvarez </t>
  </si>
  <si>
    <t>miranda</t>
  </si>
  <si>
    <t>mariano acosta 3500</t>
  </si>
  <si>
    <t>bachiller en ciencias naturales</t>
  </si>
  <si>
    <t>villa soldati</t>
  </si>
  <si>
    <t>sabriialvarez06@gmail.com</t>
  </si>
  <si>
    <t>davico castañeira</t>
  </si>
  <si>
    <t>nazareno martin</t>
  </si>
  <si>
    <t>dellepiane 4540</t>
  </si>
  <si>
    <t>perito comercial</t>
  </si>
  <si>
    <t>capital federal</t>
  </si>
  <si>
    <t>nazareno.davico@live.com</t>
  </si>
  <si>
    <t xml:space="preserve">melgarejo </t>
  </si>
  <si>
    <t>viviana noemi</t>
  </si>
  <si>
    <t>alfredo palacios 4146</t>
  </si>
  <si>
    <t>bachiller</t>
  </si>
  <si>
    <t>melgarejovivi88@gmail.com</t>
  </si>
  <si>
    <t>nogueira</t>
  </si>
  <si>
    <t>diego marcelo</t>
  </si>
  <si>
    <t>san pedro 4751</t>
  </si>
  <si>
    <t>contable</t>
  </si>
  <si>
    <t>diegoluli21@gmail</t>
  </si>
  <si>
    <t>bonomo</t>
  </si>
  <si>
    <t>yamila maria</t>
  </si>
  <si>
    <t>jose e rodo 4387</t>
  </si>
  <si>
    <t>cursando abogacia</t>
  </si>
  <si>
    <t>separada</t>
  </si>
  <si>
    <t>yamilabonomo@hotmail.com</t>
  </si>
  <si>
    <t>herrera</t>
  </si>
  <si>
    <t>gaston</t>
  </si>
  <si>
    <t>roldan 2575</t>
  </si>
  <si>
    <t>casado</t>
  </si>
  <si>
    <t>gonzalez catan</t>
  </si>
  <si>
    <t>herreragas2021@gmail.com</t>
  </si>
  <si>
    <t>sinchicay</t>
  </si>
  <si>
    <t>nelida del valle</t>
  </si>
  <si>
    <t>carlos encina 4595</t>
  </si>
  <si>
    <t>bachiller en economia y gestion</t>
  </si>
  <si>
    <t>laferrere</t>
  </si>
  <si>
    <t>nelus872009@hotmail.com</t>
  </si>
  <si>
    <t>mariani</t>
  </si>
  <si>
    <t xml:space="preserve">melina giselle </t>
  </si>
  <si>
    <t>primera junta 5512</t>
  </si>
  <si>
    <t>melinamariani@hotmail.com</t>
  </si>
  <si>
    <t>melgarejo</t>
  </si>
  <si>
    <t>gabriela romina</t>
  </si>
  <si>
    <t>mz63 vores san javier</t>
  </si>
  <si>
    <t>virrey del pino</t>
  </si>
  <si>
    <t>gabielarominamelgarejo2@gmail</t>
  </si>
  <si>
    <t>silva borda</t>
  </si>
  <si>
    <t>nicolas rodrigo</t>
  </si>
  <si>
    <t>albareño 2811</t>
  </si>
  <si>
    <t>nikkoxeneixe@gmail.com</t>
  </si>
  <si>
    <t>gimenez</t>
  </si>
  <si>
    <t>monica susana</t>
  </si>
  <si>
    <t>arozarena</t>
  </si>
  <si>
    <t>psicopedagogia</t>
  </si>
  <si>
    <t>tapatiales</t>
  </si>
  <si>
    <t>moni_181275@hotmail.com</t>
  </si>
  <si>
    <t>jaime</t>
  </si>
  <si>
    <t>emilse solange</t>
  </si>
  <si>
    <t>remedios 5523 pb</t>
  </si>
  <si>
    <t>bachillerato comercial</t>
  </si>
  <si>
    <t>mataderos</t>
  </si>
  <si>
    <t>emilse_jaime@hotmail.com</t>
  </si>
  <si>
    <t>tuzes</t>
  </si>
  <si>
    <t>maria ester</t>
  </si>
  <si>
    <t>riogallegos 1895</t>
  </si>
  <si>
    <t>lomas de zamora</t>
  </si>
  <si>
    <t>martuzesesterm@gmail.com</t>
  </si>
  <si>
    <t>benittez</t>
  </si>
  <si>
    <t>mirian celeste</t>
  </si>
  <si>
    <t>paraguay</t>
  </si>
  <si>
    <t>viilla 15 n 26bis casa 13</t>
  </si>
  <si>
    <t>micebe2017@gmail.com</t>
  </si>
  <si>
    <t>aquino</t>
  </si>
  <si>
    <t>emilio javier</t>
  </si>
  <si>
    <t>calle 29 6266</t>
  </si>
  <si>
    <t>arte</t>
  </si>
  <si>
    <t>berazategui</t>
  </si>
  <si>
    <t>aquinoemiliojavier@gmail.com</t>
  </si>
  <si>
    <t>caballero reyna</t>
  </si>
  <si>
    <t xml:space="preserve"> manuel ignacio</t>
  </si>
  <si>
    <t>manucaballeroreyna2015@gmail.com</t>
  </si>
  <si>
    <t>cardozo</t>
  </si>
  <si>
    <t xml:space="preserve"> gladys mabel</t>
  </si>
  <si>
    <t>mabu21@gmail.com</t>
  </si>
  <si>
    <t>cipriano</t>
  </si>
  <si>
    <t xml:space="preserve"> facundo nicolas</t>
  </si>
  <si>
    <t>ciprianofacundonicolas@gmail.com</t>
  </si>
  <si>
    <t>corarelu</t>
  </si>
  <si>
    <t xml:space="preserve"> alejandra </t>
  </si>
  <si>
    <t>alejandracorarelu@hotmail.com</t>
  </si>
  <si>
    <t>coronel</t>
  </si>
  <si>
    <t xml:space="preserve"> alejandra noemi</t>
  </si>
  <si>
    <t>coronel.alejandra21n@gmail.com</t>
  </si>
  <si>
    <t>declavio</t>
  </si>
  <si>
    <t xml:space="preserve"> maría cristina</t>
  </si>
  <si>
    <t>Cristinadecla61@gmail .com</t>
  </si>
  <si>
    <t>delluniversidad</t>
  </si>
  <si>
    <t xml:space="preserve"> gabriela andrea</t>
  </si>
  <si>
    <t xml:space="preserve">gabanddell.gd@gmail.com </t>
  </si>
  <si>
    <t>diego</t>
  </si>
  <si>
    <t xml:space="preserve"> roxana claudia</t>
  </si>
  <si>
    <t>roxanadiego@yahoo.com.ar</t>
  </si>
  <si>
    <t>de como</t>
  </si>
  <si>
    <t xml:space="preserve"> daiana</t>
  </si>
  <si>
    <t xml:space="preserve">Daiana.decomo@gmail.com </t>
  </si>
  <si>
    <t>digangi</t>
  </si>
  <si>
    <t xml:space="preserve"> stella maris</t>
  </si>
  <si>
    <t>digangistella@gmail.com</t>
  </si>
  <si>
    <t>diosquez</t>
  </si>
  <si>
    <t xml:space="preserve"> sheila nahir</t>
  </si>
  <si>
    <t>sheiladiosquez98@gmail.com</t>
  </si>
  <si>
    <t>d' agostino</t>
  </si>
  <si>
    <t xml:space="preserve"> leandro</t>
  </si>
  <si>
    <t xml:space="preserve"> florencia soledad</t>
  </si>
  <si>
    <t>ferrari barcia</t>
  </si>
  <si>
    <t xml:space="preserve"> brenda belen</t>
  </si>
  <si>
    <t>brendaff92@hotmail.com</t>
  </si>
  <si>
    <t>flamenco</t>
  </si>
  <si>
    <t xml:space="preserve"> ludmila  rosalia</t>
  </si>
  <si>
    <t>flamencoludmila02@gmail.com</t>
  </si>
  <si>
    <t xml:space="preserve"> nazarena abril</t>
  </si>
  <si>
    <t>falucho san luis 5046</t>
  </si>
  <si>
    <t>figueroa</t>
  </si>
  <si>
    <t xml:space="preserve"> fernando </t>
  </si>
  <si>
    <t>ferfigueroa794@gmail.com</t>
  </si>
  <si>
    <t>garcia</t>
  </si>
  <si>
    <t xml:space="preserve"> maria belen</t>
  </si>
  <si>
    <t xml:space="preserve">argentina </t>
  </si>
  <si>
    <t>aguero 449</t>
  </si>
  <si>
    <t xml:space="preserve">bsas </t>
  </si>
  <si>
    <t>economia y gestion de las organizaciones</t>
  </si>
  <si>
    <t xml:space="preserve">soltera </t>
  </si>
  <si>
    <t>morón</t>
  </si>
  <si>
    <t>beeelgarcia@gmail.com</t>
  </si>
  <si>
    <t>galarza</t>
  </si>
  <si>
    <t xml:space="preserve"> wanda noemi</t>
  </si>
  <si>
    <t>galeano</t>
  </si>
  <si>
    <t xml:space="preserve"> carla antonella</t>
  </si>
  <si>
    <t>av. independencia 715 2p</t>
  </si>
  <si>
    <t>caa</t>
  </si>
  <si>
    <t>san telmo</t>
  </si>
  <si>
    <t>carlaagaleano@hotmail.com</t>
  </si>
  <si>
    <t>galian</t>
  </si>
  <si>
    <t xml:space="preserve"> daiana alejandra</t>
  </si>
  <si>
    <t>daianagalean.08@gmail.com</t>
  </si>
  <si>
    <t>geirola</t>
  </si>
  <si>
    <t xml:space="preserve"> tomas agustin</t>
  </si>
  <si>
    <t>gonzalez</t>
  </si>
  <si>
    <t xml:space="preserve"> agostina jessica</t>
  </si>
  <si>
    <t>agostina_kpa@hotmail.com</t>
  </si>
  <si>
    <t xml:space="preserve"> hernan francisco</t>
  </si>
  <si>
    <t>francisco78@gmail.com</t>
  </si>
  <si>
    <t>gonzalez churque</t>
  </si>
  <si>
    <t xml:space="preserve"> maria pilar</t>
  </si>
  <si>
    <t>pili.gonzalez.96@gmail.com</t>
  </si>
  <si>
    <t xml:space="preserve"> claudia </t>
  </si>
  <si>
    <t>2001brisasvale@gmail.com</t>
  </si>
  <si>
    <t xml:space="preserve"> ruth esther</t>
  </si>
  <si>
    <t>hermida</t>
  </si>
  <si>
    <t xml:space="preserve"> vanesa karina</t>
  </si>
  <si>
    <t>vankarher@gmail.com</t>
  </si>
  <si>
    <t>hidalgo</t>
  </si>
  <si>
    <t xml:space="preserve"> silvia roxana</t>
  </si>
  <si>
    <t xml:space="preserve">Silviahidalgo71@yahoo.com.ar </t>
  </si>
  <si>
    <t>ibañez</t>
  </si>
  <si>
    <t xml:space="preserve"> maria ines</t>
  </si>
  <si>
    <t>mariaines37@hotmail.com</t>
  </si>
  <si>
    <t>insfran gutierrez</t>
  </si>
  <si>
    <t xml:space="preserve"> johanna yanett </t>
  </si>
  <si>
    <t>johannainsfran@gmail.com</t>
  </si>
  <si>
    <t>irala</t>
  </si>
  <si>
    <t xml:space="preserve"> liz </t>
  </si>
  <si>
    <t>lizirala2604@gmail.com</t>
  </si>
  <si>
    <t>jofre</t>
  </si>
  <si>
    <t xml:space="preserve"> vivian</t>
  </si>
  <si>
    <t>jurado usabarrena</t>
  </si>
  <si>
    <t xml:space="preserve"> lourdes anabel</t>
  </si>
  <si>
    <t>lourdesjurado85@gmail.com</t>
  </si>
  <si>
    <t>kehoe</t>
  </si>
  <si>
    <t xml:space="preserve"> marianela</t>
  </si>
  <si>
    <t>Mariankehoe83@hotmail.com</t>
  </si>
  <si>
    <t>kim</t>
  </si>
  <si>
    <t xml:space="preserve"> sabrina leila</t>
  </si>
  <si>
    <t>skleila2001@hotmail.com</t>
  </si>
  <si>
    <t>larche</t>
  </si>
  <si>
    <t xml:space="preserve"> dario ezequiel </t>
  </si>
  <si>
    <t>dario_larche89@hotmail.com</t>
  </si>
  <si>
    <t>lenisa</t>
  </si>
  <si>
    <t xml:space="preserve"> nancy yanina</t>
  </si>
  <si>
    <t xml:space="preserve"> nancy210776@gmail.com</t>
  </si>
  <si>
    <t>linos</t>
  </si>
  <si>
    <t xml:space="preserve"> dolores del carmen</t>
  </si>
  <si>
    <t>doloreslinos0405@gmail.com</t>
  </si>
  <si>
    <t>lopez</t>
  </si>
  <si>
    <t xml:space="preserve"> daiana belen</t>
  </si>
  <si>
    <t>secundaria</t>
  </si>
  <si>
    <t>rafael castillo</t>
  </si>
  <si>
    <t xml:space="preserve"> gonzalo ezequiel</t>
  </si>
  <si>
    <t>gonzalocap@hotmail.com</t>
  </si>
  <si>
    <t xml:space="preserve"> julieta daiana </t>
  </si>
  <si>
    <t>lopezjulieta994@gmail.com</t>
  </si>
  <si>
    <t xml:space="preserve"> lilian elizabeth </t>
  </si>
  <si>
    <t>lilianqac@gmail.com</t>
  </si>
  <si>
    <t>mamani</t>
  </si>
  <si>
    <t xml:space="preserve"> ivan</t>
  </si>
  <si>
    <t>mansilla</t>
  </si>
  <si>
    <t xml:space="preserve"> fernando damian</t>
  </si>
  <si>
    <t>mfernandodamian@gmail.com</t>
  </si>
  <si>
    <t>martin</t>
  </si>
  <si>
    <t xml:space="preserve"> nicole</t>
  </si>
  <si>
    <t>nmmengual17@live.com</t>
  </si>
  <si>
    <t>martinez</t>
  </si>
  <si>
    <t xml:space="preserve"> raquel</t>
  </si>
  <si>
    <t>jesusteamo07@live.com.mx</t>
  </si>
  <si>
    <t xml:space="preserve"> debora alejandra</t>
  </si>
  <si>
    <t>av. rio de la plata</t>
  </si>
  <si>
    <t>bachiller en humanidades y cs. sociales</t>
  </si>
  <si>
    <t xml:space="preserve">separada </t>
  </si>
  <si>
    <t>debymaar@gmail.com</t>
  </si>
  <si>
    <t>medina</t>
  </si>
  <si>
    <t xml:space="preserve"> katerin julieta</t>
  </si>
  <si>
    <t>julmedi123@gmail.com</t>
  </si>
  <si>
    <t>mieres</t>
  </si>
  <si>
    <t xml:space="preserve"> florencia</t>
  </si>
  <si>
    <t>montiel</t>
  </si>
  <si>
    <t xml:space="preserve"> sergio agustín </t>
  </si>
  <si>
    <t>fa_osiris@hotmail.com</t>
  </si>
  <si>
    <t>monaco</t>
  </si>
  <si>
    <t xml:space="preserve"> agustina</t>
  </si>
  <si>
    <t>gra. naoleón uriburu 5803</t>
  </si>
  <si>
    <t>secundarios</t>
  </si>
  <si>
    <t>bachillerato</t>
  </si>
  <si>
    <t>agustinamonaco99@gmail.com</t>
  </si>
  <si>
    <t>montenegro</t>
  </si>
  <si>
    <t xml:space="preserve"> sandra beatriz</t>
  </si>
  <si>
    <t>montenegro-sandra@hotmail.com</t>
  </si>
  <si>
    <t>muscarelli</t>
  </si>
  <si>
    <t xml:space="preserve"> florencia sol</t>
  </si>
  <si>
    <t>fsm.91@hotmail.com</t>
  </si>
  <si>
    <t>nieva</t>
  </si>
  <si>
    <t xml:space="preserve"> alcira del valle</t>
  </si>
  <si>
    <t>alcira_delvalle80@hotmail.com</t>
  </si>
  <si>
    <t>nuñez</t>
  </si>
  <si>
    <t xml:space="preserve"> santino alan</t>
  </si>
  <si>
    <t>santinoalan222@gmail.com</t>
  </si>
  <si>
    <t>ortiz</t>
  </si>
  <si>
    <t xml:space="preserve"> yazmin vaniria nahir</t>
  </si>
  <si>
    <t>yazmin-ortiz@hotmail.com</t>
  </si>
  <si>
    <t xml:space="preserve"> daniela  </t>
  </si>
  <si>
    <t>Ortizdaniela977@gmail.com</t>
  </si>
  <si>
    <t xml:space="preserve"> gustavo</t>
  </si>
  <si>
    <t>gusttyortiz_GO@hotmail.com</t>
  </si>
  <si>
    <t xml:space="preserve"> marina elizabeth</t>
  </si>
  <si>
    <t>paez</t>
  </si>
  <si>
    <t xml:space="preserve"> yamila denise</t>
  </si>
  <si>
    <t>yamiladpaez@gmail.com</t>
  </si>
  <si>
    <t>paz</t>
  </si>
  <si>
    <t xml:space="preserve"> daniela</t>
  </si>
  <si>
    <t>palacio</t>
  </si>
  <si>
    <t>leonelll_83@hotmail.com</t>
  </si>
  <si>
    <t>perez</t>
  </si>
  <si>
    <t xml:space="preserve"> florencia ludmila</t>
  </si>
  <si>
    <t>luis guanella 441</t>
  </si>
  <si>
    <t>tapiales</t>
  </si>
  <si>
    <t xml:space="preserve"> maría bettina </t>
  </si>
  <si>
    <t>mariabettinaperez.18.2015@gmail.com</t>
  </si>
  <si>
    <t xml:space="preserve"> fernanda mariel</t>
  </si>
  <si>
    <t>fernandachuleta@gmail.com</t>
  </si>
  <si>
    <t>pereyra</t>
  </si>
  <si>
    <t xml:space="preserve"> lucas daniel</t>
  </si>
  <si>
    <t>lukzdaniel@gmail.com</t>
  </si>
  <si>
    <t>pineda</t>
  </si>
  <si>
    <t xml:space="preserve"> gina magali florencia</t>
  </si>
  <si>
    <t>estanislao del campo 1261</t>
  </si>
  <si>
    <t>giinapinedaa@gmail.com</t>
  </si>
  <si>
    <t>pineda mongelos</t>
  </si>
  <si>
    <t xml:space="preserve"> sindy kathiana</t>
  </si>
  <si>
    <t>sindykacheroff@gmail.com</t>
  </si>
  <si>
    <t>proz</t>
  </si>
  <si>
    <t xml:space="preserve"> magali nahir</t>
  </si>
  <si>
    <t>magalinahirproz@gmail.com</t>
  </si>
  <si>
    <t>quintero</t>
  </si>
  <si>
    <t xml:space="preserve"> cinthia alejandra </t>
  </si>
  <si>
    <t>zelada 5877</t>
  </si>
  <si>
    <t>perito mercantil</t>
  </si>
  <si>
    <t>cinthiaquintero20@hotmail.com</t>
  </si>
  <si>
    <t xml:space="preserve"> natalia paola</t>
  </si>
  <si>
    <t>natty_82@hotmail.com.ar</t>
  </si>
  <si>
    <t>quiroga</t>
  </si>
  <si>
    <t xml:space="preserve"> claudio javier </t>
  </si>
  <si>
    <t>javi_pef@hotmail.com</t>
  </si>
  <si>
    <t>quispe coronado</t>
  </si>
  <si>
    <t xml:space="preserve"> josé luis</t>
  </si>
  <si>
    <t xml:space="preserve">Joseluisquispecoronado39@gmail.com </t>
  </si>
  <si>
    <t>quiñones</t>
  </si>
  <si>
    <t xml:space="preserve"> camila</t>
  </si>
  <si>
    <t>camilarebeca927@gmail.com</t>
  </si>
  <si>
    <t>rivera</t>
  </si>
  <si>
    <t xml:space="preserve"> daniela alejandra</t>
  </si>
  <si>
    <t>la porteña 4880</t>
  </si>
  <si>
    <t>tecnico contador publico</t>
  </si>
  <si>
    <t>san justo</t>
  </si>
  <si>
    <t>riveradany28@gmail.com</t>
  </si>
  <si>
    <t>rinaldi</t>
  </si>
  <si>
    <t xml:space="preserve"> carla</t>
  </si>
  <si>
    <t>carlanoeliarinaldi@hotmail.com</t>
  </si>
  <si>
    <t>ríos</t>
  </si>
  <si>
    <t xml:space="preserve"> mariana noemí</t>
  </si>
  <si>
    <t>mr9524422@gmail.com</t>
  </si>
  <si>
    <t>rodriguez</t>
  </si>
  <si>
    <t xml:space="preserve"> paola alejandra</t>
  </si>
  <si>
    <t>paolaymorena.rodriguez@gmail.com</t>
  </si>
  <si>
    <t>rojas molinas</t>
  </si>
  <si>
    <t xml:space="preserve"> micaela</t>
  </si>
  <si>
    <t>rojasmicaela325@gmail.com</t>
  </si>
  <si>
    <t>rolón</t>
  </si>
  <si>
    <t xml:space="preserve"> marta patricia</t>
  </si>
  <si>
    <t xml:space="preserve">martapatricia.r.11@gimail.com </t>
  </si>
  <si>
    <t>roma</t>
  </si>
  <si>
    <t xml:space="preserve"> pablo</t>
  </si>
  <si>
    <t>pabloroma742@gmail.com</t>
  </si>
  <si>
    <t>rossi</t>
  </si>
  <si>
    <t xml:space="preserve"> jesica johana</t>
  </si>
  <si>
    <t>jessyjohann22@gmail.com</t>
  </si>
  <si>
    <t xml:space="preserve"> lucia yamila</t>
  </si>
  <si>
    <t>ruizyamila979@gmail.com</t>
  </si>
  <si>
    <t xml:space="preserve"> mailen ariadna</t>
  </si>
  <si>
    <t>remedios</t>
  </si>
  <si>
    <t>ruizamail1996@gmail.com</t>
  </si>
  <si>
    <t>ruíz diaz</t>
  </si>
  <si>
    <t xml:space="preserve"> diego fernando </t>
  </si>
  <si>
    <t>diegoruizdiaz221@gmail.com</t>
  </si>
  <si>
    <t>saracho</t>
  </si>
  <si>
    <t xml:space="preserve"> gabriela</t>
  </si>
  <si>
    <t>peralta ramos 1230</t>
  </si>
  <si>
    <t>bachiller en ciencias sociales</t>
  </si>
  <si>
    <t>grandbour</t>
  </si>
  <si>
    <t>gabrielasaracho28@gmail.com</t>
  </si>
  <si>
    <t>sabbagh</t>
  </si>
  <si>
    <t xml:space="preserve"> mario javier</t>
  </si>
  <si>
    <t>sabbaghmario37@gmail.com</t>
  </si>
  <si>
    <t>salazar</t>
  </si>
  <si>
    <t xml:space="preserve"> claudio</t>
  </si>
  <si>
    <t>klaudiosalazar91@gmail.com</t>
  </si>
  <si>
    <t>sartori</t>
  </si>
  <si>
    <t xml:space="preserve"> carina alejandra </t>
  </si>
  <si>
    <t>Carilula@hotmail.com</t>
  </si>
  <si>
    <t>siles</t>
  </si>
  <si>
    <t xml:space="preserve"> romina leticia </t>
  </si>
  <si>
    <t xml:space="preserve">rominasiles@hotmail.com </t>
  </si>
  <si>
    <t>silva</t>
  </si>
  <si>
    <t xml:space="preserve"> claudia alejandra</t>
  </si>
  <si>
    <t>claudiaalejandra-silva@hotmail.com</t>
  </si>
  <si>
    <t>sorbara</t>
  </si>
  <si>
    <t xml:space="preserve"> mariana</t>
  </si>
  <si>
    <t>m.sorbara@yahoo.com</t>
  </si>
  <si>
    <t>sotomayor machado</t>
  </si>
  <si>
    <t xml:space="preserve"> sandra</t>
  </si>
  <si>
    <t>sabrina_031629@hotmail.com</t>
  </si>
  <si>
    <t>sterzel</t>
  </si>
  <si>
    <t xml:space="preserve"> hernan</t>
  </si>
  <si>
    <t>hernansterzel01@gmail.com</t>
  </si>
  <si>
    <t>suarez</t>
  </si>
  <si>
    <t xml:space="preserve"> cristian marcelo</t>
  </si>
  <si>
    <t>Kitly88@gmail.com</t>
  </si>
  <si>
    <t>torres</t>
  </si>
  <si>
    <t xml:space="preserve"> rodrigo</t>
  </si>
  <si>
    <t>turza</t>
  </si>
  <si>
    <t xml:space="preserve"> francisco</t>
  </si>
  <si>
    <t>uriarte</t>
  </si>
  <si>
    <t xml:space="preserve"> romina maría lujan </t>
  </si>
  <si>
    <t>romina.uriarte@hotmail.com</t>
  </si>
  <si>
    <t>vallejos</t>
  </si>
  <si>
    <t xml:space="preserve"> cristian adrian</t>
  </si>
  <si>
    <t>vallejoscristianadrian@gmail.com</t>
  </si>
  <si>
    <t>vertz</t>
  </si>
  <si>
    <t xml:space="preserve"> carina alejandra</t>
  </si>
  <si>
    <t>vertz.carina.3@gmail.com</t>
  </si>
  <si>
    <t>vitadello</t>
  </si>
  <si>
    <t xml:space="preserve"> milena ayelen</t>
  </si>
  <si>
    <t>milvitaa22@gmail.com</t>
  </si>
  <si>
    <t>virreira</t>
  </si>
  <si>
    <t xml:space="preserve"> pedro </t>
  </si>
  <si>
    <t>Pedro_virreira@hotmail.com</t>
  </si>
  <si>
    <t>zegarra</t>
  </si>
  <si>
    <t xml:space="preserve"> alarcon mariano salvador</t>
  </si>
  <si>
    <t>Salvadorzegal@gmail.com</t>
  </si>
  <si>
    <t>carlos</t>
  </si>
  <si>
    <t xml:space="preserve"> nicolas</t>
  </si>
  <si>
    <t>catalano</t>
  </si>
  <si>
    <t xml:space="preserve"> ariadna </t>
  </si>
  <si>
    <t>cepeda</t>
  </si>
  <si>
    <t xml:space="preserve"> veronica</t>
  </si>
  <si>
    <t xml:space="preserve"> martina</t>
  </si>
  <si>
    <t>gutierrez</t>
  </si>
  <si>
    <t xml:space="preserve"> belén</t>
  </si>
  <si>
    <t>rojas</t>
  </si>
  <si>
    <t xml:space="preserve"> romina </t>
  </si>
  <si>
    <t xml:space="preserve"> marcos</t>
  </si>
  <si>
    <t>vaca</t>
  </si>
  <si>
    <t xml:space="preserve"> matias</t>
  </si>
  <si>
    <t>Armentano</t>
  </si>
  <si>
    <t xml:space="preserve"> Romina </t>
  </si>
  <si>
    <t>armentanoromina@outlook.com</t>
  </si>
  <si>
    <t>Barrero Borda</t>
  </si>
  <si>
    <t xml:space="preserve"> Melanie Araceli</t>
  </si>
  <si>
    <t>melaniebarrero@gmail.com</t>
  </si>
  <si>
    <t>Bazán</t>
  </si>
  <si>
    <t xml:space="preserve"> Erica Haydee</t>
  </si>
  <si>
    <t xml:space="preserve">daniela_99kikus@hotmail.com </t>
  </si>
  <si>
    <t>Bergamoen</t>
  </si>
  <si>
    <t xml:space="preserve"> Angie</t>
  </si>
  <si>
    <t>Bianchi</t>
  </si>
  <si>
    <t xml:space="preserve"> Alexis</t>
  </si>
  <si>
    <t>Borda</t>
  </si>
  <si>
    <t xml:space="preserve"> Noelia Elizabeth</t>
  </si>
  <si>
    <t>Bruno</t>
  </si>
  <si>
    <t xml:space="preserve"> Johanna Belén </t>
  </si>
  <si>
    <t>brunojohannab@gmail.com</t>
  </si>
  <si>
    <t>Camicia</t>
  </si>
  <si>
    <t xml:space="preserve"> Leila Mabel</t>
  </si>
  <si>
    <t>camicia.leila@gmail.com</t>
  </si>
  <si>
    <t>Castro Andraca</t>
  </si>
  <si>
    <t xml:space="preserve"> Maria Angeles</t>
  </si>
  <si>
    <t>angelescastro.mc@gmail.com</t>
  </si>
  <si>
    <t>Estevez</t>
  </si>
  <si>
    <t xml:space="preserve"> Brenda</t>
  </si>
  <si>
    <t>estevezbrenda.j92@gmail.com</t>
  </si>
  <si>
    <t>Gervasio</t>
  </si>
  <si>
    <t xml:space="preserve"> Cintia Micaela </t>
  </si>
  <si>
    <t>Mica.gervasio@gmail.com</t>
  </si>
  <si>
    <t>Jorrat</t>
  </si>
  <si>
    <t xml:space="preserve"> Sasha Tamara</t>
  </si>
  <si>
    <t>tamarajorrat@gmail.com</t>
  </si>
  <si>
    <t>Lopez</t>
  </si>
  <si>
    <t xml:space="preserve"> Cinthia </t>
  </si>
  <si>
    <t>Cintia.lopez91@gmail.com</t>
  </si>
  <si>
    <t>López</t>
  </si>
  <si>
    <t xml:space="preserve"> Nadiezha</t>
  </si>
  <si>
    <t>nadiezha.lopez@gmail.com</t>
  </si>
  <si>
    <t>Lucero</t>
  </si>
  <si>
    <t xml:space="preserve"> Camila Macarena</t>
  </si>
  <si>
    <t>camilalucero335@hotmail.com</t>
  </si>
  <si>
    <t>Mugno</t>
  </si>
  <si>
    <t xml:space="preserve"> Vanesa</t>
  </si>
  <si>
    <t>vanesamugno@hotmail.com</t>
  </si>
  <si>
    <t>Noya</t>
  </si>
  <si>
    <t xml:space="preserve"> Facundo Gonzalo</t>
  </si>
  <si>
    <t>fgnoya@hotmail.com</t>
  </si>
  <si>
    <t>Serrano</t>
  </si>
  <si>
    <t xml:space="preserve"> Natalia</t>
  </si>
  <si>
    <t>nataliaserrano@outlook.com</t>
  </si>
  <si>
    <t>Tesone</t>
  </si>
  <si>
    <t xml:space="preserve"> Juan Manuel </t>
  </si>
  <si>
    <t xml:space="preserve">Juanmt32@hotmail.com </t>
  </si>
  <si>
    <t>Ybarra</t>
  </si>
  <si>
    <t xml:space="preserve"> Roxana </t>
  </si>
  <si>
    <t>roxanaybarra18@gmail.com</t>
  </si>
  <si>
    <t>Argañaraz</t>
  </si>
  <si>
    <t xml:space="preserve"> Ayelen Ailen</t>
  </si>
  <si>
    <t>Baez</t>
  </si>
  <si>
    <t xml:space="preserve"> Ornella</t>
  </si>
  <si>
    <t>Barreto</t>
  </si>
  <si>
    <t xml:space="preserve"> Federico Martin</t>
  </si>
  <si>
    <t>Barriento</t>
  </si>
  <si>
    <t xml:space="preserve"> Daniela Giselle</t>
  </si>
  <si>
    <t>Benitez</t>
  </si>
  <si>
    <t xml:space="preserve"> Lucas</t>
  </si>
  <si>
    <t>lucasz7845@gmail.com</t>
  </si>
  <si>
    <t xml:space="preserve"> Miriagly</t>
  </si>
  <si>
    <t>Cabelluzi</t>
  </si>
  <si>
    <t xml:space="preserve"> Juan Alberto</t>
  </si>
  <si>
    <t>Carosini</t>
  </si>
  <si>
    <t xml:space="preserve"> Araceli</t>
  </si>
  <si>
    <t>Corbalan</t>
  </si>
  <si>
    <t xml:space="preserve"> Amalia</t>
  </si>
  <si>
    <t>Cordoba</t>
  </si>
  <si>
    <t xml:space="preserve"> Romina</t>
  </si>
  <si>
    <t>Dugour</t>
  </si>
  <si>
    <t xml:space="preserve"> Cecilia</t>
  </si>
  <si>
    <t>Espindola</t>
  </si>
  <si>
    <t>Farias</t>
  </si>
  <si>
    <t xml:space="preserve"> Daiana</t>
  </si>
  <si>
    <t xml:space="preserve"> Tamara</t>
  </si>
  <si>
    <t>Gerez</t>
  </si>
  <si>
    <t xml:space="preserve"> Paula</t>
  </si>
  <si>
    <t>Gonzalez</t>
  </si>
  <si>
    <t xml:space="preserve"> Gabriela Guadalupe</t>
  </si>
  <si>
    <t>Hosko</t>
  </si>
  <si>
    <t xml:space="preserve"> Aldana</t>
  </si>
  <si>
    <t>Pentrelli</t>
  </si>
  <si>
    <t>Silva</t>
  </si>
  <si>
    <t xml:space="preserve"> Luciana</t>
  </si>
  <si>
    <t>lucianabsilva58@gmail.com</t>
  </si>
  <si>
    <t>Villegas</t>
  </si>
  <si>
    <t xml:space="preserve"> Oscar</t>
  </si>
  <si>
    <t>encina</t>
  </si>
  <si>
    <t>madelin milagros</t>
  </si>
  <si>
    <t>av. Piedra buena 3360</t>
  </si>
  <si>
    <t>Secundario</t>
  </si>
  <si>
    <t>villa lugano</t>
  </si>
  <si>
    <t>made0936@gmail.com</t>
  </si>
  <si>
    <t>lemos</t>
  </si>
  <si>
    <t>ezequiel alberto</t>
  </si>
  <si>
    <t>suarez 988 3B</t>
  </si>
  <si>
    <t>ezelemos91@gmail.com</t>
  </si>
  <si>
    <t>villalva</t>
  </si>
  <si>
    <t>jonathan</t>
  </si>
  <si>
    <t>calle 818  2796</t>
  </si>
  <si>
    <t>quilmes</t>
  </si>
  <si>
    <t>jona2079@gmail.com</t>
  </si>
  <si>
    <t>cruz</t>
  </si>
  <si>
    <t>jonathan hernan</t>
  </si>
  <si>
    <t>mza 15 casa 4</t>
  </si>
  <si>
    <t>tecnico electronica</t>
  </si>
  <si>
    <t>retiro</t>
  </si>
  <si>
    <t>cruz_jonathan_03@hotmail.com</t>
  </si>
  <si>
    <t>pindilli</t>
  </si>
  <si>
    <t>monica beatriz</t>
  </si>
  <si>
    <t>sefito alvarez 862</t>
  </si>
  <si>
    <t>ciudad madero</t>
  </si>
  <si>
    <t>mbpindilli@hotmail.com</t>
  </si>
  <si>
    <t>clave_foranea</t>
  </si>
  <si>
    <t>N° De Legajo</t>
  </si>
  <si>
    <t>N° De Cuil:</t>
  </si>
  <si>
    <t>Domicilio del  lugar de Trabajo: (Calle y n°)</t>
  </si>
  <si>
    <t>Motivo de Afiliación:</t>
  </si>
  <si>
    <t>Organismo que liquida su haber</t>
  </si>
  <si>
    <t>Organismo donde trabaja:</t>
  </si>
  <si>
    <t>Obra Social:</t>
  </si>
  <si>
    <t>N° de Afiliado:</t>
  </si>
  <si>
    <t>Fecha de Alta:</t>
  </si>
  <si>
    <t>Relacion de Dependencia</t>
  </si>
  <si>
    <t>Inicio Actividad:</t>
  </si>
  <si>
    <t>Años en Actividad:</t>
  </si>
  <si>
    <t>renuncio</t>
  </si>
  <si>
    <t>tiene_ficha_pdf</t>
  </si>
  <si>
    <t>bolivar 189</t>
  </si>
  <si>
    <t>Gremiales</t>
  </si>
  <si>
    <t>g.caba</t>
  </si>
  <si>
    <t>prevencion de la ciudad</t>
  </si>
  <si>
    <t>planta permanente</t>
  </si>
  <si>
    <t>bolivar 190</t>
  </si>
  <si>
    <t>monotributista</t>
  </si>
  <si>
    <t>bolivar 191</t>
  </si>
  <si>
    <t>planta transitoria</t>
  </si>
  <si>
    <t>bolivar 192</t>
  </si>
  <si>
    <t>Planta Permanente</t>
  </si>
  <si>
    <t>Monotributista</t>
  </si>
  <si>
    <t>Planta Transitoria</t>
  </si>
  <si>
    <t xml:space="preserve">Monotributista </t>
  </si>
  <si>
    <t>Monitributista</t>
  </si>
  <si>
    <t>ap</t>
  </si>
  <si>
    <t>apellido</t>
  </si>
  <si>
    <t>nombre</t>
  </si>
  <si>
    <t>tiene</t>
  </si>
  <si>
    <t>Amaya</t>
  </si>
  <si>
    <t>MarielaCecilia</t>
  </si>
  <si>
    <t>Aranda</t>
  </si>
  <si>
    <t>Natalia</t>
  </si>
  <si>
    <t>Olayiña</t>
  </si>
  <si>
    <t>Laly</t>
  </si>
  <si>
    <t>Rodriguez</t>
  </si>
  <si>
    <t>Paola</t>
  </si>
  <si>
    <t>FerroRodriguez</t>
  </si>
  <si>
    <t>MariaElena</t>
  </si>
  <si>
    <t>FelipeLima</t>
  </si>
  <si>
    <t>Aidee</t>
  </si>
  <si>
    <t>Agostina</t>
  </si>
  <si>
    <t>Grillo</t>
  </si>
  <si>
    <t>Viviana</t>
  </si>
  <si>
    <t>GutierrezQuispe</t>
  </si>
  <si>
    <t>Grisela</t>
  </si>
  <si>
    <t>Martinez</t>
  </si>
  <si>
    <t>Raquel</t>
  </si>
  <si>
    <t>Quiroga</t>
  </si>
  <si>
    <t>Claudio</t>
  </si>
  <si>
    <t>Romero</t>
  </si>
  <si>
    <t>Irina</t>
  </si>
  <si>
    <t>Ruiz</t>
  </si>
  <si>
    <t>Pablo</t>
  </si>
  <si>
    <t>Uriarte</t>
  </si>
  <si>
    <t>Romina</t>
  </si>
  <si>
    <t>Diego</t>
  </si>
  <si>
    <t>Roxana</t>
  </si>
  <si>
    <t>Soto</t>
  </si>
  <si>
    <t>Gaston</t>
  </si>
  <si>
    <t>CharroVera</t>
  </si>
  <si>
    <t>Horacio</t>
  </si>
  <si>
    <t>Quintero</t>
  </si>
  <si>
    <t>Cinthia</t>
  </si>
  <si>
    <t>Ibañez</t>
  </si>
  <si>
    <t>MariaInes</t>
  </si>
  <si>
    <t>Cuffia</t>
  </si>
  <si>
    <t>MariaClara</t>
  </si>
  <si>
    <t>Encina</t>
  </si>
  <si>
    <t>Madelin</t>
  </si>
  <si>
    <t>Castañeda</t>
  </si>
  <si>
    <t>Yamila</t>
  </si>
  <si>
    <t>FerrariBarcia</t>
  </si>
  <si>
    <t>Brenda</t>
  </si>
  <si>
    <t>Figueroa</t>
  </si>
  <si>
    <t>Fernando</t>
  </si>
  <si>
    <t>Ybarrola</t>
  </si>
  <si>
    <t>Pamela</t>
  </si>
  <si>
    <t>Sartori</t>
  </si>
  <si>
    <t>Carina</t>
  </si>
  <si>
    <t>Aquino</t>
  </si>
  <si>
    <t>Emilio</t>
  </si>
  <si>
    <t>Claudia</t>
  </si>
  <si>
    <t>RojasMolinas</t>
  </si>
  <si>
    <t>Micaela</t>
  </si>
  <si>
    <t>Pereyra</t>
  </si>
  <si>
    <t>Lucas</t>
  </si>
  <si>
    <t>Julieta</t>
  </si>
  <si>
    <t>Scliar</t>
  </si>
  <si>
    <t>Noelia</t>
  </si>
  <si>
    <t>Cipriano</t>
  </si>
  <si>
    <t>Facundo</t>
  </si>
  <si>
    <t>Maidana</t>
  </si>
  <si>
    <t>Francisco</t>
  </si>
  <si>
    <t>Martinenghi</t>
  </si>
  <si>
    <t>Nayla</t>
  </si>
  <si>
    <t>Mieres</t>
  </si>
  <si>
    <t>Florencia</t>
  </si>
  <si>
    <t>Ortiz</t>
  </si>
  <si>
    <t>Leandro</t>
  </si>
  <si>
    <t>Perez</t>
  </si>
  <si>
    <t>Fernanda1953</t>
  </si>
  <si>
    <t>Reppucci</t>
  </si>
  <si>
    <t>Gusso</t>
  </si>
  <si>
    <t>Agustina</t>
  </si>
  <si>
    <t>Kim</t>
  </si>
  <si>
    <t>Sabrina</t>
  </si>
  <si>
    <t>Proz</t>
  </si>
  <si>
    <t>Magali</t>
  </si>
  <si>
    <t>Rojas</t>
  </si>
  <si>
    <t>Nicole</t>
  </si>
  <si>
    <t>Artesi</t>
  </si>
  <si>
    <t>Flavia</t>
  </si>
  <si>
    <t>AvalosBenitez</t>
  </si>
  <si>
    <t>Nieva</t>
  </si>
  <si>
    <t>Alcira</t>
  </si>
  <si>
    <t>DiColaAbella</t>
  </si>
  <si>
    <t>Esquivel</t>
  </si>
  <si>
    <t>Lourdes</t>
  </si>
  <si>
    <t>Galian</t>
  </si>
  <si>
    <t>Daiana</t>
  </si>
  <si>
    <t>Lezcano</t>
  </si>
  <si>
    <t>Abigail</t>
  </si>
  <si>
    <t>Lilian</t>
  </si>
  <si>
    <t>Ricarde</t>
  </si>
  <si>
    <t>Nicolas</t>
  </si>
  <si>
    <t>Sabbagh</t>
  </si>
  <si>
    <t>Mario</t>
  </si>
  <si>
    <t>Castillo</t>
  </si>
  <si>
    <t>Lucia</t>
  </si>
  <si>
    <t>Macias</t>
  </si>
  <si>
    <t>Laura</t>
  </si>
  <si>
    <t>Acosta</t>
  </si>
  <si>
    <t>Mayra</t>
  </si>
  <si>
    <t>Alvarado</t>
  </si>
  <si>
    <t>Bongiovanni</t>
  </si>
  <si>
    <t>Castez</t>
  </si>
  <si>
    <t>Naimid</t>
  </si>
  <si>
    <t>CorreaNovo</t>
  </si>
  <si>
    <t>Ulises</t>
  </si>
  <si>
    <t>Fernandez</t>
  </si>
  <si>
    <t>Alan</t>
  </si>
  <si>
    <t>FernandezGazan</t>
  </si>
  <si>
    <t>Nazarena</t>
  </si>
  <si>
    <t>Ivanovik</t>
  </si>
  <si>
    <t>Karen</t>
  </si>
  <si>
    <t>Nogales</t>
  </si>
  <si>
    <t>Nuñez</t>
  </si>
  <si>
    <t>Santino</t>
  </si>
  <si>
    <t>Rivera</t>
  </si>
  <si>
    <t>Daniela</t>
  </si>
  <si>
    <t>Vallejos</t>
  </si>
  <si>
    <t>Anaula</t>
  </si>
  <si>
    <t>Cristian</t>
  </si>
  <si>
    <t>CastilloAquino</t>
  </si>
  <si>
    <t>Camila</t>
  </si>
  <si>
    <t>GonzalesChurque</t>
  </si>
  <si>
    <t>Mariilar</t>
  </si>
  <si>
    <t>Paez</t>
  </si>
  <si>
    <t>Rolon</t>
  </si>
  <si>
    <t>Mauricio</t>
  </si>
  <si>
    <t>Mailen</t>
  </si>
  <si>
    <t>Brito</t>
  </si>
  <si>
    <t>Priscila</t>
  </si>
  <si>
    <t>Pineda</t>
  </si>
  <si>
    <t>Gina</t>
  </si>
  <si>
    <t>Razzitte</t>
  </si>
  <si>
    <t>MariaBelen</t>
  </si>
  <si>
    <t>Gioia</t>
  </si>
  <si>
    <t>Abril</t>
  </si>
  <si>
    <t>Insaurralde</t>
  </si>
  <si>
    <t>Santiago</t>
  </si>
  <si>
    <t>Mamani</t>
  </si>
  <si>
    <t>EulaliaYanina</t>
  </si>
  <si>
    <t>Coronel</t>
  </si>
  <si>
    <t>AlejandraNoemi</t>
  </si>
  <si>
    <t>Riquelme</t>
  </si>
  <si>
    <t>Sanchez</t>
  </si>
  <si>
    <t>Gabriela</t>
  </si>
  <si>
    <t>Condoriaza</t>
  </si>
  <si>
    <t>Maria</t>
  </si>
  <si>
    <t>Victoria</t>
  </si>
  <si>
    <t>Pascua</t>
  </si>
  <si>
    <t>Divito</t>
  </si>
  <si>
    <t>Espinoza</t>
  </si>
  <si>
    <t>XXXX</t>
  </si>
  <si>
    <t>FigueroaNarvaez</t>
  </si>
  <si>
    <t>Brigitte</t>
  </si>
  <si>
    <t>Debora</t>
  </si>
  <si>
    <t>Palacio</t>
  </si>
  <si>
    <t>Gustavo</t>
  </si>
  <si>
    <t>Quevedo</t>
  </si>
  <si>
    <t>Raed</t>
  </si>
  <si>
    <t>Walter</t>
  </si>
  <si>
    <t>Apellido/s nombre/s</t>
  </si>
  <si>
    <t>AP</t>
  </si>
  <si>
    <t>Teléfono de contacto</t>
  </si>
  <si>
    <t>Cuando ingreso a prevención</t>
  </si>
  <si>
    <t>¿En que comuna esta tu sendero?</t>
  </si>
  <si>
    <t>Apellido/s y Nombre/s  hijo/a 1</t>
  </si>
  <si>
    <t>D.n.i hijo/a 1</t>
  </si>
  <si>
    <t>Fecha nacimiento hijo/a 1</t>
  </si>
  <si>
    <t>Apellido/s y Nombre/s  hijo/a 2</t>
  </si>
  <si>
    <t>D.n.i hijo/a 2</t>
  </si>
  <si>
    <t>Fecha nacimiento hijo/a 2</t>
  </si>
  <si>
    <t>Apellido/s y Nombre/s  hijo/a 3</t>
  </si>
  <si>
    <t>D.n.i hijo/a 3</t>
  </si>
  <si>
    <t>Fecha nacimiento hijo/a 3</t>
  </si>
  <si>
    <t>Apellido/s y Nombre/s  hijo/a 4</t>
  </si>
  <si>
    <t>D.n.i hijo/a 4</t>
  </si>
  <si>
    <t>Fecha nacimiento hijo/a 4</t>
  </si>
  <si>
    <t>Apellido/s y Nombre/s  hijo/a 5</t>
  </si>
  <si>
    <t>D.n.i hijo/a 5</t>
  </si>
  <si>
    <t>Fecha nacimiento hijo/a 5</t>
  </si>
  <si>
    <t>Apellido/s y Nombre/s  hijo/a 6</t>
  </si>
  <si>
    <t>D.n.i hijo/a 6</t>
  </si>
  <si>
    <t>Fecha nacimiento hijo/a 6</t>
  </si>
  <si>
    <t>Apellido/s y Nombre/s  hijo/a 7</t>
  </si>
  <si>
    <t>D.n.i hijo/a 7</t>
  </si>
  <si>
    <t>Fecha nacimiento hijo/a 7</t>
  </si>
  <si>
    <t>Quispe Coronado José Luis</t>
  </si>
  <si>
    <t>Comuna. 8</t>
  </si>
  <si>
    <t>Quispe Rivadeneyra Matilda Aylen</t>
  </si>
  <si>
    <t>.</t>
  </si>
  <si>
    <t>Amaya mariela</t>
  </si>
  <si>
    <t>Bolivar</t>
  </si>
  <si>
    <t>Victoria otero</t>
  </si>
  <si>
    <t>Serrano natalia</t>
  </si>
  <si>
    <t>Morano Sofia</t>
  </si>
  <si>
    <t>Aranda Natalia</t>
  </si>
  <si>
    <t>Comuna 8 sendero jumbo</t>
  </si>
  <si>
    <t>Falcon Sofia</t>
  </si>
  <si>
    <t>Falcon Santino</t>
  </si>
  <si>
    <t>Obredor romina natalia</t>
  </si>
  <si>
    <t>Bautista zuriel muñoz obredor</t>
  </si>
  <si>
    <t>Ciro heber muñoz obredor</t>
  </si>
  <si>
    <t>Paola Rodriguez</t>
  </si>
  <si>
    <t>Rodriguez Etter , Morena Ariana</t>
  </si>
  <si>
    <t>Crespin Daniela</t>
  </si>
  <si>
    <t>Álvarez Malena</t>
  </si>
  <si>
    <t>Felipe lima Aidee Deysi</t>
  </si>
  <si>
    <t>Flores Daiara celeste</t>
  </si>
  <si>
    <t>Flores  sheila azul</t>
  </si>
  <si>
    <t>Flores Camilo Ian</t>
  </si>
  <si>
    <t>González Agostina</t>
  </si>
  <si>
    <t>Martinez, Eren Lionel</t>
  </si>
  <si>
    <t>Martinez, Gala Isabella</t>
  </si>
  <si>
    <t>Martinez, Noah Federico</t>
  </si>
  <si>
    <t>Gutierrez Quispe Grisela</t>
  </si>
  <si>
    <t>Lizarraga Gutierrez Adriana Grisel</t>
  </si>
  <si>
    <t>Lizarraga Gutierrez Mariana Dail</t>
  </si>
  <si>
    <t>Lizarraga Gutierrez Leonardo Jhoel</t>
  </si>
  <si>
    <t>Lizarraga Gutierrez Gonzalo Marino</t>
  </si>
  <si>
    <t>Pineda Mongelos Sindy Kathiana</t>
  </si>
  <si>
    <t>Comuna15</t>
  </si>
  <si>
    <t>Gómez Pineda Sofía Ailén</t>
  </si>
  <si>
    <t>Gómez Pineda Selene Antonella</t>
  </si>
  <si>
    <t>Romero irina</t>
  </si>
  <si>
    <t>Comuna 7</t>
  </si>
  <si>
    <t>Franco romero uma</t>
  </si>
  <si>
    <t>Gonzalez lionel</t>
  </si>
  <si>
    <t>Uriarte Romina Maria Lujan</t>
  </si>
  <si>
    <t>Romero Bautista Tomas</t>
  </si>
  <si>
    <t>Sinchicay, Nelida</t>
  </si>
  <si>
    <t>Comuna 8</t>
  </si>
  <si>
    <t>Jacquet Sinchicay, Alejo</t>
  </si>
  <si>
    <t>Claudio Servando Salazar</t>
  </si>
  <si>
    <t>Briana Naomi Salazar rios</t>
  </si>
  <si>
    <t>Linos Dolores del Carmen</t>
  </si>
  <si>
    <t>Comuna 3</t>
  </si>
  <si>
    <t>Gimenez Gonzalo Lionel</t>
  </si>
  <si>
    <t>Gimenez Valentina</t>
  </si>
  <si>
    <t>Portillo Lucrecia isabel</t>
  </si>
  <si>
    <t>Mara Valentina Cruz</t>
  </si>
  <si>
    <t>70.264.168</t>
  </si>
  <si>
    <t>Ferrari Brenda</t>
  </si>
  <si>
    <t>Pérez Ferrari Renata</t>
  </si>
  <si>
    <t>Fernando Figueroa</t>
  </si>
  <si>
    <t>Isaac Emmanuel Figueroa</t>
  </si>
  <si>
    <t>Martin Nicole</t>
  </si>
  <si>
    <t>Olivia Renata Gomez Martin</t>
  </si>
  <si>
    <t>Siles Romina Leticia</t>
  </si>
  <si>
    <t>Comuna 9</t>
  </si>
  <si>
    <t>--------'</t>
  </si>
  <si>
    <t>-----------'</t>
  </si>
  <si>
    <t>-------</t>
  </si>
  <si>
    <t>--------</t>
  </si>
  <si>
    <t>Iglesias Jaeger Sofía Tamara</t>
  </si>
  <si>
    <t>Olas Benjamín Román</t>
  </si>
  <si>
    <t>Machado Sotomayor Sandra</t>
  </si>
  <si>
    <t>C1</t>
  </si>
  <si>
    <t>Dillon Liam</t>
  </si>
  <si>
    <t>Benítez Lucas</t>
  </si>
  <si>
    <t>Benítez Veiga Zeus Leónidas</t>
  </si>
  <si>
    <t>Benítez Veiga Zoe Leila</t>
  </si>
  <si>
    <t>Navarro Elizabeth</t>
  </si>
  <si>
    <t>Touze Navarro Thiago Uriel</t>
  </si>
  <si>
    <t>Figueredo Navarro Valentino Gael</t>
  </si>
  <si>
    <t>Silva Luciana Belen</t>
  </si>
  <si>
    <t>Ferrante Silva Tiziano Gabriel</t>
  </si>
  <si>
    <t>López Julieta</t>
  </si>
  <si>
    <t>Benítez Bruno Agustín</t>
  </si>
  <si>
    <t>Benítez López Leonardo Joaquín</t>
  </si>
  <si>
    <t>Benítez miriagly</t>
  </si>
  <si>
    <t>Andrés Eduardo Luis Benitez</t>
  </si>
  <si>
    <t>Dugour Cecilia Paola</t>
  </si>
  <si>
    <t>Dugour Santiago</t>
  </si>
  <si>
    <t>Perez fernanda</t>
  </si>
  <si>
    <t>Balvanera</t>
  </si>
  <si>
    <t>Roldan perez matias leonel</t>
  </si>
  <si>
    <t>Proz Magali Nahir</t>
  </si>
  <si>
    <t>Gómez Proz Zoe Morella</t>
  </si>
  <si>
    <t>Nieva, Alcira del Valle</t>
  </si>
  <si>
    <t>Comuna 1</t>
  </si>
  <si>
    <t>Delgadillo Nieva, Luciano Sandro</t>
  </si>
  <si>
    <t>López Lilian</t>
  </si>
  <si>
    <t>Gonzalez Lopez Dafne Xiomara</t>
  </si>
  <si>
    <t>Gonzalez López Jana Naylen</t>
  </si>
  <si>
    <t>Araujo Jesica Mabel</t>
  </si>
  <si>
    <t>Glavovich Zamira Agostina</t>
  </si>
  <si>
    <t>Villegas Oscar</t>
  </si>
  <si>
    <t>Villegas Centurión Aarón Zaid</t>
  </si>
  <si>
    <t>Villegas Centurión Martina Antonella</t>
  </si>
  <si>
    <t>Acosta Gladys Natalia</t>
  </si>
  <si>
    <t>Martinez Alma Francesca</t>
  </si>
  <si>
    <t>González Paola yanet</t>
  </si>
  <si>
    <t>Comuna 13</t>
  </si>
  <si>
    <t>Abregu Lionel benjamin</t>
  </si>
  <si>
    <t>Abregu emily Antonella</t>
  </si>
  <si>
    <t>Morales llanos camila marisol</t>
  </si>
  <si>
    <t>Rodríguez Morales Valentina priscila</t>
  </si>
  <si>
    <t>Rodríguez Morales Julieta Luciana</t>
  </si>
  <si>
    <t>Noseda María Belén</t>
  </si>
  <si>
    <t>Comuna 12</t>
  </si>
  <si>
    <t>Comerci Helena</t>
  </si>
  <si>
    <t>58.492.812</t>
  </si>
  <si>
    <t>Acosta Belén</t>
  </si>
  <si>
    <t>Retamozo Milena</t>
  </si>
  <si>
    <t>Espindola Romina Soledad</t>
  </si>
  <si>
    <t>Alcaraz Espindola  Lautaro  Ignacio</t>
  </si>
  <si>
    <t>Alcaraz Espindola Guadalupe  Milagros</t>
  </si>
  <si>
    <t>Alcaraz Espindola Francisco Javier</t>
  </si>
  <si>
    <t>Acosta Mayra yanina</t>
  </si>
  <si>
    <t>Basil tahiel bastian</t>
  </si>
  <si>
    <t>Galeano Carla Antonella</t>
  </si>
  <si>
    <t>Galeano casciotta Tiziano Ignacio Fabián</t>
  </si>
  <si>
    <t>Galeano Cataleya Aitana naomi</t>
  </si>
  <si>
    <t>Nogueira Diego marcelo</t>
  </si>
  <si>
    <t>Nogueira ludmila avril</t>
  </si>
  <si>
    <t>Nogueira bautista Ezequiel</t>
  </si>
  <si>
    <t>Pentrelli Vanesa</t>
  </si>
  <si>
    <t>Costilla Rodrigo</t>
  </si>
  <si>
    <t>Costilla Lautaro</t>
  </si>
  <si>
    <t>Quintero Natalia</t>
  </si>
  <si>
    <t>Comuna 10</t>
  </si>
  <si>
    <t>Galeazi Quintero Valentina</t>
  </si>
  <si>
    <t>Ruiz Daiana belen</t>
  </si>
  <si>
    <t>Comuna 2</t>
  </si>
  <si>
    <t>Bruno mateo Gómez ruiz</t>
  </si>
  <si>
    <t>Luz Annabel Gómez Ruiz</t>
  </si>
  <si>
    <t>Vallejos Cristian</t>
  </si>
  <si>
    <t>Isabella Vallejos Rivera</t>
  </si>
  <si>
    <t>Enzo Gael Vallejos Rivera</t>
  </si>
  <si>
    <t>Francesca Vallejos Rivera</t>
  </si>
  <si>
    <t>Farias tamara</t>
  </si>
  <si>
    <t>Sandoval Delfina</t>
  </si>
  <si>
    <t>Tamara farias</t>
  </si>
  <si>
    <t>Delfina Sandoval</t>
  </si>
  <si>
    <t>Gaston Herrera</t>
  </si>
  <si>
    <t>Herrera Benjamin</t>
  </si>
  <si>
    <t>Herrera Emilia</t>
  </si>
  <si>
    <t>León sonco rossmery</t>
  </si>
  <si>
    <t>Sofía morote león</t>
  </si>
  <si>
    <t>Avril.morote leon</t>
  </si>
  <si>
    <t>Llanos Coro Mariela Jeanette</t>
  </si>
  <si>
    <t>Casimiro Llanos Thania Sabrina</t>
  </si>
  <si>
    <t>Melgarejo Gabriela</t>
  </si>
  <si>
    <t>Melgarejo Bastian</t>
  </si>
  <si>
    <t>Chader Noelia</t>
  </si>
  <si>
    <t>Della sala Thiago</t>
  </si>
  <si>
    <t>Matta Daniela</t>
  </si>
  <si>
    <t>Cáceres Ciro Daniel</t>
  </si>
  <si>
    <t>Cáceres Micaela Abril</t>
  </si>
  <si>
    <t>Rocha Micaela</t>
  </si>
  <si>
    <t>Alma Villalba</t>
  </si>
  <si>
    <t>Alegre daniela</t>
  </si>
  <si>
    <t>Torres oriana ailen</t>
  </si>
  <si>
    <t>Altamiranda Solange Macarena</t>
  </si>
  <si>
    <t>Borges Juan Carlos Miguel</t>
  </si>
  <si>
    <t>Aranda Elva Patricia</t>
  </si>
  <si>
    <t>Marconi tiziana nicole</t>
  </si>
  <si>
    <t>Marconi Bautista Román</t>
  </si>
  <si>
    <t>Marconi Bastián león</t>
  </si>
  <si>
    <t>Barriento Daniela Giselle</t>
  </si>
  <si>
    <t>Comuna 5</t>
  </si>
  <si>
    <t>Monasterios Gael José</t>
  </si>
  <si>
    <t>54.525.502</t>
  </si>
  <si>
    <t>Fernandez Florencia Soledad</t>
  </si>
  <si>
    <t>Davalos Fernandez Ulises Ciro</t>
  </si>
  <si>
    <t>García María Belén</t>
  </si>
  <si>
    <t>García Joaquín Ariel</t>
  </si>
  <si>
    <t>Sabalza Mía Brunella</t>
  </si>
  <si>
    <t>Garrido Veronica</t>
  </si>
  <si>
    <t>Tolosa theo</t>
  </si>
  <si>
    <t>Ruiz Lucía Yamila</t>
  </si>
  <si>
    <t>Cortez Bautista</t>
  </si>
  <si>
    <t>Agostina Lucía Tenrreiro</t>
  </si>
  <si>
    <t>Indiana Paz Velázquez Tenrreiro</t>
  </si>
  <si>
    <t>Barzi Yanina Elizabeth</t>
  </si>
  <si>
    <t>Comuna 11</t>
  </si>
  <si>
    <t>Robledo Emir Natanael</t>
  </si>
  <si>
    <t>Coronel Alejandra Noemí</t>
  </si>
  <si>
    <t>8 t.mañana</t>
  </si>
  <si>
    <t>Coronel Adrian Ezequiel</t>
  </si>
  <si>
    <t>Lencina coronel Jocelyn loreley</t>
  </si>
  <si>
    <t>Lencina coronel Giovanny</t>
  </si>
  <si>
    <t>Amaya erika</t>
  </si>
  <si>
    <t>Sampietro derek</t>
  </si>
  <si>
    <t>Sampietro zoe</t>
  </si>
  <si>
    <t>Baez Moreno Ornella Bianca</t>
  </si>
  <si>
    <t>Comuna 4</t>
  </si>
  <si>
    <t>Chuquel Baez Bianca Danae</t>
  </si>
  <si>
    <t>Chuquel Baez Elias Nazareno</t>
  </si>
  <si>
    <t>Godoy abril sathya</t>
  </si>
  <si>
    <t>Godoy Bautista emir</t>
  </si>
  <si>
    <t>58.451.110</t>
  </si>
  <si>
    <t>Lutte Elisabet Cristal</t>
  </si>
  <si>
    <t>Villa Lugano</t>
  </si>
  <si>
    <t>Del monte Pedro Francisco</t>
  </si>
  <si>
    <t>58.253.568</t>
  </si>
  <si>
    <t>Mónaco Agustina</t>
  </si>
  <si>
    <t>Mónaco emanuel milo</t>
  </si>
  <si>
    <t>Riquelme Brenda Macarena</t>
  </si>
  <si>
    <t>Rios Elizabeth Venecia</t>
  </si>
  <si>
    <t>Alvarez Robledo Georgina Emperatriz</t>
  </si>
  <si>
    <t>Comuna 14</t>
  </si>
  <si>
    <t>Leiva Alvarez Taiz natanaela</t>
  </si>
  <si>
    <t>Barrientos Maidana Yessica Tamara</t>
  </si>
  <si>
    <t>Barrientos Julieta</t>
  </si>
  <si>
    <t>Carrizo marcela</t>
  </si>
  <si>
    <t>Carrizo munaylla milo Valentin</t>
  </si>
  <si>
    <t>Cruz Fernando Emanuel</t>
  </si>
  <si>
    <t>Mia Ayelen Cruz</t>
  </si>
  <si>
    <t>Agustín Emanuel Cruz</t>
  </si>
  <si>
    <t>Melgarejo viviana</t>
  </si>
  <si>
    <t>Grosso alma</t>
  </si>
  <si>
    <t>Grosso mia</t>
  </si>
  <si>
    <t>Grosso brisa</t>
  </si>
  <si>
    <t>Nieva victoria daniela</t>
  </si>
  <si>
    <t>Cáceres Nahitan Federico</t>
  </si>
  <si>
    <t>Ortiz marina Elizabeth</t>
  </si>
  <si>
    <t>Federico esteban Suárez Ortiz</t>
  </si>
  <si>
    <t>Santiago eliam ortiz</t>
  </si>
  <si>
    <t>Rincovich Rocio</t>
  </si>
  <si>
    <t>Lezcano Malena</t>
  </si>
  <si>
    <t>Vertz Carina Alejandra</t>
  </si>
  <si>
    <t>Valdez Franco Nahuel</t>
  </si>
  <si>
    <t>Luna Sabrina Soledad</t>
  </si>
  <si>
    <t>Bohmwetsch Maia Jazmin</t>
  </si>
  <si>
    <t>Martinez Raquel fernanda</t>
  </si>
  <si>
    <t>Martinez Nayla Nicoln</t>
  </si>
  <si>
    <t>Josefina Brito Carranza</t>
  </si>
  <si>
    <t>Santino Olivera Brito</t>
  </si>
  <si>
    <t>Romina Soledad Espindola</t>
  </si>
  <si>
    <t>Lautaro ignacio Alcaraz</t>
  </si>
  <si>
    <t>Guadalupe  Milagros Alcaraz</t>
  </si>
  <si>
    <t>Francisco Javier Alcaraz</t>
  </si>
  <si>
    <t>Hermida Vanesa karina</t>
  </si>
  <si>
    <t>comuna 4</t>
  </si>
  <si>
    <t>Hermida Sofía Oriana</t>
  </si>
  <si>
    <t>Lugones Nadia Mariela</t>
  </si>
  <si>
    <t>González Lugones Christian Ángel</t>
  </si>
  <si>
    <t>-</t>
  </si>
  <si>
    <t>Fanola Zambrana Needa Widad</t>
  </si>
  <si>
    <t>Fanola Zambrana Lael Agustín</t>
  </si>
  <si>
    <t>Escalante sara</t>
  </si>
  <si>
    <t>López ailin</t>
  </si>
  <si>
    <t>53.739.554</t>
  </si>
  <si>
    <t>clave_foranea:</t>
  </si>
  <si>
    <t>Inicio mandato</t>
  </si>
  <si>
    <t>En Actividad</t>
  </si>
  <si>
    <t>Años mandato</t>
  </si>
  <si>
    <t>Observaciones</t>
  </si>
  <si>
    <t>comuna</t>
  </si>
  <si>
    <t>Clave_foranea:</t>
  </si>
  <si>
    <t>Nombre y Apellido:</t>
  </si>
  <si>
    <t>Fecha  de Nacimiento:</t>
  </si>
  <si>
    <t>otero gustavo</t>
  </si>
  <si>
    <t>13801311</t>
  </si>
  <si>
    <t>julio cesar maidana</t>
  </si>
  <si>
    <t>18473969</t>
  </si>
  <si>
    <t>jorge botenstein</t>
  </si>
  <si>
    <t>17107105</t>
  </si>
  <si>
    <t>almada roque noberto</t>
  </si>
  <si>
    <t>13965388</t>
  </si>
  <si>
    <t>rodrigo galeano</t>
  </si>
  <si>
    <t>36359917</t>
  </si>
  <si>
    <t>cristian trapani</t>
  </si>
  <si>
    <t>33719240</t>
  </si>
  <si>
    <t>ruben baez</t>
  </si>
  <si>
    <t>2889177</t>
  </si>
  <si>
    <t>hector antonio velazavez</t>
  </si>
  <si>
    <t>92996350</t>
  </si>
  <si>
    <t>sandra navarro</t>
  </si>
  <si>
    <t>no dato</t>
  </si>
  <si>
    <t>yanina giselle ruiz</t>
  </si>
  <si>
    <t>371137561</t>
  </si>
  <si>
    <t>comentarios VERO</t>
  </si>
  <si>
    <t>comentarios VERO1</t>
  </si>
  <si>
    <t>id</t>
  </si>
  <si>
    <t>Delegados</t>
  </si>
  <si>
    <t>Afiliados:</t>
  </si>
  <si>
    <t>Ingreso a Prevención</t>
  </si>
  <si>
    <t>Años de actividad:</t>
  </si>
  <si>
    <t>DNI</t>
  </si>
  <si>
    <t>Fecha de Nacimiento</t>
  </si>
  <si>
    <t>Menores a Cargo</t>
  </si>
  <si>
    <t>kit-1</t>
  </si>
  <si>
    <t>kit-2</t>
  </si>
  <si>
    <t>kit-3</t>
  </si>
  <si>
    <t>kit-4</t>
  </si>
  <si>
    <t>cantidad de kits</t>
  </si>
  <si>
    <t>Celular Particular</t>
  </si>
  <si>
    <t>Email</t>
  </si>
  <si>
    <t>esta_grupo_upcn</t>
  </si>
  <si>
    <t>renucio</t>
  </si>
  <si>
    <t>no tiene en pdf</t>
  </si>
  <si>
    <t>no tiene pdf</t>
  </si>
  <si>
    <t>alvarez</t>
  </si>
  <si>
    <t>melina giselle</t>
  </si>
  <si>
    <t>facundo nicolas</t>
  </si>
  <si>
    <t>alejandra</t>
  </si>
  <si>
    <t>gabriela andrea</t>
  </si>
  <si>
    <t>roxana claudia</t>
  </si>
  <si>
    <t>stella maris</t>
  </si>
  <si>
    <t>sheila nahir</t>
  </si>
  <si>
    <t>florencia soledad</t>
  </si>
  <si>
    <t>brenda belen</t>
  </si>
  <si>
    <t>ludmila  rosalia</t>
  </si>
  <si>
    <t>fernando</t>
  </si>
  <si>
    <t>maria belen</t>
  </si>
  <si>
    <t>wanda noemi</t>
  </si>
  <si>
    <t>carla antonella</t>
  </si>
  <si>
    <t>daiana alejandra</t>
  </si>
  <si>
    <t>agostina jessica</t>
  </si>
  <si>
    <t>hernan francisco</t>
  </si>
  <si>
    <t>mascolino</t>
  </si>
  <si>
    <t>maria pilar</t>
  </si>
  <si>
    <t>ruth esther</t>
  </si>
  <si>
    <t>maria ines</t>
  </si>
  <si>
    <t>liz</t>
  </si>
  <si>
    <t>vivian</t>
  </si>
  <si>
    <t>marianela</t>
  </si>
  <si>
    <t>sabrina leila</t>
  </si>
  <si>
    <t>dario ezequiel</t>
  </si>
  <si>
    <t>nancy yanina</t>
  </si>
  <si>
    <t>dolores del carmen</t>
  </si>
  <si>
    <t>daiana belen</t>
  </si>
  <si>
    <t>julieta daiana</t>
  </si>
  <si>
    <t>lilian elizabeth</t>
  </si>
  <si>
    <t>fernando damian</t>
  </si>
  <si>
    <t>raquel</t>
  </si>
  <si>
    <t>katerin julieta</t>
  </si>
  <si>
    <t>florencia</t>
  </si>
  <si>
    <t>agustina</t>
  </si>
  <si>
    <t>sandra beatriz</t>
  </si>
  <si>
    <t>florencia sol</t>
  </si>
  <si>
    <t>alcira del valle</t>
  </si>
  <si>
    <t>santino alan</t>
  </si>
  <si>
    <t>yazmin vaniria nahir</t>
  </si>
  <si>
    <t>marina elizabeth</t>
  </si>
  <si>
    <t>gustavo</t>
  </si>
  <si>
    <t>florencia ludmila</t>
  </si>
  <si>
    <t>fernanda mariel</t>
  </si>
  <si>
    <t>gina magali florencia</t>
  </si>
  <si>
    <t>sindy kathiana</t>
  </si>
  <si>
    <t>magali nahir</t>
  </si>
  <si>
    <t>cinthia alejandra</t>
  </si>
  <si>
    <t>natalia paola</t>
  </si>
  <si>
    <t>claudio javier</t>
  </si>
  <si>
    <t>josé luis</t>
  </si>
  <si>
    <t>mascoulino</t>
  </si>
  <si>
    <t>camila</t>
  </si>
  <si>
    <t>paola alejandra</t>
  </si>
  <si>
    <t>micaela</t>
  </si>
  <si>
    <t>marta patricia</t>
  </si>
  <si>
    <t>mailen ariadna</t>
  </si>
  <si>
    <t>diego fernando</t>
  </si>
  <si>
    <t>mario javier</t>
  </si>
  <si>
    <t>claudio</t>
  </si>
  <si>
    <t>carina alejandra</t>
  </si>
  <si>
    <t>romina leticia</t>
  </si>
  <si>
    <t>claudia alejandra</t>
  </si>
  <si>
    <t>sandra</t>
  </si>
  <si>
    <t>cristian marcelo</t>
  </si>
  <si>
    <t>romina maría lujan</t>
  </si>
  <si>
    <t>Erica Haydee</t>
  </si>
  <si>
    <t>Sasha Tamara</t>
  </si>
  <si>
    <t>Nadiezha</t>
  </si>
  <si>
    <t>Camila Macarena</t>
  </si>
  <si>
    <t>Facundo Gonzalo</t>
  </si>
  <si>
    <t>Ornella</t>
  </si>
  <si>
    <t>nodato</t>
  </si>
  <si>
    <t>Federico Martin</t>
  </si>
  <si>
    <t>Daniela Giselle</t>
  </si>
  <si>
    <t>Miriagly</t>
  </si>
  <si>
    <t>Amalia</t>
  </si>
  <si>
    <t>Cecilia</t>
  </si>
  <si>
    <t>Tamara</t>
  </si>
  <si>
    <t>Vanesa</t>
  </si>
  <si>
    <t>Luciana</t>
  </si>
  <si>
    <t>Oscar</t>
  </si>
  <si>
    <t>Nombre y Apellido</t>
  </si>
  <si>
    <t>arroyo, elizabeth beatriz</t>
  </si>
  <si>
    <t>conseguir número</t>
  </si>
  <si>
    <t>?</t>
  </si>
  <si>
    <t>ale, micaela ayelen</t>
  </si>
  <si>
    <t>declavio,  maría cristina</t>
  </si>
  <si>
    <t>gonzalez,  claudia</t>
  </si>
  <si>
    <t>irala,  liz</t>
  </si>
  <si>
    <t>lenisa,  nancy yanina</t>
  </si>
  <si>
    <t>linos,  dolores del carmen</t>
  </si>
  <si>
    <t>martin,  nicole</t>
  </si>
  <si>
    <t>montiel,  sergio agustín</t>
  </si>
  <si>
    <t>pineda mongelos,  sindy kathiana</t>
  </si>
  <si>
    <t>quispe coronado,  josé luis</t>
  </si>
  <si>
    <t>ruíz diaz,  diego fernando</t>
  </si>
  <si>
    <t>salazar,  claudio</t>
  </si>
  <si>
    <t>sotomayor machado,  sandra</t>
  </si>
  <si>
    <t>Barrero Borda,  Melanie Araceli</t>
  </si>
  <si>
    <t>Bazán,  Erica Haydee</t>
  </si>
  <si>
    <t>Serrano,  Natalia</t>
  </si>
  <si>
    <t>lemos, ezequiel alberto</t>
  </si>
  <si>
    <t>villalva, jonathan</t>
  </si>
  <si>
    <t>Ferreyra Silva</t>
  </si>
  <si>
    <t>Comparacion Padron</t>
  </si>
  <si>
    <t>tabla hijos a cargo</t>
  </si>
  <si>
    <t>no esta en el padron</t>
  </si>
  <si>
    <t>Acosta, Belén Teresa</t>
  </si>
  <si>
    <t>acosta, belen teresa</t>
  </si>
  <si>
    <t>Agostina Lucía Tenreiro</t>
  </si>
  <si>
    <t>Ale, Micaela Ayelen</t>
  </si>
  <si>
    <t>no esta tabla hijos a cargo</t>
  </si>
  <si>
    <t>Alegre Daniela</t>
  </si>
  <si>
    <t>Álvarez , Miranda Sabrina</t>
  </si>
  <si>
    <t>alvarez , miranda</t>
  </si>
  <si>
    <t>Amaya Erika</t>
  </si>
  <si>
    <t>Amaya, Mariela Cecilia</t>
  </si>
  <si>
    <t>amaya, mariela cecilia</t>
  </si>
  <si>
    <t>Aquino, Emilio Javier</t>
  </si>
  <si>
    <t>aquino, emilio javier</t>
  </si>
  <si>
    <t>Aranda, Natalia Veronica</t>
  </si>
  <si>
    <t>aranda, natalia veronica</t>
  </si>
  <si>
    <t>Argañaraz,  Ayelen Ailen</t>
  </si>
  <si>
    <t>Arroyo, Elizabeth Beatriz</t>
  </si>
  <si>
    <t>Baez,  Ornella</t>
  </si>
  <si>
    <t>Barreto,  Federico Martin</t>
  </si>
  <si>
    <t>Barriento,  Daniela Giselle</t>
  </si>
  <si>
    <t>Barrientos Maidana Jessica Tamara</t>
  </si>
  <si>
    <t>Benitez,  Lucas</t>
  </si>
  <si>
    <t>Benitez,  Miriagly</t>
  </si>
  <si>
    <t>Bergamoen,  Angie</t>
  </si>
  <si>
    <t>Bonomo, Yamila Maria</t>
  </si>
  <si>
    <t>bonomo, yamila maria</t>
  </si>
  <si>
    <t xml:space="preserve">Brenda Papa </t>
  </si>
  <si>
    <t>Caballero Reyna,  Manuel Ignacio</t>
  </si>
  <si>
    <t>caballero reyna,  manuel ignacio</t>
  </si>
  <si>
    <t>Carlos,  Nicolas</t>
  </si>
  <si>
    <t>Carrizo Marcela</t>
  </si>
  <si>
    <t xml:space="preserve">Chazarreta Fernando </t>
  </si>
  <si>
    <t>Cipriano,  Facundo Nicolas</t>
  </si>
  <si>
    <t>cipriano,  facundo nicolas</t>
  </si>
  <si>
    <t>Corbalan,  Amalia</t>
  </si>
  <si>
    <t>Cordoba,  Romina</t>
  </si>
  <si>
    <t>Coronel,  Alejandra Noemi</t>
  </si>
  <si>
    <t>coronel,  alejandra noemi</t>
  </si>
  <si>
    <t>De como,  Daiana</t>
  </si>
  <si>
    <t>de como,  daiana</t>
  </si>
  <si>
    <t>Declavio,  María Cristina</t>
  </si>
  <si>
    <t>Delgado,  Brenda Jaqueline</t>
  </si>
  <si>
    <t>delgado,  brenda jaqueline</t>
  </si>
  <si>
    <t>Diego,  Roxana Claudia</t>
  </si>
  <si>
    <t>diego,  roxana claudia</t>
  </si>
  <si>
    <t>Digangi,  Stella Maris</t>
  </si>
  <si>
    <t>digangi,  stella maris</t>
  </si>
  <si>
    <t>Diosquez,  Sheila Nahir</t>
  </si>
  <si>
    <t>diosquez,  sheila nahir</t>
  </si>
  <si>
    <t>Divito, Florencia Belén</t>
  </si>
  <si>
    <t>divito, florencia belen</t>
  </si>
  <si>
    <t>Dugour, Cecilia Paola</t>
  </si>
  <si>
    <t>dugour, cecilia paola</t>
  </si>
  <si>
    <t>Espindola,  Romina</t>
  </si>
  <si>
    <t>Farias,  Daiana</t>
  </si>
  <si>
    <t>Farias,  Tamara</t>
  </si>
  <si>
    <t>Felipe Lima, Aidee Deysi</t>
  </si>
  <si>
    <t>felipe lima, aidee deysi</t>
  </si>
  <si>
    <t>Fernandez,  Florencia Soledad</t>
  </si>
  <si>
    <t>fernandez,  florencia soledad</t>
  </si>
  <si>
    <t>Fernandez, Mariana</t>
  </si>
  <si>
    <t>fernandez, mariana</t>
  </si>
  <si>
    <t>Ferrari Barcia,  Brenda Belén</t>
  </si>
  <si>
    <t>ferrari barcia,  brenda belen</t>
  </si>
  <si>
    <t>Ferreyra Silda</t>
  </si>
  <si>
    <t>Ferro Rodriguez, Maria Elena</t>
  </si>
  <si>
    <t>ferro rodriguez, maria elena</t>
  </si>
  <si>
    <t>Figueroa,  Fernando</t>
  </si>
  <si>
    <t xml:space="preserve">figueroa,  fernando </t>
  </si>
  <si>
    <t>Flamenco,  Ludmila  Rosalia</t>
  </si>
  <si>
    <t>flamenco,  ludmila  rosalia</t>
  </si>
  <si>
    <t>Galarza,  Wanda Noemi</t>
  </si>
  <si>
    <t>galarza,  wanda noemi</t>
  </si>
  <si>
    <t>Galean,  Daiana Alejandra</t>
  </si>
  <si>
    <t>galean,  daiana alejandra</t>
  </si>
  <si>
    <t>Galeano,  Carla Antonella</t>
  </si>
  <si>
    <t>galeano,  carla antonella</t>
  </si>
  <si>
    <t>Garcia,  Maria Belén</t>
  </si>
  <si>
    <t>garcia,  maria belen</t>
  </si>
  <si>
    <t>Geirola,  Tomas Agustin</t>
  </si>
  <si>
    <t>geirola,  tomas agustin</t>
  </si>
  <si>
    <t>Gimenez, Monica Susana</t>
  </si>
  <si>
    <t>gimenez, monica susana</t>
  </si>
  <si>
    <t>Godoy Sathya</t>
  </si>
  <si>
    <t>Gonzalez Churque,  Maria Pilar</t>
  </si>
  <si>
    <t>gonzalez churque,  maria pilar</t>
  </si>
  <si>
    <t>Gonzalez,  Agostina Jessica</t>
  </si>
  <si>
    <t>gonzalez,  agostina jessica</t>
  </si>
  <si>
    <t>Gonzalez,  Claudia</t>
  </si>
  <si>
    <t xml:space="preserve">gonzalez,  claudia </t>
  </si>
  <si>
    <t>Gonzalez,  Gabriela Guadalupe</t>
  </si>
  <si>
    <t>Gonzalez,  Hernan Francisco</t>
  </si>
  <si>
    <t>gonzalez,  hernan francisco</t>
  </si>
  <si>
    <t>Gonzalez,  Ruth Esther</t>
  </si>
  <si>
    <t>gonzalez,  ruth esther</t>
  </si>
  <si>
    <t>Guitierrez, Aylin Silvia</t>
  </si>
  <si>
    <t>guitierrez, aylin silvia</t>
  </si>
  <si>
    <t>Gutierrez Quispe, Griselda</t>
  </si>
  <si>
    <t>gutierrez quispe, griselda</t>
  </si>
  <si>
    <t>Hermida,  Vanesa Karina</t>
  </si>
  <si>
    <t>hermida,  vanesa karina</t>
  </si>
  <si>
    <t>Herrera, Gaston</t>
  </si>
  <si>
    <t>herrera, gaston</t>
  </si>
  <si>
    <t>Ibañez,  Maria Ines</t>
  </si>
  <si>
    <t>ibañez,  maria ines</t>
  </si>
  <si>
    <t>Irala,  Liz</t>
  </si>
  <si>
    <t xml:space="preserve">irala,  liz </t>
  </si>
  <si>
    <t>Ivanovik,  Karen Giselle</t>
  </si>
  <si>
    <t>ivanovik,  karen giselle</t>
  </si>
  <si>
    <t>Kim,  Sabrina Leila</t>
  </si>
  <si>
    <t>kim,  sabrina leila</t>
  </si>
  <si>
    <t>Lenisa,  Nancy Yanina</t>
  </si>
  <si>
    <t>Linos,  Dolores del Carmen</t>
  </si>
  <si>
    <t xml:space="preserve">López Diego Alberto </t>
  </si>
  <si>
    <t>Lopez,  Julieta Daiana</t>
  </si>
  <si>
    <t xml:space="preserve">lopez,  julieta daiana </t>
  </si>
  <si>
    <t>Lopez,  Lilian Elizabeth</t>
  </si>
  <si>
    <t xml:space="preserve">lopez,  lilian elizabeth </t>
  </si>
  <si>
    <t xml:space="preserve">Luciana Argañaraz </t>
  </si>
  <si>
    <t>Mariani, Melina Giselle</t>
  </si>
  <si>
    <t xml:space="preserve">mariani, melina giselle </t>
  </si>
  <si>
    <t>Martin,  Nicole</t>
  </si>
  <si>
    <t>Martinez,  Raquel</t>
  </si>
  <si>
    <t>martinez,  raquel</t>
  </si>
  <si>
    <t>Medina,  Katerin Julieta</t>
  </si>
  <si>
    <t>medina,  katerin julieta</t>
  </si>
  <si>
    <t>Melgarejo , Viviana Noemi</t>
  </si>
  <si>
    <t>melgarejo , viviana noemi</t>
  </si>
  <si>
    <t>Melgarejo, Gabriela Romina</t>
  </si>
  <si>
    <t>melgarejo, gabriela romina</t>
  </si>
  <si>
    <t>Mieres,  Florencia</t>
  </si>
  <si>
    <t>mieres,  florencia</t>
  </si>
  <si>
    <t>Monaco,  Agustina</t>
  </si>
  <si>
    <t>monaco,  agustina</t>
  </si>
  <si>
    <t>Morales llanos Camila Marisol</t>
  </si>
  <si>
    <t>Muscarelli,  Florencia Sol</t>
  </si>
  <si>
    <t>muscarelli,  florencia sol</t>
  </si>
  <si>
    <t>Nieva Victoria Daniela</t>
  </si>
  <si>
    <t>Nieva,  Alcira del Valle</t>
  </si>
  <si>
    <t>nieva,  alcira del valle</t>
  </si>
  <si>
    <t>Nogueira, Diego Marcelo</t>
  </si>
  <si>
    <t>nogueira, diego marcelo</t>
  </si>
  <si>
    <t>Nuñez,  Santino Alan</t>
  </si>
  <si>
    <t>nuñez,  santino alan</t>
  </si>
  <si>
    <t>Olaya Piña, Laly del Pilar</t>
  </si>
  <si>
    <t>olaya piña, laly del pilar</t>
  </si>
  <si>
    <t xml:space="preserve">Olivera Maria Fernanda </t>
  </si>
  <si>
    <t>Ortiz,  Daniela</t>
  </si>
  <si>
    <t xml:space="preserve">ortiz,  daniela  </t>
  </si>
  <si>
    <t>Ortiz,  Marina Elizabeth</t>
  </si>
  <si>
    <t>ortiz,  marina elizabeth</t>
  </si>
  <si>
    <t>Ortiz,  Yazmin Vaniria Nahir</t>
  </si>
  <si>
    <t>ortiz,  yazmin vaniria nahir</t>
  </si>
  <si>
    <t>Palacio,  Gustavo</t>
  </si>
  <si>
    <t>palacio,  gustavo</t>
  </si>
  <si>
    <t>Paz,  Daniela</t>
  </si>
  <si>
    <t>paz,  daniela</t>
  </si>
  <si>
    <t>Pentrelli,  Vanesa</t>
  </si>
  <si>
    <t>Peralta Lourdes Tais</t>
  </si>
  <si>
    <t>Pereyra,  Lucas Daniel</t>
  </si>
  <si>
    <t>pereyra,  lucas daniel</t>
  </si>
  <si>
    <t>Perez,  Fernanda Mariel</t>
  </si>
  <si>
    <t>perez,  fernanda mariel</t>
  </si>
  <si>
    <t>Pineda Mongelos,  Sindy Kathiana</t>
  </si>
  <si>
    <t>Pineda,  Gina Magali Florencia</t>
  </si>
  <si>
    <t>pineda,  gina magali florencia</t>
  </si>
  <si>
    <t>Portillo Lucrecia Isabel</t>
  </si>
  <si>
    <t>Proz, Magali Nahir</t>
  </si>
  <si>
    <t>proz,  magali nahir</t>
  </si>
  <si>
    <t>Quintero,  Natalia Paola</t>
  </si>
  <si>
    <t>quintero,  natalia paola</t>
  </si>
  <si>
    <t>Quiñones,  Camila</t>
  </si>
  <si>
    <t>quiñones,  camila</t>
  </si>
  <si>
    <t>Quiroga,  Claudio Javier</t>
  </si>
  <si>
    <t xml:space="preserve">quiroga,  claudio javier </t>
  </si>
  <si>
    <t>Quispe Coronado,  José Luis</t>
  </si>
  <si>
    <t>Rinaldi,  Carla</t>
  </si>
  <si>
    <t>rinaldi,  carla</t>
  </si>
  <si>
    <t>Rocio Rincovich</t>
  </si>
  <si>
    <t>Rodriguez,  Paola Alejandra</t>
  </si>
  <si>
    <t>rodriguez,  paola alejandra</t>
  </si>
  <si>
    <t>Romero,  Veronica</t>
  </si>
  <si>
    <t>Romero, Irina</t>
  </si>
  <si>
    <t>romero, irina</t>
  </si>
  <si>
    <t>Romina Natalia Obredor</t>
  </si>
  <si>
    <t>Ruiz Daiana Belén</t>
  </si>
  <si>
    <t>Ruíz Diaz,  Diego Fernando</t>
  </si>
  <si>
    <t xml:space="preserve">ruíz diaz,  diego fernando </t>
  </si>
  <si>
    <t>Sabbagh,  Mario Javier</t>
  </si>
  <si>
    <t>sabbagh,  mario javier</t>
  </si>
  <si>
    <t>Salazar,  Claudio</t>
  </si>
  <si>
    <t>Salomone Gomez,  Martin Alejandro</t>
  </si>
  <si>
    <t>salomone gomez,  martin alejandro</t>
  </si>
  <si>
    <t>Saracho,  Gabriela</t>
  </si>
  <si>
    <t>saracho,  gabriela</t>
  </si>
  <si>
    <t>Sartori,  Carina Alejandra</t>
  </si>
  <si>
    <t xml:space="preserve">sartori,  carina alejandra </t>
  </si>
  <si>
    <t>Siles,  Romina Leticia</t>
  </si>
  <si>
    <t xml:space="preserve">siles,  romina leticia </t>
  </si>
  <si>
    <t>Silva Borda, Nicolas Rodrigo</t>
  </si>
  <si>
    <t>silva borda, nicolas rodrigo</t>
  </si>
  <si>
    <t>Silva,  Claudia Alejandra</t>
  </si>
  <si>
    <t>silva,  claudia alejandra</t>
  </si>
  <si>
    <t>Silva,  Luciana</t>
  </si>
  <si>
    <t>Sinchicay, Nelida del Valle</t>
  </si>
  <si>
    <t>sinchicay, nelida del valle</t>
  </si>
  <si>
    <t>Sotomayor Machado,  Sandra</t>
  </si>
  <si>
    <t>Tuzes,  Maria Ester</t>
  </si>
  <si>
    <t>Uriarte,  Romina María Lujan</t>
  </si>
  <si>
    <t xml:space="preserve">uriarte,  romina maría lujan </t>
  </si>
  <si>
    <t>Vallejos,  Cristian Adrian</t>
  </si>
  <si>
    <t>vallejos,  cristian adrian</t>
  </si>
  <si>
    <t>Vertz,  Carina Alejandra</t>
  </si>
  <si>
    <t>vertz,  carina alejandra</t>
  </si>
  <si>
    <t xml:space="preserve">Victoria Prieto </t>
  </si>
  <si>
    <t>Villalva, Jonathan</t>
  </si>
  <si>
    <t>Villegas,  Oscar</t>
  </si>
  <si>
    <t>Vitadello,  Milena Ayelen</t>
  </si>
  <si>
    <t>vitadello,  milena ayelen</t>
  </si>
  <si>
    <t>Giogia, Abril</t>
  </si>
  <si>
    <t xml:space="preserve">Romero, Jose </t>
  </si>
  <si>
    <t>Romero, Gabriela</t>
  </si>
  <si>
    <t>Ciles, Romina</t>
  </si>
  <si>
    <t>Benitez, Gisela</t>
  </si>
  <si>
    <t>Ramirez, Marilyn</t>
  </si>
  <si>
    <t xml:space="preserve">Montenegro, Sandra </t>
  </si>
  <si>
    <t>montenegro,  sandra beatriz</t>
  </si>
  <si>
    <t>Pollarolo, Soledad</t>
  </si>
  <si>
    <t>Barzi Camila, Eliana</t>
  </si>
  <si>
    <t>Herrera, Ana Cristina</t>
  </si>
  <si>
    <t>Luttie, Elizabet Cristal</t>
  </si>
  <si>
    <t>Chutchurru, Paula Giselle</t>
  </si>
  <si>
    <t>Iglesias, Juan</t>
  </si>
  <si>
    <t xml:space="preserve">Peña, Delia mabel </t>
  </si>
  <si>
    <t>Godoy, Romina</t>
  </si>
  <si>
    <t>Mansilla, Jessica</t>
  </si>
  <si>
    <t xml:space="preserve">Alvarez Miranda, Micaela </t>
  </si>
  <si>
    <t>Calderon, Rocio</t>
  </si>
  <si>
    <t>Ortiz, Gustavo</t>
  </si>
  <si>
    <t>Artesi, Flavia</t>
  </si>
  <si>
    <t>Vallejo, Rocio</t>
  </si>
  <si>
    <t>Vallejos, Cristian</t>
  </si>
  <si>
    <t>Vizgarra, Valeria</t>
  </si>
  <si>
    <t>Nogales, Lucas</t>
  </si>
  <si>
    <t>Pirri, Belen</t>
  </si>
  <si>
    <t>Pizarello, Gonzalo</t>
  </si>
  <si>
    <t>Castillo, Camila</t>
  </si>
  <si>
    <t>Cortese, Pablo</t>
  </si>
  <si>
    <t>Insaurralde, Santiago</t>
  </si>
  <si>
    <t>numeros_loys</t>
  </si>
  <si>
    <t>esta</t>
  </si>
  <si>
    <t>Nombre Afiliado</t>
  </si>
  <si>
    <t>Nombre Afiliado 1</t>
  </si>
  <si>
    <t>ap 1</t>
  </si>
  <si>
    <t>Columna 1</t>
  </si>
  <si>
    <t>Larrea Agustina</t>
  </si>
  <si>
    <t>Lucero,  Camila Macarena</t>
  </si>
  <si>
    <t>ruiz, pablo nahuel</t>
  </si>
  <si>
    <t>benittez, mirian celeste</t>
  </si>
  <si>
    <t>rodriguez,  andrea viviana</t>
  </si>
  <si>
    <t xml:space="preserve">quintero,  cinthia alejandra </t>
  </si>
  <si>
    <t>alegre, daniela</t>
  </si>
  <si>
    <t>mansilla,  fernando damian</t>
  </si>
  <si>
    <t>perez,  florencia ludmila</t>
  </si>
  <si>
    <t>ortiz,  gustavo</t>
  </si>
  <si>
    <t>1122400666</t>
  </si>
  <si>
    <t>encina,  madelin milagros</t>
  </si>
  <si>
    <t>ruiz,  mailen ariadna</t>
  </si>
  <si>
    <t>suarez,  marcos</t>
  </si>
  <si>
    <t>rojas molinas,  micaela</t>
  </si>
  <si>
    <t>davico castañeira, nazareno martin</t>
  </si>
  <si>
    <t>Timón Juan</t>
  </si>
  <si>
    <t xml:space="preserve">corarelu,  alejandra </t>
  </si>
  <si>
    <t>suarez,  cristian marcelo</t>
  </si>
  <si>
    <t xml:space="preserve">larche,  dario ezequiel </t>
  </si>
  <si>
    <t>delluniversidad,  gabriela andrea</t>
  </si>
  <si>
    <t>11 6170-8518</t>
  </si>
  <si>
    <t>kehoe,  marianela</t>
  </si>
  <si>
    <t>rolón,  marta patricia</t>
  </si>
  <si>
    <t>tuzes, maria ester</t>
  </si>
  <si>
    <t>jofre,  vivian</t>
  </si>
  <si>
    <t>salazar claudio</t>
  </si>
  <si>
    <t>Columna 2</t>
  </si>
  <si>
    <t>Afiliados sin telefono</t>
  </si>
  <si>
    <t>Celular</t>
  </si>
  <si>
    <t>López Diego Alberto ap 1784</t>
  </si>
  <si>
    <t>Fecha de Nacimiento:</t>
  </si>
  <si>
    <t>Edad:</t>
  </si>
  <si>
    <t>Discapasidad:</t>
  </si>
  <si>
    <t>expesifique cual</t>
  </si>
  <si>
    <t>Kits-1</t>
  </si>
  <si>
    <t>Kits-2</t>
  </si>
  <si>
    <t>Kits-3</t>
  </si>
  <si>
    <t>Kits-4</t>
  </si>
  <si>
    <t>Valentina, Battafarano</t>
  </si>
  <si>
    <t>no</t>
  </si>
  <si>
    <t>Santino Lorenzo, falcon</t>
  </si>
  <si>
    <t>Sofia Victoria, Falcon</t>
  </si>
  <si>
    <t xml:space="preserve"> Victoria melania, Otero Amaya</t>
  </si>
  <si>
    <t>Derek Ismael, Sampietro</t>
  </si>
  <si>
    <t xml:space="preserve"> Zoe Cataleya, Samprieto</t>
  </si>
  <si>
    <t>Oriana Ailen  torres</t>
  </si>
  <si>
    <t xml:space="preserve"> milena Agustina, retamozo</t>
  </si>
  <si>
    <t xml:space="preserve"> Uma Jazmin, franco romero</t>
  </si>
  <si>
    <t>Camilo Ian flores</t>
  </si>
  <si>
    <t>Daiara Celeste flores</t>
  </si>
  <si>
    <t>Sheila Azul, Flores</t>
  </si>
  <si>
    <t>matias nicolas galan ferro</t>
  </si>
  <si>
    <t>joanne nicole galan</t>
  </si>
  <si>
    <t>Matilda Aylen Quispe Rivadeneyra</t>
  </si>
  <si>
    <t>Gonzalo Marino Lizarraga Gutierrez</t>
  </si>
  <si>
    <t>Leonardo Jhoel Lizarraga Gutierrez</t>
  </si>
  <si>
    <t>Mariana Dail Lizarraga Gutierrez</t>
  </si>
  <si>
    <t>Adriana Grisel Lizarraga Gutierrez</t>
  </si>
  <si>
    <t>juan martin borensteins</t>
  </si>
  <si>
    <t>lucas borenstein</t>
  </si>
  <si>
    <t>matias romero</t>
  </si>
  <si>
    <t>emilia herrera</t>
  </si>
  <si>
    <t>milena russo</t>
  </si>
  <si>
    <t xml:space="preserve">brisa grosso </t>
  </si>
  <si>
    <t>satiago dugour</t>
  </si>
  <si>
    <t>mia nicole grosso</t>
  </si>
  <si>
    <t>alma candela grosso</t>
  </si>
  <si>
    <t>ludmila nogueira</t>
  </si>
  <si>
    <t>abril russo</t>
  </si>
  <si>
    <t>benjamin herrera</t>
  </si>
  <si>
    <t>lucas trapani</t>
  </si>
  <si>
    <t>rodrigo baez</t>
  </si>
  <si>
    <t>siomara mailen</t>
  </si>
  <si>
    <t>jazmin sanchez</t>
  </si>
  <si>
    <t>mora lidia aquino</t>
  </si>
  <si>
    <t>lara nina aquino</t>
  </si>
  <si>
    <t xml:space="preserve"> Juan Manuel, Cabelluzzi</t>
  </si>
  <si>
    <t>Maia Abril, Miranda Carosini</t>
  </si>
  <si>
    <t xml:space="preserve"> Felipe, Bartolome </t>
  </si>
  <si>
    <t xml:space="preserve"> Paulina, Gimenez</t>
  </si>
  <si>
    <t>Santiago, Dugou</t>
  </si>
  <si>
    <t xml:space="preserve">Lautaro, Alcaraz Espindola </t>
  </si>
  <si>
    <t xml:space="preserve">Guadalupe, Alcaraz Espindola </t>
  </si>
  <si>
    <t>Francisco, Alcaraz Espindola</t>
  </si>
  <si>
    <t xml:space="preserve">Lucero, Maite </t>
  </si>
  <si>
    <t xml:space="preserve">Galo, Lucero </t>
  </si>
  <si>
    <t xml:space="preserve">Delfina Guadalupe, Sandova </t>
  </si>
  <si>
    <t>Valentin Ezequiel, Aguirre</t>
  </si>
  <si>
    <t>Bastian Lionel, Soria  55070052</t>
  </si>
  <si>
    <t>Alma Morena, Gonzalez</t>
  </si>
  <si>
    <t>Tiziano, Solorzano Hosko</t>
  </si>
  <si>
    <t xml:space="preserve">Rodrigo, Costilla </t>
  </si>
  <si>
    <t xml:space="preserve">Lautaro, Costilla </t>
  </si>
  <si>
    <t xml:space="preserve">Ferrante Silva, Tiziano Gabriel </t>
  </si>
  <si>
    <t xml:space="preserve">Villegas Centurion, Aaron Zaid </t>
  </si>
  <si>
    <t xml:space="preserve">Villegas Centurion, Martina Antonella </t>
  </si>
  <si>
    <t xml:space="preserve">Sofia Ailen, Gómez Pineda </t>
  </si>
  <si>
    <t>Selene Antonella, Gómez Pineda</t>
  </si>
  <si>
    <t>Angelina, Napoli</t>
  </si>
  <si>
    <t>Leonela, Napoli</t>
  </si>
  <si>
    <t>Ainara Sol Patrizio</t>
  </si>
  <si>
    <t>Martina Jazmin Patrizio</t>
  </si>
  <si>
    <t xml:space="preserve">Joaquin Lautaro, Amengual De Rosa </t>
  </si>
  <si>
    <t xml:space="preserve">Nayla Nicole, Marinez </t>
  </si>
  <si>
    <t xml:space="preserve">Lautaro cortese </t>
  </si>
  <si>
    <t xml:space="preserve">Lucas cortese </t>
  </si>
  <si>
    <t xml:space="preserve">Valdez, Franco Nahuel </t>
  </si>
  <si>
    <t xml:space="preserve">Castillo Martina </t>
  </si>
  <si>
    <t xml:space="preserve"> Castillo Facundo</t>
  </si>
  <si>
    <t xml:space="preserve">Matias Leonel, Roldan Perez </t>
  </si>
  <si>
    <t xml:space="preserve">Federico Esteban, Suarez </t>
  </si>
  <si>
    <t xml:space="preserve">Santiago Eliam, Ortiz </t>
  </si>
  <si>
    <t>Gonzalo Lionel Gimenez</t>
  </si>
  <si>
    <t xml:space="preserve"> Valentina Gimenez </t>
  </si>
  <si>
    <t xml:space="preserve">Francisco Guerra </t>
  </si>
  <si>
    <t xml:space="preserve">Enzo Gianluca Aranda </t>
  </si>
  <si>
    <t xml:space="preserve">Franco cuda </t>
  </si>
  <si>
    <t>Tiziano Cuda</t>
  </si>
  <si>
    <t xml:space="preserve">Rocco Cuda </t>
  </si>
  <si>
    <t>Delgadillo Nieva</t>
  </si>
  <si>
    <t>Retamozo, Kiara</t>
  </si>
  <si>
    <t>Romero, Bautista Tomas</t>
  </si>
  <si>
    <t xml:space="preserve">Franco Ibañez, Ailin Gabriela </t>
  </si>
  <si>
    <t xml:space="preserve"> Franco Ibañez, Amarú Eva </t>
  </si>
  <si>
    <t xml:space="preserve">Lorenzo Jeremias, Rostan </t>
  </si>
  <si>
    <t>Valentina, Galeazi Quintero</t>
  </si>
  <si>
    <t>Melina Jazmin Lopez Krieger</t>
  </si>
  <si>
    <t xml:space="preserve">Tomás Joaquín Lopez Krieger </t>
  </si>
  <si>
    <t>Alex kehoe</t>
  </si>
  <si>
    <t xml:space="preserve">Joel kehoe </t>
  </si>
  <si>
    <t xml:space="preserve">Luciano kehoe </t>
  </si>
  <si>
    <t xml:space="preserve">Tania isabella, Palacio </t>
  </si>
  <si>
    <t>Irina Ludmila, Palacio</t>
  </si>
  <si>
    <t xml:space="preserve">Morena Ariana Rodriguez </t>
  </si>
  <si>
    <t xml:space="preserve">Mia Chaparro Silva </t>
  </si>
  <si>
    <t>Santiago Ezequiel Chaparro Silva</t>
  </si>
  <si>
    <t xml:space="preserve"> Escobedo, Gael Alejandro </t>
  </si>
  <si>
    <t xml:space="preserve">Alejo, Jacquet Sinchicay </t>
  </si>
  <si>
    <t xml:space="preserve">Camila aylen Serantes </t>
  </si>
  <si>
    <t xml:space="preserve"> Ezequiel Serantes </t>
  </si>
  <si>
    <t xml:space="preserve">Segundo Santiago Valentin Quiroga </t>
  </si>
  <si>
    <t>Abril Russo</t>
  </si>
  <si>
    <t xml:space="preserve"> Milena Russo</t>
  </si>
  <si>
    <t xml:space="preserve">Uma Jazmin, Franco Romero  </t>
  </si>
  <si>
    <t xml:space="preserve">Romero, Stefano Luca </t>
  </si>
  <si>
    <t xml:space="preserve">Luana Sofía, Gomá </t>
  </si>
  <si>
    <t xml:space="preserve">Joaquin Ariel, Garcia </t>
  </si>
  <si>
    <t xml:space="preserve">Mia Brunella, Sabalza </t>
  </si>
  <si>
    <t xml:space="preserve">Benjamin Román, Olas </t>
  </si>
  <si>
    <t xml:space="preserve">Maia Jazmin, Bohmwetsch </t>
  </si>
  <si>
    <t xml:space="preserve">Matias Nicolas, Rodriguez Gonzalez  </t>
  </si>
  <si>
    <t>Alma Victoria, Rodriguez Gonzalez</t>
  </si>
  <si>
    <t>Tomas,  Rodriguez Gonzalez</t>
  </si>
  <si>
    <t xml:space="preserve">Eren Lionel, Martinez </t>
  </si>
  <si>
    <t>Gala Isabella, Martinez</t>
  </si>
  <si>
    <t xml:space="preserve">Martinez, Noah Federico </t>
  </si>
  <si>
    <t>Briana Naomi, Salazar Rios</t>
  </si>
  <si>
    <t xml:space="preserve"> Ulises Ciro, Davalos Fernandez </t>
  </si>
  <si>
    <t xml:space="preserve">Renata Victoria, Perez Ferrari </t>
  </si>
  <si>
    <t xml:space="preserve">Adrian, Coronel </t>
  </si>
  <si>
    <t xml:space="preserve"> Lencina Coronel</t>
  </si>
  <si>
    <t xml:space="preserve">Franchesca, Pereyra </t>
  </si>
  <si>
    <t xml:space="preserve">Yasmin Pilar Caballero </t>
  </si>
  <si>
    <t xml:space="preserve"> Gala Azul Caballero</t>
  </si>
  <si>
    <t>Roman Caballero</t>
  </si>
  <si>
    <t>Dafne Xiomara, González López</t>
  </si>
  <si>
    <t>Jana Naylen, González López</t>
  </si>
  <si>
    <t xml:space="preserve">Olivia Renata Gomez Martin </t>
  </si>
  <si>
    <t xml:space="preserve">Bruno Agustin, Benitez  </t>
  </si>
  <si>
    <t>Leonardo Joaquín, Benitez Lopez</t>
  </si>
  <si>
    <t xml:space="preserve">Bautista Tomas, Cortez, </t>
  </si>
  <si>
    <t>Zoe Morella Gomez Proz</t>
  </si>
  <si>
    <t xml:space="preserve">Melina, Cesar  </t>
  </si>
  <si>
    <t xml:space="preserve">Mieres, Shaiel </t>
  </si>
  <si>
    <t xml:space="preserve">Tiziano Ignacio Fabian, Galeano Casciotta </t>
  </si>
  <si>
    <t xml:space="preserve">Cataleya Aitana Naomi,  Galeano Arguello </t>
  </si>
  <si>
    <t xml:space="preserve">Franchesca, Nuñez </t>
  </si>
  <si>
    <t>Isaac Emmanuel, Figueroa Arce</t>
  </si>
  <si>
    <t>Santiago Amir, Artaza</t>
  </si>
  <si>
    <t>Miqueas Abdiel Virreira Benítez</t>
  </si>
  <si>
    <t xml:space="preserve">Daiara Celeste,  Flores </t>
  </si>
  <si>
    <t>Liam Dillon</t>
  </si>
  <si>
    <t>Umma Isabella Almiron</t>
  </si>
  <si>
    <t xml:space="preserve">Olivia Isabella Di Tomaso </t>
  </si>
  <si>
    <t xml:space="preserve">Matilda Aylen, Quispe Rivadeneyra  </t>
  </si>
  <si>
    <t>Roldan, Bruno</t>
  </si>
  <si>
    <t xml:space="preserve">Chuquel Baez, Bianca </t>
  </si>
  <si>
    <t>Chuquel Baez, Elias</t>
  </si>
  <si>
    <t>Medina Barreto, Milagros Gabriela</t>
  </si>
  <si>
    <t xml:space="preserve"> Medina Barreto, Hannah Sophia</t>
  </si>
  <si>
    <t xml:space="preserve">Monasterios, Gael Jose </t>
  </si>
  <si>
    <t xml:space="preserve">Benitez Veiga, Zeuz Leonidas </t>
  </si>
  <si>
    <t>Benitez Veiga, Zoe Leila</t>
  </si>
  <si>
    <t>Benitez, Andres Eduardo Luis</t>
  </si>
  <si>
    <t>hermida, sofia oriana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</si>
</sst>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10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rgb="FF000000"/>
      <name val="Arial"/>
    </font>
    <font>
      <sz val="9.0"/>
      <color rgb="FF000000"/>
      <name val="&quot;Google Sans Mono&quot;"/>
    </font>
    <font>
      <strike/>
      <color theme="1"/>
      <name val="Calibri"/>
      <scheme val="minor"/>
    </font>
    <font>
      <color rgb="FF434343"/>
      <name val="Roboto"/>
    </font>
    <font>
      <color theme="1"/>
      <name val="Arial"/>
    </font>
    <font>
      <sz val="11.0"/>
      <color rgb="FF0C0C0C"/>
      <name val="Docs-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6F8F9"/>
        <bgColor rgb="FFF6F8F9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50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</border>
    <border>
      <left style="thin">
        <color rgb="FF3E4791"/>
      </left>
      <right style="thin">
        <color rgb="FFE6B8AF"/>
      </right>
      <top style="thin">
        <color rgb="FFE6B8AF"/>
      </top>
      <bottom style="thin">
        <color rgb="FFE6B8A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3E4791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D0E0E3"/>
      </left>
      <right style="thin">
        <color rgb="FFD0E0E3"/>
      </right>
      <top style="thin">
        <color rgb="FFD0E0E3"/>
      </top>
      <bottom style="thin">
        <color rgb="FFD0E0E3"/>
      </bottom>
    </border>
    <border>
      <left style="thin">
        <color rgb="FFD0E0E3"/>
      </left>
      <right style="thin">
        <color rgb="FF3E4791"/>
      </right>
      <top style="thin">
        <color rgb="FFD0E0E3"/>
      </top>
      <bottom style="thin">
        <color rgb="FFD0E0E3"/>
      </bottom>
    </border>
    <border>
      <left style="thin">
        <color rgb="FFFFF2CC"/>
      </left>
      <right style="thin">
        <color rgb="FF3E4791"/>
      </right>
      <top style="thin">
        <color rgb="FFFFF2CC"/>
      </top>
      <bottom style="thin">
        <color rgb="FFFFF2CC"/>
      </bottom>
    </border>
    <border>
      <left style="thin">
        <color rgb="FF3E4791"/>
      </left>
      <right style="thin">
        <color rgb="FFFFF2CC"/>
      </right>
      <top style="thin">
        <color rgb="FFFFF2CC"/>
      </top>
      <bottom style="thin">
        <color rgb="FF3E4791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3E479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E1CD"/>
      </left>
      <right style="thin">
        <color rgb="FFB7E1CD"/>
      </right>
      <top style="thin">
        <color rgb="FFB7E1CD"/>
      </top>
      <bottom style="thin">
        <color rgb="FFB7E1CD"/>
      </bottom>
    </border>
    <border>
      <left style="thin">
        <color rgb="FFF4C7C3"/>
      </left>
      <right style="thin">
        <color rgb="FF284E3F"/>
      </right>
      <top style="thin">
        <color rgb="FFF4C7C3"/>
      </top>
      <bottom style="thin">
        <color rgb="FFF4C7C3"/>
      </bottom>
    </border>
    <border>
      <left style="thin">
        <color rgb="FFB7E1CD"/>
      </left>
      <right style="thin">
        <color rgb="FF284E3F"/>
      </right>
      <top style="thin">
        <color rgb="FFB7E1CD"/>
      </top>
      <bottom style="thin">
        <color rgb="FFB7E1CD"/>
      </bottom>
    </border>
    <border>
      <left style="thin">
        <color rgb="FF284E3F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284E3F"/>
      </left>
      <right style="thin">
        <color rgb="FFF4CCCC"/>
      </right>
      <top style="thin">
        <color rgb="FFF4CCCC"/>
      </top>
      <bottom style="thin">
        <color rgb="FF284E3F"/>
      </bottom>
    </border>
    <border>
      <left style="thin">
        <color rgb="FFB7E1CD"/>
      </left>
      <right style="thin">
        <color rgb="FFB7E1CD"/>
      </right>
      <top style="thin">
        <color rgb="FFB7E1CD"/>
      </top>
      <bottom style="thin">
        <color rgb="FF284E3F"/>
      </bottom>
    </border>
    <border>
      <left style="thin">
        <color rgb="FFB7E1CD"/>
      </left>
      <right style="thin">
        <color rgb="FF284E3F"/>
      </right>
      <top style="thin">
        <color rgb="FFB7E1CD"/>
      </top>
      <bottom style="thin">
        <color rgb="FF284E3F"/>
      </bottom>
    </border>
    <border>
      <left style="thin">
        <color rgb="FF284E3F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FFEB9C"/>
      </left>
      <right style="thin">
        <color rgb="FFFFEB9C"/>
      </right>
      <top style="thin">
        <color rgb="FFFFEB9C"/>
      </top>
      <bottom style="thin">
        <color rgb="FFFFEB9C"/>
      </bottom>
    </border>
    <border>
      <left style="thin">
        <color rgb="FFFFC7CE"/>
      </left>
      <right style="thin">
        <color rgb="FF3E4791"/>
      </right>
      <top style="thin">
        <color rgb="FFFFC7CE"/>
      </top>
      <bottom style="thin">
        <color rgb="FFFFC7CE"/>
      </bottom>
    </border>
    <border>
      <left style="thin">
        <color rgb="FFFFC7CE"/>
      </left>
      <right style="thin">
        <color rgb="FFFFC7CE"/>
      </right>
      <top style="thin">
        <color rgb="FFFFC7CE"/>
      </top>
      <bottom style="thin">
        <color rgb="FFFFC7CE"/>
      </bottom>
    </border>
    <border>
      <left style="thin">
        <color rgb="FFFFEB9C"/>
      </left>
      <right style="thin">
        <color rgb="FF3E4791"/>
      </right>
      <top style="thin">
        <color rgb="FFFFEB9C"/>
      </top>
      <bottom style="thin">
        <color rgb="FFFFEB9C"/>
      </bottom>
    </border>
  </borders>
  <cellStyleXfs count="1">
    <xf borderId="0" fillId="0" fontId="0" numFmtId="0" applyAlignment="1" applyFont="1"/>
  </cellStyleXfs>
  <cellXfs count="2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14" xfId="0" applyAlignment="1" applyBorder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center" vertical="center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164" xfId="0" applyAlignment="1" applyBorder="1" applyFont="1" applyNumberForma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164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6" fillId="2" fontId="3" numFmtId="164" xfId="0" applyAlignment="1" applyBorder="1" applyFill="1" applyFont="1" applyNumberFormat="1">
      <alignment horizontal="right" readingOrder="0"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6" fillId="0" fontId="1" numFmtId="14" xfId="0" applyAlignment="1" applyBorder="1" applyFont="1" applyNumberForma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5" fillId="2" fontId="3" numFmtId="0" xfId="0" applyAlignment="1" applyBorder="1" applyFont="1">
      <alignment horizontal="right"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164" xfId="0" applyAlignment="1" applyBorder="1" applyFont="1" applyNumberFormat="1">
      <alignment readingOrder="0" shrinkToFit="0" vertical="center" wrapText="0"/>
    </xf>
    <xf borderId="0" fillId="0" fontId="2" numFmtId="14" xfId="0" applyAlignment="1" applyFont="1" applyNumberFormat="1">
      <alignment horizontal="center" vertical="center"/>
    </xf>
    <xf borderId="2" fillId="0" fontId="1" numFmtId="14" xfId="0" applyAlignment="1" applyBorder="1" applyFont="1" applyNumberForma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8" fillId="0" fontId="1" numFmtId="164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3" fillId="3" fontId="1" numFmtId="0" xfId="0" applyAlignment="1" applyBorder="1" applyFill="1" applyFont="1">
      <alignment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shrinkToFit="0" vertical="center" wrapText="0"/>
    </xf>
    <xf borderId="15" fillId="0" fontId="1" numFmtId="164" xfId="0" applyAlignment="1" applyBorder="1" applyFont="1" applyNumberFormat="1">
      <alignment readingOrder="0" shrinkToFit="0" vertical="center" wrapText="0"/>
    </xf>
    <xf borderId="16" fillId="0" fontId="1" numFmtId="0" xfId="0" applyAlignment="1" applyBorder="1" applyFont="1">
      <alignment shrinkToFit="0" vertical="center" wrapText="0"/>
    </xf>
    <xf borderId="17" fillId="0" fontId="1" numFmtId="0" xfId="0" applyAlignment="1" applyBorder="1" applyFont="1">
      <alignment horizontal="left" readingOrder="0" shrinkToFit="0" vertical="center" wrapText="0"/>
    </xf>
    <xf borderId="18" fillId="0" fontId="1" numFmtId="0" xfId="0" applyAlignment="1" applyBorder="1" applyFont="1">
      <alignment horizontal="left" readingOrder="0" shrinkToFit="0" vertical="center" wrapText="0"/>
    </xf>
    <xf borderId="19" fillId="0" fontId="1" numFmtId="0" xfId="0" applyAlignment="1" applyBorder="1" applyFont="1">
      <alignment horizontal="left" readingOrder="0" shrinkToFit="0" vertical="center" wrapText="0"/>
    </xf>
    <xf borderId="20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21" fillId="0" fontId="1" numFmtId="0" xfId="0" applyAlignment="1" applyBorder="1" applyFont="1">
      <alignment readingOrder="0" shrinkToFit="0" vertical="center" wrapText="0"/>
    </xf>
    <xf borderId="22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23" fillId="0" fontId="1" numFmtId="0" xfId="0" applyAlignment="1" applyBorder="1" applyFont="1">
      <alignment readingOrder="0" shrinkToFit="0" vertical="center" wrapText="0"/>
    </xf>
    <xf borderId="24" fillId="0" fontId="1" numFmtId="0" xfId="0" applyAlignment="1" applyBorder="1" applyFont="1">
      <alignment readingOrder="0" shrinkToFit="0" vertical="center" wrapText="0"/>
    </xf>
    <xf borderId="25" fillId="0" fontId="1" numFmtId="0" xfId="0" applyAlignment="1" applyBorder="1" applyFont="1">
      <alignment readingOrder="0" shrinkToFit="0" vertical="center" wrapText="0"/>
    </xf>
    <xf borderId="26" fillId="0" fontId="1" numFmtId="0" xfId="0" applyAlignment="1" applyBorder="1" applyFont="1">
      <alignment readingOrder="0" shrinkToFit="0" vertical="center" wrapText="0"/>
    </xf>
    <xf borderId="19" fillId="0" fontId="1" numFmtId="0" xfId="0" applyAlignment="1" applyBorder="1" applyFont="1">
      <alignment horizontal="left" readingOrder="0" shrinkToFit="0" vertical="center" wrapText="0"/>
    </xf>
    <xf borderId="5" fillId="0" fontId="1" numFmtId="165" xfId="0" applyAlignment="1" applyBorder="1" applyFont="1" applyNumberFormat="1">
      <alignment readingOrder="0" shrinkToFit="0" vertical="center" wrapText="0"/>
    </xf>
    <xf borderId="8" fillId="0" fontId="1" numFmtId="165" xfId="0" applyAlignment="1" applyBorder="1" applyFont="1" applyNumberFormat="1">
      <alignment readingOrder="0" shrinkToFit="0" vertical="center" wrapText="0"/>
    </xf>
    <xf borderId="27" fillId="0" fontId="1" numFmtId="0" xfId="0" applyAlignment="1" applyBorder="1" applyFont="1">
      <alignment readingOrder="0" shrinkToFit="0" vertical="center" wrapText="0"/>
    </xf>
    <xf borderId="28" fillId="0" fontId="1" numFmtId="0" xfId="0" applyAlignment="1" applyBorder="1" applyFont="1">
      <alignment readingOrder="0" shrinkToFit="0" vertical="center" wrapText="0"/>
    </xf>
    <xf borderId="28" fillId="0" fontId="1" numFmtId="165" xfId="0" applyAlignment="1" applyBorder="1" applyFont="1" applyNumberFormat="1">
      <alignment readingOrder="0" shrinkToFit="0" vertical="center" wrapText="0"/>
    </xf>
    <xf borderId="15" fillId="0" fontId="1" numFmtId="164" xfId="0" applyAlignment="1" applyBorder="1" applyFont="1" applyNumberFormat="1">
      <alignment shrinkToFit="0" vertical="center" wrapText="0"/>
    </xf>
    <xf borderId="0" fillId="0" fontId="1" numFmtId="0" xfId="0" applyAlignment="1" applyFont="1">
      <alignment readingOrder="0"/>
    </xf>
    <xf borderId="2" fillId="0" fontId="1" numFmtId="0" xfId="0" applyAlignment="1" applyBorder="1" applyFont="1">
      <alignment horizontal="center" readingOrder="0" shrinkToFit="0" vertical="center" wrapText="0"/>
    </xf>
    <xf borderId="5" fillId="0" fontId="1" numFmtId="49" xfId="0" applyAlignment="1" applyBorder="1" applyFont="1" applyNumberFormat="1">
      <alignment horizontal="center" shrinkToFit="0" vertical="center" wrapText="0"/>
    </xf>
    <xf borderId="8" fillId="0" fontId="1" numFmtId="49" xfId="0" applyAlignment="1" applyBorder="1" applyFont="1" applyNumberFormat="1">
      <alignment horizontal="center" shrinkToFit="0" vertical="center" wrapText="0"/>
    </xf>
    <xf borderId="8" fillId="0" fontId="1" numFmtId="49" xfId="0" applyAlignment="1" applyBorder="1" applyFont="1" applyNumberFormat="1">
      <alignment horizontal="center" readingOrder="0" shrinkToFit="0" vertical="center" wrapText="0"/>
    </xf>
    <xf borderId="5" fillId="0" fontId="1" numFmtId="49" xfId="0" applyAlignment="1" applyBorder="1" applyFont="1" applyNumberFormat="1">
      <alignment horizontal="center" readingOrder="0" shrinkToFit="0" vertical="center" wrapText="0"/>
    </xf>
    <xf borderId="14" fillId="0" fontId="1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shrinkToFit="0" vertical="center" wrapText="0"/>
    </xf>
    <xf borderId="15" fillId="0" fontId="1" numFmtId="49" xfId="0" applyAlignment="1" applyBorder="1" applyFont="1" applyNumberFormat="1">
      <alignment shrinkToFit="0" vertical="center" wrapText="0"/>
    </xf>
    <xf borderId="16" fillId="0" fontId="1" numFmtId="164" xfId="0" applyAlignment="1" applyBorder="1" applyFont="1" applyNumberFormat="1">
      <alignment shrinkToFit="0" vertical="center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3" xfId="0" applyAlignment="1" applyBorder="1" applyFont="1" applyNumberFormat="1">
      <alignment horizontal="center" shrinkToFit="0" vertical="center" wrapText="0"/>
    </xf>
    <xf borderId="2" fillId="0" fontId="1" numFmtId="3" xfId="0" applyAlignment="1" applyBorder="1" applyFont="1" applyNumberForma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0" fillId="0" fontId="0" numFmtId="0" xfId="0" applyFont="1"/>
    <xf borderId="29" fillId="0" fontId="1" numFmtId="0" xfId="0" applyAlignment="1" applyBorder="1" applyFont="1">
      <alignment horizontal="center" shrinkToFit="0" vertical="center" wrapText="0"/>
    </xf>
    <xf borderId="30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5" fillId="0" fontId="1" numFmtId="164" xfId="0" applyAlignment="1" applyBorder="1" applyFont="1" applyNumberFormat="1">
      <alignment horizontal="center" shrinkToFit="0" vertical="center" wrapText="0"/>
    </xf>
    <xf borderId="5" fillId="0" fontId="1" numFmtId="3" xfId="0" applyAlignment="1" applyBorder="1" applyFont="1" applyNumberFormat="1">
      <alignment horizontal="center" shrinkToFit="0" vertical="center" wrapText="0"/>
    </xf>
    <xf borderId="5" fillId="0" fontId="1" numFmtId="3" xfId="0" applyAlignment="1" applyBorder="1" applyFont="1" applyNumberForma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5" fillId="2" fontId="4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8" fillId="0" fontId="1" numFmtId="164" xfId="0" applyAlignment="1" applyBorder="1" applyFont="1" applyNumberFormat="1">
      <alignment horizontal="center" shrinkToFit="0" vertical="center" wrapText="0"/>
    </xf>
    <xf borderId="8" fillId="0" fontId="1" numFmtId="3" xfId="0" applyAlignment="1" applyBorder="1" applyFont="1" applyNumberFormat="1">
      <alignment horizontal="center" shrinkToFit="0" vertical="center" wrapText="0"/>
    </xf>
    <xf borderId="8" fillId="0" fontId="1" numFmtId="3" xfId="0" applyAlignment="1" applyBorder="1" applyFont="1" applyNumberFormat="1">
      <alignment horizontal="center" shrinkToFit="0" vertical="center" wrapText="0"/>
    </xf>
    <xf borderId="30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31" fillId="0" fontId="1" numFmtId="0" xfId="0" applyAlignment="1" applyBorder="1" applyFont="1">
      <alignment horizontal="center" shrinkToFit="0" vertical="center" wrapText="0"/>
    </xf>
    <xf borderId="31" fillId="0" fontId="1" numFmtId="164" xfId="0" applyAlignment="1" applyBorder="1" applyFont="1" applyNumberFormat="1">
      <alignment horizontal="center" shrinkToFit="0" vertical="center" wrapText="0"/>
    </xf>
    <xf borderId="31" fillId="0" fontId="1" numFmtId="3" xfId="0" applyAlignment="1" applyBorder="1" applyFont="1" applyNumberFormat="1">
      <alignment horizontal="center" shrinkToFit="0" vertical="center" wrapText="0"/>
    </xf>
    <xf borderId="31" fillId="0" fontId="1" numFmtId="3" xfId="0" applyAlignment="1" applyBorder="1" applyFont="1" applyNumberFormat="1">
      <alignment horizontal="center" shrinkToFit="0" vertical="center" wrapText="0"/>
    </xf>
    <xf borderId="31" fillId="0" fontId="1" numFmtId="0" xfId="0" applyAlignment="1" applyBorder="1" applyFont="1">
      <alignment horizontal="center" shrinkToFit="0" vertical="center" wrapText="0"/>
    </xf>
    <xf borderId="32" fillId="0" fontId="1" numFmtId="0" xfId="0" applyAlignment="1" applyBorder="1" applyFont="1">
      <alignment horizontal="center" shrinkToFit="0" vertical="center" wrapText="0"/>
    </xf>
    <xf borderId="6" fillId="0" fontId="5" numFmtId="0" xfId="0" applyAlignment="1" applyBorder="1" applyFont="1">
      <alignment horizontal="center" readingOrder="0" shrinkToFit="0" vertical="center" wrapText="0"/>
    </xf>
    <xf borderId="9" fillId="0" fontId="5" numFmtId="0" xfId="0" applyAlignment="1" applyBorder="1" applyFont="1">
      <alignment horizontal="center" readingOrder="0" shrinkToFit="0" vertical="center" wrapText="0"/>
    </xf>
    <xf borderId="6" fillId="0" fontId="5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33" fillId="0" fontId="1" numFmtId="0" xfId="0" applyAlignment="1" applyBorder="1" applyFont="1">
      <alignment horizontal="center" shrinkToFit="0" vertical="center" wrapText="0"/>
    </xf>
    <xf borderId="9" fillId="0" fontId="5" numFmtId="0" xfId="0" applyAlignment="1" applyBorder="1" applyFont="1">
      <alignment horizontal="center" shrinkToFit="0" vertical="center" wrapText="0"/>
    </xf>
    <xf borderId="30" fillId="0" fontId="1" numFmtId="164" xfId="0" applyAlignment="1" applyBorder="1" applyFont="1" applyNumberFormat="1">
      <alignment horizontal="center" shrinkToFit="0" vertical="center" wrapText="0"/>
    </xf>
    <xf borderId="31" fillId="0" fontId="1" numFmtId="14" xfId="0" applyAlignment="1" applyBorder="1" applyFont="1" applyNumberFormat="1">
      <alignment horizontal="center" shrinkToFit="0" vertical="center" wrapText="0"/>
    </xf>
    <xf borderId="5" fillId="0" fontId="1" numFmtId="14" xfId="0" applyAlignment="1" applyBorder="1" applyFont="1" applyNumberFormat="1">
      <alignment horizontal="center" shrinkToFit="0" vertical="center" wrapText="0"/>
    </xf>
    <xf borderId="8" fillId="0" fontId="1" numFmtId="14" xfId="0" applyAlignment="1" applyBorder="1" applyFont="1" applyNumberFormat="1">
      <alignment horizontal="center" shrinkToFit="0" vertical="center" wrapText="0"/>
    </xf>
    <xf borderId="34" fillId="0" fontId="1" numFmtId="0" xfId="0" applyAlignment="1" applyBorder="1" applyFont="1">
      <alignment horizontal="center" shrinkToFit="0" vertical="center" wrapText="0"/>
    </xf>
    <xf borderId="35" fillId="0" fontId="1" numFmtId="0" xfId="0" applyAlignment="1" applyBorder="1" applyFont="1">
      <alignment horizontal="center" shrinkToFit="0" vertical="center" wrapText="0"/>
    </xf>
    <xf borderId="15" fillId="0" fontId="1" numFmtId="0" xfId="0" applyAlignment="1" applyBorder="1" applyFont="1">
      <alignment horizontal="center" shrinkToFit="0" vertical="center" wrapText="0"/>
    </xf>
    <xf borderId="15" fillId="0" fontId="1" numFmtId="14" xfId="0" applyAlignment="1" applyBorder="1" applyFont="1" applyNumberFormat="1">
      <alignment horizontal="center" shrinkToFit="0" vertical="center" wrapText="0"/>
    </xf>
    <xf borderId="15" fillId="0" fontId="1" numFmtId="3" xfId="0" applyAlignment="1" applyBorder="1" applyFont="1" applyNumberFormat="1">
      <alignment horizontal="center" shrinkToFit="0" vertical="center" wrapText="0"/>
    </xf>
    <xf borderId="16" fillId="0" fontId="1" numFmtId="0" xfId="0" applyAlignment="1" applyBorder="1" applyFont="1">
      <alignment horizontal="center" shrinkToFit="0" vertical="center" wrapText="0"/>
    </xf>
    <xf borderId="0" fillId="0" fontId="0" numFmtId="0" xfId="0" applyAlignment="1" applyFont="1">
      <alignment horizontal="center"/>
    </xf>
    <xf borderId="0" fillId="0" fontId="1" numFmtId="3" xfId="0" applyAlignment="1" applyFont="1" applyNumberFormat="1">
      <alignment horizontal="center"/>
    </xf>
    <xf borderId="0" fillId="0" fontId="0" numFmtId="3" xfId="0" applyAlignment="1" applyFont="1" applyNumberFormat="1">
      <alignment horizontal="center"/>
    </xf>
    <xf borderId="0" fillId="0" fontId="0" numFmtId="0" xfId="0" applyAlignment="1" applyFont="1">
      <alignment horizontal="center" readingOrder="0"/>
    </xf>
    <xf borderId="0" fillId="0" fontId="1" numFmtId="0" xfId="0" applyFont="1"/>
    <xf borderId="0" fillId="0" fontId="1" numFmtId="0" xfId="0" applyFont="1"/>
    <xf borderId="0" fillId="0" fontId="1" numFmtId="164" xfId="0" applyFont="1" applyNumberFormat="1"/>
    <xf borderId="20" fillId="0" fontId="1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shrinkToFit="0" vertical="center" wrapText="0"/>
    </xf>
    <xf borderId="36" fillId="4" fontId="6" numFmtId="0" xfId="0" applyAlignment="1" applyBorder="1" applyFill="1" applyFont="1">
      <alignment shrinkToFit="0" vertical="bottom" wrapText="0"/>
    </xf>
    <xf borderId="36" fillId="4" fontId="6" numFmtId="0" xfId="0" applyAlignment="1" applyBorder="1" applyFont="1">
      <alignment horizontal="right" shrinkToFit="0" vertical="bottom" wrapText="0"/>
    </xf>
    <xf borderId="0" fillId="4" fontId="6" numFmtId="0" xfId="0" applyAlignment="1" applyFont="1">
      <alignment horizontal="right" shrinkToFit="0" vertical="bottom" wrapText="0"/>
    </xf>
    <xf borderId="0" fillId="0" fontId="7" numFmtId="0" xfId="0" applyAlignment="1" applyFont="1">
      <alignment vertical="bottom"/>
    </xf>
    <xf borderId="22" fillId="0" fontId="1" numFmtId="0" xfId="0" applyAlignment="1" applyBorder="1" applyFont="1">
      <alignment shrinkToFit="0" vertical="center" wrapText="0"/>
    </xf>
    <xf borderId="23" fillId="0" fontId="1" numFmtId="0" xfId="0" applyAlignment="1" applyBorder="1" applyFont="1">
      <alignment shrinkToFit="0" vertical="center" wrapText="0"/>
    </xf>
    <xf borderId="36" fillId="2" fontId="6" numFmtId="0" xfId="0" applyAlignment="1" applyBorder="1" applyFont="1">
      <alignment shrinkToFit="0" vertical="bottom" wrapText="0"/>
    </xf>
    <xf borderId="36" fillId="2" fontId="6" numFmtId="0" xfId="0" applyAlignment="1" applyBorder="1" applyFont="1">
      <alignment horizontal="right" shrinkToFit="0" vertical="bottom" wrapText="0"/>
    </xf>
    <xf borderId="0" fillId="2" fontId="7" numFmtId="0" xfId="0" applyAlignment="1" applyFont="1">
      <alignment horizontal="right" shrinkToFit="0" vertical="bottom" wrapText="0"/>
    </xf>
    <xf borderId="0" fillId="2" fontId="7" numFmtId="0" xfId="0" applyAlignment="1" applyFont="1">
      <alignment vertical="bottom"/>
    </xf>
    <xf borderId="0" fillId="4" fontId="7" numFmtId="0" xfId="0" applyAlignment="1" applyFont="1">
      <alignment horizontal="right" shrinkToFit="0" vertical="bottom" wrapText="0"/>
    </xf>
    <xf borderId="0" fillId="4" fontId="7" numFmtId="0" xfId="0" applyAlignment="1" applyFont="1">
      <alignment vertical="bottom"/>
    </xf>
    <xf borderId="8" fillId="2" fontId="6" numFmtId="0" xfId="0" applyAlignment="1" applyBorder="1" applyFont="1">
      <alignment horizontal="right" shrinkToFit="0" vertical="bottom" wrapText="0"/>
    </xf>
    <xf borderId="5" fillId="4" fontId="6" numFmtId="0" xfId="0" applyAlignment="1" applyBorder="1" applyFont="1">
      <alignment horizontal="right" shrinkToFit="0" vertical="bottom" wrapText="0"/>
    </xf>
    <xf borderId="0" fillId="2" fontId="6" numFmtId="0" xfId="0" applyAlignment="1" applyFont="1">
      <alignment horizontal="right" shrinkToFit="0" vertical="bottom" wrapText="0"/>
    </xf>
    <xf borderId="5" fillId="2" fontId="6" numFmtId="0" xfId="0" applyAlignment="1" applyBorder="1" applyFont="1">
      <alignment horizontal="right" shrinkToFit="0" vertical="bottom" wrapText="0"/>
    </xf>
    <xf borderId="8" fillId="4" fontId="6" numFmtId="0" xfId="0" applyAlignment="1" applyBorder="1" applyFont="1">
      <alignment horizontal="right" shrinkToFit="0" vertical="bottom" wrapText="0"/>
    </xf>
    <xf borderId="36" fillId="5" fontId="6" numFmtId="0" xfId="0" applyAlignment="1" applyBorder="1" applyFill="1" applyFont="1">
      <alignment shrinkToFit="0" vertical="bottom" wrapText="0"/>
    </xf>
    <xf borderId="36" fillId="5" fontId="6" numFmtId="0" xfId="0" applyAlignment="1" applyBorder="1" applyFont="1">
      <alignment horizontal="right" shrinkToFit="0" vertical="bottom" wrapText="0"/>
    </xf>
    <xf borderId="11" fillId="5" fontId="6" numFmtId="0" xfId="0" applyAlignment="1" applyBorder="1" applyFont="1">
      <alignment horizontal="right" shrinkToFit="0" vertical="bottom" wrapText="0"/>
    </xf>
    <xf borderId="0" fillId="5" fontId="7" numFmtId="0" xfId="0" applyAlignment="1" applyFont="1">
      <alignment vertical="bottom"/>
    </xf>
    <xf borderId="0" fillId="5" fontId="7" numFmtId="0" xfId="0" applyAlignment="1" applyFont="1">
      <alignment vertical="bottom"/>
    </xf>
    <xf borderId="0" fillId="4" fontId="8" numFmtId="0" xfId="0" applyAlignment="1" applyFont="1">
      <alignment horizontal="center" vertical="bottom"/>
    </xf>
    <xf borderId="0" fillId="4" fontId="7" numFmtId="0" xfId="0" applyAlignment="1" applyFont="1">
      <alignment horizontal="right" vertical="bottom"/>
    </xf>
    <xf borderId="24" fillId="0" fontId="1" numFmtId="0" xfId="0" applyAlignment="1" applyBorder="1" applyFont="1">
      <alignment shrinkToFit="0" vertical="center" wrapText="0"/>
    </xf>
    <xf borderId="26" fillId="0" fontId="1" numFmtId="0" xfId="0" applyAlignment="1" applyBorder="1" applyFont="1">
      <alignment shrinkToFit="0" vertical="center" wrapText="0"/>
    </xf>
    <xf borderId="17" fillId="0" fontId="7" numFmtId="0" xfId="0" applyAlignment="1" applyBorder="1" applyFont="1">
      <alignment horizontal="left" readingOrder="0" shrinkToFit="0" vertical="center" wrapText="0"/>
    </xf>
    <xf borderId="18" fillId="0" fontId="7" numFmtId="0" xfId="0" applyAlignment="1" applyBorder="1" applyFont="1">
      <alignment horizontal="left" readingOrder="0" shrinkToFit="0" vertical="center" wrapText="0"/>
    </xf>
    <xf borderId="18" fillId="0" fontId="1" numFmtId="0" xfId="0" applyAlignment="1" applyBorder="1" applyFont="1">
      <alignment horizontal="left" readingOrder="0" shrinkToFit="0" vertical="center" wrapText="0"/>
    </xf>
    <xf borderId="19" fillId="0" fontId="1" numFmtId="0" xfId="0" applyAlignment="1" applyBorder="1" applyFont="1">
      <alignment horizontal="left" readingOrder="0" shrinkToFit="0" vertical="center" wrapText="0"/>
    </xf>
    <xf borderId="20" fillId="2" fontId="9" numFmtId="0" xfId="0" applyAlignment="1" applyBorder="1" applyFont="1">
      <alignment shrinkToFit="0" vertical="center" wrapText="0"/>
    </xf>
    <xf borderId="21" fillId="2" fontId="7" numFmtId="0" xfId="0" applyAlignment="1" applyBorder="1" applyFont="1">
      <alignment horizontal="right" shrinkToFit="0" vertical="center" wrapText="0"/>
    </xf>
    <xf borderId="37" fillId="0" fontId="1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shrinkToFit="0" vertical="center" wrapText="0"/>
    </xf>
    <xf borderId="22" fillId="4" fontId="9" numFmtId="0" xfId="0" applyAlignment="1" applyBorder="1" applyFont="1">
      <alignment shrinkToFit="0" vertical="center" wrapText="0"/>
    </xf>
    <xf borderId="23" fillId="4" fontId="9" numFmtId="0" xfId="0" applyAlignment="1" applyBorder="1" applyFont="1">
      <alignment horizontal="right" shrinkToFit="0" vertical="center" wrapText="0"/>
    </xf>
    <xf borderId="8" fillId="0" fontId="1" numFmtId="0" xfId="0" applyAlignment="1" applyBorder="1" applyFont="1">
      <alignment shrinkToFit="0" vertical="center" wrapText="0"/>
    </xf>
    <xf borderId="23" fillId="0" fontId="1" numFmtId="0" xfId="0" applyAlignment="1" applyBorder="1" applyFont="1">
      <alignment shrinkToFit="0" vertical="center" wrapText="0"/>
    </xf>
    <xf borderId="21" fillId="2" fontId="9" numFmtId="0" xfId="0" applyAlignment="1" applyBorder="1" applyFont="1">
      <alignment horizontal="right" shrinkToFit="0" vertical="center" wrapText="0"/>
    </xf>
    <xf borderId="38" fillId="4" fontId="9" numFmtId="0" xfId="0" applyAlignment="1" applyBorder="1" applyFont="1">
      <alignment horizontal="right" shrinkToFit="0" vertical="center" wrapText="0"/>
    </xf>
    <xf borderId="39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20" fillId="4" fontId="9" numFmtId="0" xfId="0" applyAlignment="1" applyBorder="1" applyFont="1">
      <alignment shrinkToFit="0" vertical="center" wrapText="0"/>
    </xf>
    <xf borderId="21" fillId="4" fontId="9" numFmtId="0" xfId="0" applyAlignment="1" applyBorder="1" applyFont="1">
      <alignment horizontal="right" shrinkToFit="0" vertical="center" wrapText="0"/>
    </xf>
    <xf borderId="22" fillId="2" fontId="9" numFmtId="0" xfId="0" applyAlignment="1" applyBorder="1" applyFont="1">
      <alignment shrinkToFit="0" vertical="center" wrapText="0"/>
    </xf>
    <xf borderId="23" fillId="2" fontId="9" numFmtId="0" xfId="0" applyAlignment="1" applyBorder="1" applyFont="1">
      <alignment horizontal="right" shrinkToFit="0" vertical="center" wrapText="0"/>
    </xf>
    <xf borderId="20" fillId="6" fontId="9" numFmtId="0" xfId="0" applyAlignment="1" applyBorder="1" applyFill="1" applyFont="1">
      <alignment shrinkToFit="0" vertical="center" wrapText="0"/>
    </xf>
    <xf borderId="22" fillId="6" fontId="9" numFmtId="0" xfId="0" applyAlignment="1" applyBorder="1" applyFont="1">
      <alignment shrinkToFit="0" vertical="center" wrapText="0"/>
    </xf>
    <xf borderId="38" fillId="2" fontId="9" numFmtId="0" xfId="0" applyAlignment="1" applyBorder="1" applyFont="1">
      <alignment horizontal="right" shrinkToFit="0" vertical="center" wrapText="0"/>
    </xf>
    <xf borderId="40" fillId="6" fontId="9" numFmtId="0" xfId="0" applyAlignment="1" applyBorder="1" applyFont="1">
      <alignment shrinkToFit="0" vertical="center" wrapText="0"/>
    </xf>
    <xf borderId="8" fillId="4" fontId="9" numFmtId="0" xfId="0" applyAlignment="1" applyBorder="1" applyFont="1">
      <alignment horizontal="right" shrinkToFit="0" vertical="center" wrapText="0"/>
    </xf>
    <xf borderId="5" fillId="2" fontId="9" numFmtId="0" xfId="0" applyAlignment="1" applyBorder="1" applyFont="1">
      <alignment horizontal="right" shrinkToFit="0" vertical="center" wrapText="0"/>
    </xf>
    <xf borderId="5" fillId="2" fontId="7" numFmtId="0" xfId="0" applyAlignment="1" applyBorder="1" applyFont="1">
      <alignment shrinkToFit="0" vertical="center" wrapText="0"/>
    </xf>
    <xf borderId="41" fillId="6" fontId="9" numFmtId="0" xfId="0" applyAlignment="1" applyBorder="1" applyFont="1">
      <alignment shrinkToFit="0" vertical="center" wrapText="0"/>
    </xf>
    <xf borderId="25" fillId="2" fontId="9" numFmtId="0" xfId="0" applyAlignment="1" applyBorder="1" applyFont="1">
      <alignment horizontal="right" shrinkToFit="0" vertical="center" wrapText="0"/>
    </xf>
    <xf borderId="42" fillId="0" fontId="1" numFmtId="0" xfId="0" applyAlignment="1" applyBorder="1" applyFont="1">
      <alignment shrinkToFit="0" vertical="center" wrapText="0"/>
    </xf>
    <xf borderId="43" fillId="0" fontId="1" numFmtId="0" xfId="0" applyAlignment="1" applyBorder="1" applyFont="1">
      <alignment shrinkToFit="0" vertical="center" wrapText="0"/>
    </xf>
    <xf borderId="17" fillId="0" fontId="1" numFmtId="49" xfId="0" applyAlignment="1" applyBorder="1" applyFont="1" applyNumberFormat="1">
      <alignment horizontal="center" readingOrder="0" shrinkToFit="0" vertical="center" wrapText="0"/>
    </xf>
    <xf borderId="18" fillId="0" fontId="1" numFmtId="0" xfId="0" applyAlignment="1" applyBorder="1" applyFont="1">
      <alignment horizontal="left" readingOrder="0" shrinkToFit="0" vertical="center" wrapText="0"/>
    </xf>
    <xf borderId="18" fillId="0" fontId="1" numFmtId="49" xfId="0" applyAlignment="1" applyBorder="1" applyFont="1" applyNumberFormat="1">
      <alignment horizontal="left" readingOrder="0" shrinkToFit="0" vertical="center" wrapText="0"/>
    </xf>
    <xf borderId="20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21" fillId="0" fontId="1" numFmtId="0" xfId="0" applyAlignment="1" applyBorder="1" applyFont="1">
      <alignment shrinkToFit="0" vertical="center" wrapText="0"/>
    </xf>
    <xf borderId="40" fillId="6" fontId="1" numFmtId="0" xfId="0" applyAlignment="1" applyBorder="1" applyFont="1">
      <alignment horizontal="center" readingOrder="0" shrinkToFit="0" vertical="center" wrapText="0"/>
    </xf>
    <xf borderId="37" fillId="0" fontId="1" numFmtId="0" xfId="0" applyAlignment="1" applyBorder="1" applyFont="1">
      <alignment readingOrder="0" shrinkToFit="0" vertical="center" wrapText="0"/>
    </xf>
    <xf borderId="23" fillId="0" fontId="1" numFmtId="0" xfId="0" applyAlignment="1" applyBorder="1" applyFont="1">
      <alignment shrinkToFit="0" vertical="center" wrapText="0"/>
    </xf>
    <xf borderId="22" fillId="0" fontId="1" numFmtId="0" xfId="0" applyAlignment="1" applyBorder="1" applyFont="1">
      <alignment horizontal="center" readingOrder="0" shrinkToFit="0" vertical="center" wrapText="0"/>
    </xf>
    <xf borderId="20" fillId="2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40" fillId="6" fontId="1" numFmtId="49" xfId="0" applyAlignment="1" applyBorder="1" applyFont="1" applyNumberFormat="1">
      <alignment horizontal="center" readingOrder="0" shrinkToFit="0" vertical="center" wrapText="0"/>
    </xf>
    <xf borderId="22" fillId="0" fontId="1" numFmtId="0" xfId="0" applyAlignment="1" applyBorder="1" applyFont="1">
      <alignment horizontal="center" readingOrder="0" shrinkToFit="0" vertical="center" wrapText="0"/>
    </xf>
    <xf borderId="20" fillId="0" fontId="1" numFmtId="0" xfId="0" applyAlignment="1" applyBorder="1" applyFont="1">
      <alignment horizontal="center" readingOrder="0" shrinkToFit="0" vertical="center" wrapText="0"/>
    </xf>
    <xf borderId="22" fillId="4" fontId="1" numFmtId="0" xfId="0" applyAlignment="1" applyBorder="1" applyFont="1">
      <alignment horizontal="center" readingOrder="0" shrinkToFit="0" vertical="center" wrapText="0"/>
    </xf>
    <xf borderId="24" fillId="0" fontId="1" numFmtId="0" xfId="0" applyAlignment="1" applyBorder="1" applyFont="1">
      <alignment horizontal="center" readingOrder="0" shrinkToFit="0" vertical="center" wrapText="0"/>
    </xf>
    <xf borderId="25" fillId="0" fontId="1" numFmtId="0" xfId="0" applyAlignment="1" applyBorder="1" applyFont="1">
      <alignment readingOrder="0" shrinkToFit="0" vertical="center" wrapText="0"/>
    </xf>
    <xf borderId="42" fillId="0" fontId="1" numFmtId="0" xfId="0" applyAlignment="1" applyBorder="1" applyFont="1">
      <alignment readingOrder="0" shrinkToFit="0" vertical="center" wrapText="0"/>
    </xf>
    <xf borderId="25" fillId="0" fontId="1" numFmtId="0" xfId="0" applyAlignment="1" applyBorder="1" applyFont="1">
      <alignment readingOrder="0" shrinkToFit="0" vertical="center" wrapText="0"/>
    </xf>
    <xf borderId="25" fillId="0" fontId="1" numFmtId="0" xfId="0" applyAlignment="1" applyBorder="1" applyFont="1">
      <alignment shrinkToFit="0" vertical="center" wrapText="0"/>
    </xf>
    <xf borderId="26" fillId="0" fontId="1" numFmtId="0" xfId="0" applyAlignment="1" applyBorder="1" applyFont="1">
      <alignment shrinkToFit="0" vertical="center" wrapText="0"/>
    </xf>
    <xf borderId="0" fillId="0" fontId="1" numFmtId="49" xfId="0" applyAlignment="1" applyFont="1" applyNumberFormat="1">
      <alignment horizontal="center"/>
    </xf>
    <xf borderId="17" fillId="0" fontId="1" numFmtId="49" xfId="0" applyAlignment="1" applyBorder="1" applyFont="1" applyNumberFormat="1">
      <alignment horizontal="left" readingOrder="0" shrinkToFit="0" vertical="center" wrapText="0"/>
    </xf>
    <xf borderId="19" fillId="0" fontId="1" numFmtId="0" xfId="0" applyAlignment="1" applyBorder="1" applyFont="1">
      <alignment horizontal="left" readingOrder="0" shrinkToFit="0" vertical="center" wrapText="0"/>
    </xf>
    <xf borderId="21" fillId="0" fontId="1" numFmtId="0" xfId="0" applyAlignment="1" applyBorder="1" applyFont="1">
      <alignment readingOrder="0" shrinkToFit="0" vertical="center" wrapText="0"/>
    </xf>
    <xf borderId="21" fillId="0" fontId="1" numFmtId="0" xfId="0" applyAlignment="1" applyBorder="1" applyFont="1">
      <alignment readingOrder="0" shrinkToFit="0" vertical="center" wrapText="0"/>
    </xf>
    <xf borderId="23" fillId="0" fontId="1" numFmtId="0" xfId="0" applyAlignment="1" applyBorder="1" applyFont="1">
      <alignment readingOrder="0" shrinkToFit="0" vertical="center" wrapText="0"/>
    </xf>
    <xf borderId="23" fillId="0" fontId="1" numFmtId="0" xfId="0" applyAlignment="1" applyBorder="1" applyFont="1">
      <alignment readingOrder="0" shrinkToFit="0" vertical="center" wrapText="0"/>
    </xf>
    <xf borderId="44" fillId="7" fontId="1" numFmtId="0" xfId="0" applyAlignment="1" applyBorder="1" applyFill="1" applyFont="1">
      <alignment readingOrder="0" shrinkToFit="0" vertical="center" wrapText="0"/>
    </xf>
    <xf borderId="20" fillId="2" fontId="1" numFmtId="0" xfId="0" applyAlignment="1" applyBorder="1" applyFont="1">
      <alignment readingOrder="0" shrinkToFit="0" vertical="center" wrapText="0"/>
    </xf>
    <xf borderId="22" fillId="0" fontId="1" numFmtId="49" xfId="0" applyAlignment="1" applyBorder="1" applyFont="1" applyNumberFormat="1">
      <alignment shrinkToFit="0" vertical="center" wrapText="0"/>
    </xf>
    <xf borderId="20" fillId="0" fontId="1" numFmtId="49" xfId="0" applyAlignment="1" applyBorder="1" applyFont="1" applyNumberFormat="1">
      <alignment shrinkToFit="0" vertical="center" wrapText="0"/>
    </xf>
    <xf borderId="45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46" fillId="0" fontId="1" numFmtId="0" xfId="0" applyAlignment="1" applyBorder="1" applyFont="1">
      <alignment shrinkToFit="0" vertical="center" wrapText="0"/>
    </xf>
    <xf borderId="4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48" fillId="0" fontId="1" numFmtId="0" xfId="0" applyAlignment="1" applyBorder="1" applyFont="1">
      <alignment shrinkToFit="0" vertical="center" wrapText="0"/>
    </xf>
    <xf borderId="49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49" fillId="0" fontId="1" numFmtId="0" xfId="0" applyAlignment="1" applyBorder="1" applyFont="1">
      <alignment shrinkToFit="0" vertical="center" wrapText="0"/>
    </xf>
    <xf borderId="47" fillId="0" fontId="1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horizontal="center" shrinkToFit="0" vertical="center" wrapText="0"/>
    </xf>
    <xf borderId="15" fillId="0" fontId="1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0" fontId="2" numFmtId="14" xfId="0" applyAlignment="1" applyFont="1" applyNumberFormat="1">
      <alignment horizontal="center"/>
    </xf>
    <xf borderId="1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6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16">
    <dxf>
      <font/>
      <fill>
        <patternFill patternType="none"/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>
        <b/>
        <color rgb="FF9C0006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</dxfs>
  <tableStyles count="15">
    <tableStyle count="3" pivot="0" name="DatosPersonales-style">
      <tableStyleElement dxfId="2" type="headerRow"/>
      <tableStyleElement dxfId="3" type="firstRowStripe"/>
      <tableStyleElement dxfId="4" type="secondRowStripe"/>
    </tableStyle>
    <tableStyle count="3" pivot="0" name="DatosLaborales-style">
      <tableStyleElement dxfId="2" type="headerRow"/>
      <tableStyleElement dxfId="3" type="firstRowStripe"/>
      <tableStyleElement dxfId="4" type="secondRowStripe"/>
    </tableStyle>
    <tableStyle count="3" pivot="0" name="fichas_pdf-style">
      <tableStyleElement dxfId="5" type="headerRow"/>
      <tableStyleElement dxfId="3" type="firstRowStripe"/>
      <tableStyleElement dxfId="4" type="secondRowStripe"/>
    </tableStyle>
    <tableStyle count="3" pivot="0" name="Hoja 11-style">
      <tableStyleElement dxfId="5" type="headerRow"/>
      <tableStyleElement dxfId="3" type="firstRowStripe"/>
      <tableStyleElement dxfId="4" type="secondRowStripe"/>
    </tableStyle>
    <tableStyle count="3" pivot="0" name="aux_BD_Delegados-style">
      <tableStyleElement dxfId="2" type="headerRow"/>
      <tableStyleElement dxfId="3" type="firstRowStripe"/>
      <tableStyleElement dxfId="4" type="secondRowStripe"/>
    </tableStyle>
    <tableStyle count="3" pivot="0" name="conyuges-style">
      <tableStyleElement dxfId="2" type="headerRow"/>
      <tableStyleElement dxfId="3" type="firstRowStripe"/>
      <tableStyleElement dxfId="4" type="secondRowStripe"/>
    </tableStyle>
    <tableStyle count="3" pivot="0" name="padron_prevecion-style">
      <tableStyleElement dxfId="2" type="headerRow"/>
      <tableStyleElement dxfId="3" type="firstRowStripe"/>
      <tableStyleElement dxfId="4" type="secondRowStripe"/>
    </tableStyle>
    <tableStyle count="3" pivot="0" name="Hoja 7-style">
      <tableStyleElement dxfId="5" type="headerRow"/>
      <tableStyleElement dxfId="3" type="firstRowStripe"/>
      <tableStyleElement dxfId="4" type="secondRowStripe"/>
    </tableStyle>
    <tableStyle count="2" pivot="0" name="Hoja 7-style 2">
      <tableStyleElement dxfId="4" type="firstRowStripe"/>
      <tableStyleElement dxfId="3" type="secondRowStripe"/>
    </tableStyle>
    <tableStyle count="3" pivot="0" name="Hoja 10-style">
      <tableStyleElement dxfId="5" type="headerRow"/>
      <tableStyleElement dxfId="3" type="firstRowStripe"/>
      <tableStyleElement dxfId="4" type="secondRowStripe"/>
    </tableStyle>
    <tableStyle count="3" pivot="0" name="grupo_whatsapp-style">
      <tableStyleElement dxfId="5" type="headerRow"/>
      <tableStyleElement dxfId="3" type="firstRowStripe"/>
      <tableStyleElement dxfId="4" type="secondRowStripe"/>
    </tableStyle>
    <tableStyle count="3" pivot="0" name="No_Datos_GrWha-style">
      <tableStyleElement dxfId="5" type="headerRow"/>
      <tableStyleElement dxfId="3" type="firstRowStripe"/>
      <tableStyleElement dxfId="4" type="secondRowStripe"/>
    </tableStyle>
    <tableStyle count="3" pivot="0" name="No_Datos_GrWha-style 2">
      <tableStyleElement dxfId="5" type="headerRow"/>
      <tableStyleElement dxfId="3" type="firstRowStripe"/>
      <tableStyleElement dxfId="4" type="secondRowStripe"/>
    </tableStyle>
    <tableStyle count="3" pivot="0" name="hijos-style">
      <tableStyleElement dxfId="2" type="headerRow"/>
      <tableStyleElement dxfId="3" type="firstRowStripe"/>
      <tableStyleElement dxfId="4" type="secondRowStripe"/>
    </tableStyle>
    <tableStyle count="3" pivot="0" name="Hoja 14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196" displayName="datos_personales" name="datos_personales" id="1">
  <autoFilter ref="$A$1:$P$196"/>
  <tableColumns count="16">
    <tableColumn name="id:" id="1"/>
    <tableColumn name="Apellido:" id="2"/>
    <tableColumn name="Nombre" id="3"/>
    <tableColumn name="D.n.i:" id="4"/>
    <tableColumn name="Nacionalidad:" id="5"/>
    <tableColumn name="Género:" id="6"/>
    <tableColumn name="Domicilio (Calle y n°):" id="7"/>
    <tableColumn name="Cod. Postal:" id="8"/>
    <tableColumn name="Provincia:" id="9"/>
    <tableColumn name="Estudios:" id="10"/>
    <tableColumn name="Titulo / Carrera:" id="11"/>
    <tableColumn name="Estado Civil:" id="12"/>
    <tableColumn name="Localidad:" id="13"/>
    <tableColumn name="E-Mail:" id="14"/>
    <tableColumn name="Tel. Contacto:" id="15"/>
    <tableColumn name="Fecha Nacimiento:" id="16"/>
  </tableColumns>
  <tableStyleInfo name="DatosPersonales-style" showColumnStripes="0" showFirstColumn="1" showLastColumn="1" showRowStripes="1"/>
</table>
</file>

<file path=xl/tables/table2.xml><?xml version="1.0" encoding="utf-8"?>
<table xmlns="http://schemas.openxmlformats.org/spreadsheetml/2006/main" ref="A1:Q207" displayName="datos_laborales" name="datos_laborales" id="2">
  <autoFilter ref="$A$1:$Q$207"/>
  <tableColumns count="17">
    <tableColumn name="id:" id="1"/>
    <tableColumn name="clave_foranea" id="2"/>
    <tableColumn name="N° De Legajo" id="3"/>
    <tableColumn name="N° De Cuil:" id="4"/>
    <tableColumn name="Domicilio del  lugar de Trabajo: (Calle y n°)" id="5"/>
    <tableColumn name="Localidad:" id="6"/>
    <tableColumn name="Motivo de Afiliación:" id="7"/>
    <tableColumn name="Organismo que liquida su haber" id="8"/>
    <tableColumn name="Organismo donde trabaja:" id="9"/>
    <tableColumn name="Obra Social:" id="10"/>
    <tableColumn name="N° de Afiliado:" id="11"/>
    <tableColumn name="Fecha de Alta:" id="12"/>
    <tableColumn name="Relacion de Dependencia" id="13"/>
    <tableColumn name="Inicio Actividad:" id="14"/>
    <tableColumn name="Años en Actividad:" id="15"/>
    <tableColumn name="renuncio" id="16"/>
    <tableColumn name="tiene_ficha_pdf" id="17"/>
  </tableColumns>
  <tableStyleInfo name="DatosLaborales-style" showColumnStripes="0" showFirstColumn="1" showLastColumn="1" showRowStripes="1"/>
</table>
</file>

<file path=xl/tables/table3.xml><?xml version="1.0" encoding="utf-8"?>
<table xmlns="http://schemas.openxmlformats.org/spreadsheetml/2006/main" ref="A1:D96" displayName="fichas_pdf" name="fichas_pdf" id="3">
  <tableColumns count="4">
    <tableColumn name="ap" id="1"/>
    <tableColumn name="apellido" id="2"/>
    <tableColumn name="nombre" id="3"/>
    <tableColumn name="tiene" id="4"/>
  </tableColumns>
  <tableStyleInfo name="fichas_pdf-style" showColumnStripes="0" showFirstColumn="1" showLastColumn="1" showRowStripes="1"/>
</table>
</file>

<file path=xl/tables/table4.xml><?xml version="1.0" encoding="utf-8"?>
<table xmlns="http://schemas.openxmlformats.org/spreadsheetml/2006/main" ref="A1:Z95" displayName="Tabla_hijos_cargo" name="Tabla_hijos_cargo" id="4">
  <tableColumns count="26">
    <tableColumn name="Apellido/s nombre/s" id="1"/>
    <tableColumn name="AP" id="2"/>
    <tableColumn name="Teléfono de contacto" id="3"/>
    <tableColumn name="Cuando ingreso a prevención" id="4"/>
    <tableColumn name="¿En que comuna esta tu sendero?" id="5"/>
    <tableColumn name="Apellido/s y Nombre/s  hijo/a 1" id="6"/>
    <tableColumn name="D.n.i hijo/a 1" id="7"/>
    <tableColumn name="Fecha nacimiento hijo/a 1" id="8"/>
    <tableColumn name="Apellido/s y Nombre/s  hijo/a 2" id="9"/>
    <tableColumn name="D.n.i hijo/a 2" id="10"/>
    <tableColumn name="Fecha nacimiento hijo/a 2" id="11"/>
    <tableColumn name="Apellido/s y Nombre/s  hijo/a 3" id="12"/>
    <tableColumn name="D.n.i hijo/a 3" id="13"/>
    <tableColumn name="Fecha nacimiento hijo/a 3" id="14"/>
    <tableColumn name="Apellido/s y Nombre/s  hijo/a 4" id="15"/>
    <tableColumn name="D.n.i hijo/a 4" id="16"/>
    <tableColumn name="Fecha nacimiento hijo/a 4" id="17"/>
    <tableColumn name="Apellido/s y Nombre/s  hijo/a 5" id="18"/>
    <tableColumn name="D.n.i hijo/a 5" id="19"/>
    <tableColumn name="Fecha nacimiento hijo/a 5" id="20"/>
    <tableColumn name="Apellido/s y Nombre/s  hijo/a 6" id="21"/>
    <tableColumn name="D.n.i hijo/a 6" id="22"/>
    <tableColumn name="Fecha nacimiento hijo/a 6" id="23"/>
    <tableColumn name="Apellido/s y Nombre/s  hijo/a 7" id="24"/>
    <tableColumn name="D.n.i hijo/a 7" id="25"/>
    <tableColumn name="Fecha nacimiento hijo/a 7" id="26"/>
  </tableColumns>
  <tableStyleInfo name="Hoja 11-style" showColumnStripes="0" showFirstColumn="1" showLastColumn="1" showRowStripes="1"/>
</table>
</file>

<file path=xl/tables/table5.xml><?xml version="1.0" encoding="utf-8"?>
<table xmlns="http://schemas.openxmlformats.org/spreadsheetml/2006/main" ref="A1:F17" displayName="datos_delegados" name="datos_delegados" id="5">
  <tableColumns count="6">
    <tableColumn name="id:" id="1"/>
    <tableColumn name="clave_foranea:" id="2"/>
    <tableColumn name="Inicio mandato" id="3"/>
    <tableColumn name="En Actividad" id="4"/>
    <tableColumn name="Años mandato" id="5"/>
    <tableColumn name="Observaciones" id="6"/>
  </tableColumns>
  <tableStyleInfo name="aux_BD_Delegados-style" showColumnStripes="0" showFirstColumn="1" showLastColumn="1" showRowStripes="1"/>
</table>
</file>

<file path=xl/tables/table6.xml><?xml version="1.0" encoding="utf-8"?>
<table xmlns="http://schemas.openxmlformats.org/spreadsheetml/2006/main" ref="A1:E225" displayName="datos_conyuges" name="datos_conyuges" id="6">
  <autoFilter ref="$A$1:$E$225"/>
  <tableColumns count="5">
    <tableColumn name="id:" id="1"/>
    <tableColumn name="Clave_foranea:" id="2"/>
    <tableColumn name="Nombre y Apellido:" id="3"/>
    <tableColumn name="D.n.i:" id="4"/>
    <tableColumn name="Fecha  de Nacimiento:" id="5"/>
  </tableColumns>
  <tableStyleInfo name="conyuges-style" showColumnStripes="0" showFirstColumn="1" showLastColumn="1" showRowStripes="1"/>
</table>
</file>

<file path=xl/tables/table7.xml><?xml version="1.0" encoding="utf-8"?>
<table xmlns="http://schemas.openxmlformats.org/spreadsheetml/2006/main" ref="A1:V227" displayName="resultado_bd" name="resultado_bd" id="7">
  <autoFilter ref="$A$1:$V$227">
    <filterColumn colId="19">
      <filters>
        <filter val="1"/>
        <filter val="#VALUE!"/>
      </filters>
    </filterColumn>
    <filterColumn colId="5">
      <filters>
        <filter val="Armentano,  Romina"/>
        <filter val="Camicia,  Leila Mabel"/>
        <filter val="gonzalez,  claudia"/>
        <filter val="Lopez,  Cinthia"/>
        <filter val="cruz, jonathan hernan"/>
        <filter val="rinaldi,  carla"/>
        <filter val="cepeda,  veronica"/>
        <filter val="pineda mongelos,  sindy kathiana"/>
        <filter val="Gonzalez,  Gabriela Guadalupe"/>
        <filter val="sinchicay, nelida del valle"/>
        <filter val="coronel,  alejandra noemi"/>
        <filter val="mamani,  ivan"/>
        <filter val="Ybarra,  Roxana"/>
        <filter val="Argañaraz,  Ayelen Ailen"/>
        <filter val="jurado usabarrena,  lourdes anabel"/>
        <filter val="cardozo,  gladys mabel"/>
        <filter val="lemos, ezequiel alberto"/>
        <filter val="gutierrez,  belén"/>
        <filter val="roma,  pablo"/>
        <filter val="aranda, natalia veronica"/>
        <filter val="amaya, mariela cecilia"/>
        <filter val="rojas,  veronica"/>
        <filter val="gonzalez,  agostina jessica"/>
        <filter val="hermida,  vanesa karina"/>
        <filter val="Hosko,  Aldana"/>
        <filter val="Bergamoen,  Angie"/>
        <filter val="montiel,  sergio agustín"/>
        <filter val="uriarte,  romina maría lujan"/>
        <filter val="quispe coronado,  josé luis"/>
        <filter val="zegarra,  alarcon mariano salvador"/>
        <filter val="rivera,  daniela alejandra"/>
        <filter val="Bianchi,  Alexis"/>
        <filter val="albornoz, victor omar"/>
        <filter val="Barrero Borda,  Melanie Araceli"/>
        <filter val="Gerez,  Paula"/>
        <filter val="romero, irina"/>
        <filter val="Gervasio,  Cintia Micaela"/>
        <filter val="sterzel,  romina"/>
        <filter val="fernandez,  nazarena abril"/>
        <filter val="ruiz,  lucia yamila"/>
        <filter val="sterzel,  hernan"/>
        <filter val="villalva, jonathan"/>
        <filter val="melgarejo, gabriela romina"/>
        <filter val="vitadello,  milena ayelen"/>
        <filter val="jaime, emilse solange"/>
        <filter val="pindilli, monica beatriz"/>
        <filter val="felipe lima, aidee deysi"/>
        <filter val="vallejos,  cristian adrian"/>
        <filter val="caballero reyna,  manuel ignacio"/>
        <filter val="martinez,  raquel"/>
        <filter val="hidalgo,  silvia roxana"/>
        <filter val="turza,  francisco"/>
        <filter val="quiroga,  claudio javier"/>
        <filter val="melgarejo , viviana noemi"/>
        <filter val="Borda,  Noelia Elizabeth"/>
        <filter val="rodriguez,  paola alejandra"/>
        <filter val="ríos,  mariana noemí"/>
        <filter val="Castro Andraca,  Maria Angeles"/>
        <filter val="figueroa,  fernando"/>
        <filter val="sorbara,  mariana"/>
        <filter val="virreira,  pedro"/>
        <filter val="saracho,  gabriela"/>
        <filter val="gutierrez quispe, griselda"/>
        <filter val="martin,  nicole"/>
        <filter val="Mugno,  Vanesa"/>
        <filter val="linos,  dolores del carmen"/>
        <filter val="gonzalez,  martina"/>
        <filter val="herrera, gaston"/>
        <filter val="lopez,  gonzalo ezequiel"/>
        <filter val="carlos,  nicolas"/>
        <filter val="de como,  daiana"/>
        <filter val="perez,  claudio"/>
        <filter val="arroyo, elizabeth beatriz"/>
        <filter val="Bruno,  Johanna Belén"/>
        <filter val="romero,  veronica"/>
        <filter val="d' agostino,  leandro"/>
        <filter val="insfran gutierrez,  johanna yanett"/>
        <filter val="pereyra,  lucas daniel"/>
        <filter val="Estevez,  Brenda"/>
        <filter val="catalano,  ariadna"/>
        <filter val="torres,  rodrigo"/>
        <filter val="declavio,  maría cristina"/>
        <filter val="sartori,  carina alejandra"/>
        <filter val="Cabelluzi,  Juan Alberto"/>
        <filter val="Tesone,  Juan Manuel"/>
        <filter val="vertz,  carina alejandra"/>
        <filter val="rossi,  jesica johana"/>
        <filter val="martinez,  debora alejandra"/>
        <filter val="perez,  maría bettina"/>
        <filter val="Carosini,  Araceli"/>
        <filter val="paez,  yamila denise"/>
        <filter val="geirola,  tomas agustin"/>
        <filter val="gonzalez,  gabriela"/>
        <filter val="battafarano,  amelia andrea"/>
      </filters>
    </filterColumn>
  </autoFilter>
  <tableColumns count="22">
    <tableColumn name="comentarios VERO" id="1"/>
    <tableColumn name="comentarios VERO1" id="2"/>
    <tableColumn name="id" id="3"/>
    <tableColumn name="Relacion de Dependencia" id="4"/>
    <tableColumn name="Delegados" id="5"/>
    <tableColumn name="Afiliados:" id="6"/>
    <tableColumn name="AP" id="7"/>
    <tableColumn name="Ingreso a Prevención" id="8"/>
    <tableColumn name="Años de actividad:" id="9"/>
    <tableColumn name="DNI" id="10"/>
    <tableColumn name="Fecha de Nacimiento" id="11"/>
    <tableColumn name="Menores a Cargo" id="12"/>
    <tableColumn name="kit-1" id="13"/>
    <tableColumn name="kit-2" id="14"/>
    <tableColumn name="kit-3" id="15"/>
    <tableColumn name="kit-4" id="16"/>
    <tableColumn name="cantidad de kits" id="17"/>
    <tableColumn name="Celular Particular" id="18"/>
    <tableColumn name="Email" id="19"/>
    <tableColumn name="esta_grupo_upcn" id="20"/>
    <tableColumn name="renucio" id="21"/>
    <tableColumn name="tiene_ficha_pdf" id="22"/>
  </tableColumns>
  <tableStyleInfo name="padron_prevecion-style" showColumnStripes="0" showFirstColumn="1" showLastColumn="1" showRowStripes="1"/>
</table>
</file>

<file path=xl/tables/table8.xml><?xml version="1.0" encoding="utf-8"?>
<table xmlns="http://schemas.openxmlformats.org/spreadsheetml/2006/main" ref="A1:B226" displayName="Afiliados_UPCN" name="Afiliados_UPCN" id="8">
  <tableColumns count="2">
    <tableColumn name="Nombre y Apellido" id="1"/>
    <tableColumn name="AP" id="2"/>
  </tableColumns>
  <tableStyleInfo name="Hoja 7-style" showColumnStripes="0" showFirstColumn="1" showLastColumn="1" showRowStripes="1"/>
</table>
</file>

<file path=xl/tables/table9.xml><?xml version="1.0" encoding="utf-8"?>
<table xmlns="http://schemas.openxmlformats.org/spreadsheetml/2006/main" headerRowCount="0" ref="D2:G21" displayName="Table_1" name="Table_1" id="9">
  <tableColumns count="4">
    <tableColumn name="Column1" id="1"/>
    <tableColumn name="Column2" id="2"/>
    <tableColumn name="Column3" id="3"/>
    <tableColumn name="Column4" id="4"/>
  </tableColumns>
  <tableStyleInfo name="Hoja 7-style 2" showColumnStripes="0" showFirstColumn="1" showLastColumn="1" showRowStripes="1"/>
</table>
</file>

<file path=xl/tables/table10.xml><?xml version="1.0" encoding="utf-8"?>
<table xmlns="http://schemas.openxmlformats.org/spreadsheetml/2006/main" ref="A1:D184" displayName="Tabla_1" name="Tabla_1" id="10">
  <autoFilter ref="$A$1:$D$184">
    <filterColumn colId="0">
      <colorFilter dxfId="12"/>
    </filterColumn>
  </autoFilter>
  <tableColumns count="4">
    <tableColumn name="Afiliados:" id="1"/>
    <tableColumn name="AP" id="2"/>
    <tableColumn name="Comparacion Padron" id="3"/>
    <tableColumn name="tabla hijos a cargo" id="4"/>
  </tableColumns>
  <tableStyleInfo name="Hoja 10-style" showColumnStripes="0" showFirstColumn="1" showLastColumn="1" showRowStripes="1"/>
</table>
</file>

<file path=xl/tables/table11.xml><?xml version="1.0" encoding="utf-8"?>
<table xmlns="http://schemas.openxmlformats.org/spreadsheetml/2006/main" ref="A1:G306" displayName="telefonos_afiliados" name="telefonos_afiliados" id="11">
  <autoFilter ref="$A$1:$G$306">
    <filterColumn colId="0">
      <filters>
        <filter val="1131572115"/>
      </filters>
    </filterColumn>
  </autoFilter>
  <tableColumns count="7">
    <tableColumn name="numeros_loys" id="1"/>
    <tableColumn name="esta" id="2"/>
    <tableColumn name="Nombre Afiliado" id="3"/>
    <tableColumn name="ap" id="4"/>
    <tableColumn name="Nombre Afiliado 1" id="5"/>
    <tableColumn name="ap 1" id="6"/>
    <tableColumn name="Columna 1" id="7"/>
  </tableColumns>
  <tableStyleInfo name="grupo_whatsapp-style" showColumnStripes="0" showFirstColumn="1" showLastColumn="1" showRowStripes="1"/>
</table>
</file>

<file path=xl/tables/table12.xml><?xml version="1.0" encoding="utf-8"?>
<table xmlns="http://schemas.openxmlformats.org/spreadsheetml/2006/main" ref="A1:B999" displayName="Tabla_no_datos" name="Tabla_no_datos" id="12">
  <autoFilter ref="$A$1:$B$999">
    <filterColumn colId="0">
      <colorFilter dxfId="13"/>
    </filterColumn>
  </autoFilter>
  <tableColumns count="2">
    <tableColumn name="numeros_loys" id="1"/>
    <tableColumn name="Columna 2" id="2"/>
  </tableColumns>
  <tableStyleInfo name="No_Datos_GrWha-style" showColumnStripes="0" showFirstColumn="1" showLastColumn="1" showRowStripes="1"/>
</table>
</file>

<file path=xl/tables/table13.xml><?xml version="1.0" encoding="utf-8"?>
<table xmlns="http://schemas.openxmlformats.org/spreadsheetml/2006/main" ref="C1:D999" displayName="Tabla_no_celu" name="Tabla_no_celu" id="13">
  <tableColumns count="2">
    <tableColumn name="Afiliados sin telefono" id="1"/>
    <tableColumn name="Celular" id="2"/>
  </tableColumns>
  <tableStyleInfo name="No_Datos_GrWha-style 2" showColumnStripes="0" showFirstColumn="1" showLastColumn="1" showRowStripes="1"/>
</table>
</file>

<file path=xl/tables/table14.xml><?xml version="1.0" encoding="utf-8"?>
<table xmlns="http://schemas.openxmlformats.org/spreadsheetml/2006/main" ref="A1:L159" displayName="datos_hijos" name="datos_hijos" id="14">
  <autoFilter ref="$A$1:$L$159"/>
  <tableColumns count="12">
    <tableColumn name="id:" id="1"/>
    <tableColumn name="Clave_foranea:" id="2"/>
    <tableColumn name="Nombre y Apellido:" id="3"/>
    <tableColumn name="D.n.i:" id="4"/>
    <tableColumn name="Fecha de Nacimiento:" id="5"/>
    <tableColumn name="Edad:" id="6"/>
    <tableColumn name="Discapasidad:" id="7"/>
    <tableColumn name="expesifique cual" id="8"/>
    <tableColumn name="Kits-1" id="9"/>
    <tableColumn name="Kits-2" id="10"/>
    <tableColumn name="Kits-3" id="11"/>
    <tableColumn name="Kits-4" id="12"/>
  </tableColumns>
  <tableStyleInfo name="hijos-style" showColumnStripes="0" showFirstColumn="1" showLastColumn="1" showRowStripes="1"/>
</table>
</file>

<file path=xl/tables/table15.xml><?xml version="1.0" encoding="utf-8"?>
<table xmlns="http://schemas.openxmlformats.org/spreadsheetml/2006/main" ref="A1:L159" displayName="Tabla_2" name="Tabla_2" id="15">
  <tableColumns count="12">
    <tableColumn name="id:" id="1"/>
    <tableColumn name="Clave_foranea:" id="2"/>
    <tableColumn name="Nombre y Apellido:" id="3"/>
    <tableColumn name="D.n.i:" id="4"/>
    <tableColumn name="Fecha de Nacimiento:" id="5"/>
    <tableColumn name="Edad:" id="6"/>
    <tableColumn name="Discapasidad:" id="7"/>
    <tableColumn name="expesifique cual" id="8"/>
    <tableColumn name="Kits-1" id="9"/>
    <tableColumn name="Kits-2" id="10"/>
    <tableColumn name="Kits-3" id="11"/>
    <tableColumn name="Kits-4" id="12"/>
  </tableColumns>
  <tableStyleInfo name="Hoja 1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12.xml"/><Relationship Id="rId5" Type="http://schemas.openxmlformats.org/officeDocument/2006/relationships/table" Target="../tables/table1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2" width="19.0"/>
    <col customWidth="1" min="3" max="4" width="23.71"/>
    <col customWidth="1" min="5" max="5" width="15.29"/>
    <col customWidth="1" min="6" max="6" width="13.43"/>
    <col customWidth="1" min="7" max="7" width="26.14"/>
    <col customWidth="1" min="8" max="8" width="17.57"/>
    <col customWidth="1" min="9" max="9" width="15.43"/>
    <col customWidth="1" min="10" max="10" width="14.86"/>
    <col customWidth="1" min="11" max="11" width="40.86"/>
    <col customWidth="1" min="12" max="12" width="17.71"/>
    <col customWidth="1" min="13" max="13" width="19.43"/>
    <col customWidth="1" min="14" max="14" width="36.29"/>
    <col customWidth="1" min="15" max="15" width="19.43"/>
    <col customWidth="1" min="16" max="16" width="27.43"/>
    <col customWidth="1" min="17" max="41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>
      <c r="A2" s="5">
        <v>2.172633E7</v>
      </c>
      <c r="B2" s="6" t="s">
        <v>16</v>
      </c>
      <c r="C2" s="6" t="s">
        <v>17</v>
      </c>
      <c r="D2" s="6">
        <v>2.172633E7</v>
      </c>
      <c r="E2" s="6"/>
      <c r="F2" s="6"/>
      <c r="G2" s="6"/>
      <c r="H2" s="6"/>
      <c r="I2" s="6"/>
      <c r="J2" s="6" t="s">
        <v>18</v>
      </c>
      <c r="K2" s="6"/>
      <c r="L2" s="6"/>
      <c r="M2" s="6"/>
      <c r="N2" s="6" t="s">
        <v>19</v>
      </c>
      <c r="O2" s="7">
        <v>1.144271929E9</v>
      </c>
      <c r="P2" s="8">
        <v>25771.0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>
      <c r="A3" s="9">
        <v>3.2436304E7</v>
      </c>
      <c r="B3" s="10" t="s">
        <v>20</v>
      </c>
      <c r="C3" s="10" t="s">
        <v>21</v>
      </c>
      <c r="D3" s="10">
        <v>3.2436304E7</v>
      </c>
      <c r="E3" s="10"/>
      <c r="F3" s="10"/>
      <c r="G3" s="10"/>
      <c r="H3" s="10"/>
      <c r="I3" s="10"/>
      <c r="J3" s="10" t="s">
        <v>18</v>
      </c>
      <c r="K3" s="10"/>
      <c r="L3" s="10"/>
      <c r="M3" s="10"/>
      <c r="N3" s="10" t="s">
        <v>22</v>
      </c>
      <c r="O3" s="11"/>
      <c r="P3" s="12">
        <v>31527.0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>
      <c r="A4" s="5">
        <v>3.1963497E7</v>
      </c>
      <c r="B4" s="6" t="s">
        <v>23</v>
      </c>
      <c r="C4" s="6" t="s">
        <v>24</v>
      </c>
      <c r="D4" s="6">
        <v>3.1963497E7</v>
      </c>
      <c r="E4" s="6" t="s">
        <v>25</v>
      </c>
      <c r="F4" s="6" t="s">
        <v>26</v>
      </c>
      <c r="G4" s="6" t="s">
        <v>27</v>
      </c>
      <c r="H4" s="6">
        <v>1439.0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6" t="s">
        <v>33</v>
      </c>
      <c r="O4" s="13">
        <v>1.156294264E9</v>
      </c>
      <c r="P4" s="8">
        <v>0.0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>
      <c r="A5" s="9">
        <v>2.5379033E7</v>
      </c>
      <c r="B5" s="10" t="s">
        <v>34</v>
      </c>
      <c r="C5" s="10" t="s">
        <v>35</v>
      </c>
      <c r="D5" s="10">
        <v>2.5379033E7</v>
      </c>
      <c r="E5" s="10" t="s">
        <v>25</v>
      </c>
      <c r="F5" s="10" t="s">
        <v>26</v>
      </c>
      <c r="G5" s="10" t="s">
        <v>36</v>
      </c>
      <c r="H5" s="10">
        <v>1408.0</v>
      </c>
      <c r="I5" s="10" t="s">
        <v>28</v>
      </c>
      <c r="J5" s="10" t="s">
        <v>37</v>
      </c>
      <c r="K5" s="10" t="s">
        <v>38</v>
      </c>
      <c r="L5" s="10" t="s">
        <v>39</v>
      </c>
      <c r="M5" s="10" t="s">
        <v>32</v>
      </c>
      <c r="N5" s="10" t="s">
        <v>40</v>
      </c>
      <c r="O5" s="14">
        <v>1.126921416E9</v>
      </c>
      <c r="P5" s="15">
        <v>27877.0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>
      <c r="A6" s="5">
        <v>3.8184089E7</v>
      </c>
      <c r="B6" s="6" t="s">
        <v>34</v>
      </c>
      <c r="C6" s="6" t="s">
        <v>41</v>
      </c>
      <c r="D6" s="6">
        <v>3.8184089E7</v>
      </c>
      <c r="E6" s="6"/>
      <c r="F6" s="6"/>
      <c r="G6" s="6"/>
      <c r="H6" s="6"/>
      <c r="I6" s="6"/>
      <c r="J6" s="6" t="s">
        <v>18</v>
      </c>
      <c r="K6" s="6"/>
      <c r="L6" s="6"/>
      <c r="M6" s="6" t="s">
        <v>32</v>
      </c>
      <c r="N6" s="6"/>
      <c r="O6" s="7">
        <v>1.12719178E9</v>
      </c>
      <c r="P6" s="8">
        <v>0.0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>
      <c r="A7" s="9">
        <v>3.8894668E7</v>
      </c>
      <c r="B7" s="10" t="s">
        <v>42</v>
      </c>
      <c r="C7" s="10" t="s">
        <v>43</v>
      </c>
      <c r="D7" s="10">
        <v>3.8894668E7</v>
      </c>
      <c r="E7" s="10"/>
      <c r="F7" s="10"/>
      <c r="G7" s="10"/>
      <c r="H7" s="10"/>
      <c r="I7" s="10"/>
      <c r="J7" s="10" t="s">
        <v>18</v>
      </c>
      <c r="K7" s="10"/>
      <c r="L7" s="10"/>
      <c r="M7" s="10" t="s">
        <v>32</v>
      </c>
      <c r="N7" s="10" t="s">
        <v>44</v>
      </c>
      <c r="O7" s="11">
        <v>1.153205634E9</v>
      </c>
      <c r="P7" s="12">
        <v>34752.0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>
      <c r="A8" s="5">
        <v>3.9114453E7</v>
      </c>
      <c r="B8" s="6" t="s">
        <v>45</v>
      </c>
      <c r="C8" s="6" t="s">
        <v>46</v>
      </c>
      <c r="D8" s="6">
        <v>3.9114453E7</v>
      </c>
      <c r="E8" s="6"/>
      <c r="F8" s="6"/>
      <c r="G8" s="6"/>
      <c r="H8" s="6"/>
      <c r="I8" s="6"/>
      <c r="J8" s="6" t="s">
        <v>18</v>
      </c>
      <c r="K8" s="6"/>
      <c r="L8" s="6"/>
      <c r="M8" s="6" t="s">
        <v>32</v>
      </c>
      <c r="N8" s="6" t="s">
        <v>47</v>
      </c>
      <c r="O8" s="13">
        <v>1.133985337E9</v>
      </c>
      <c r="P8" s="8">
        <v>34957.0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>
      <c r="A9" s="9">
        <v>2.6678242E7</v>
      </c>
      <c r="B9" s="10" t="s">
        <v>48</v>
      </c>
      <c r="C9" s="10" t="s">
        <v>49</v>
      </c>
      <c r="D9" s="10">
        <v>2.6678242E7</v>
      </c>
      <c r="E9" s="10"/>
      <c r="F9" s="10"/>
      <c r="G9" s="10"/>
      <c r="H9" s="10"/>
      <c r="I9" s="10"/>
      <c r="J9" s="10" t="s">
        <v>18</v>
      </c>
      <c r="K9" s="10"/>
      <c r="L9" s="10"/>
      <c r="M9" s="10" t="s">
        <v>32</v>
      </c>
      <c r="N9" s="10" t="s">
        <v>50</v>
      </c>
      <c r="O9" s="14">
        <v>1.13616359E9</v>
      </c>
      <c r="P9" s="12">
        <v>28848.0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>
      <c r="A10" s="5">
        <v>4.2012262E7</v>
      </c>
      <c r="B10" s="6" t="s">
        <v>51</v>
      </c>
      <c r="C10" s="6" t="s">
        <v>52</v>
      </c>
      <c r="D10" s="6">
        <v>4.2012262E7</v>
      </c>
      <c r="E10" s="6"/>
      <c r="F10" s="6" t="s">
        <v>26</v>
      </c>
      <c r="G10" s="6"/>
      <c r="H10" s="6"/>
      <c r="I10" s="6" t="s">
        <v>28</v>
      </c>
      <c r="J10" s="6" t="s">
        <v>37</v>
      </c>
      <c r="K10" s="6"/>
      <c r="L10" s="6"/>
      <c r="M10" s="6" t="s">
        <v>32</v>
      </c>
      <c r="N10" s="6" t="s">
        <v>53</v>
      </c>
      <c r="O10" s="13">
        <v>1.128788904E9</v>
      </c>
      <c r="P10" s="8">
        <v>36322.0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>
      <c r="A11" s="9">
        <v>3.3155103E7</v>
      </c>
      <c r="B11" s="10" t="s">
        <v>54</v>
      </c>
      <c r="C11" s="10" t="s">
        <v>55</v>
      </c>
      <c r="D11" s="10">
        <v>3.3155103E7</v>
      </c>
      <c r="E11" s="10" t="s">
        <v>25</v>
      </c>
      <c r="F11" s="10" t="s">
        <v>26</v>
      </c>
      <c r="G11" s="10"/>
      <c r="H11" s="10">
        <v>1406.0</v>
      </c>
      <c r="I11" s="10" t="s">
        <v>28</v>
      </c>
      <c r="J11" s="10" t="s">
        <v>29</v>
      </c>
      <c r="K11" s="10" t="s">
        <v>56</v>
      </c>
      <c r="L11" s="10" t="s">
        <v>57</v>
      </c>
      <c r="M11" s="10" t="s">
        <v>32</v>
      </c>
      <c r="N11" s="10" t="s">
        <v>58</v>
      </c>
      <c r="O11" s="11">
        <v>1.165037377E9</v>
      </c>
      <c r="P11" s="12">
        <v>31961.0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>
      <c r="A12" s="5">
        <v>3.5538835E7</v>
      </c>
      <c r="B12" s="6" t="s">
        <v>59</v>
      </c>
      <c r="C12" s="6" t="s">
        <v>60</v>
      </c>
      <c r="D12" s="6">
        <v>3.5538835E7</v>
      </c>
      <c r="E12" s="6" t="s">
        <v>61</v>
      </c>
      <c r="F12" s="6" t="s">
        <v>62</v>
      </c>
      <c r="G12" s="6" t="s">
        <v>63</v>
      </c>
      <c r="H12" s="6">
        <v>1778.0</v>
      </c>
      <c r="I12" s="6" t="s">
        <v>28</v>
      </c>
      <c r="J12" s="6" t="s">
        <v>37</v>
      </c>
      <c r="K12" s="6"/>
      <c r="L12" s="6" t="s">
        <v>64</v>
      </c>
      <c r="M12" s="6" t="s">
        <v>65</v>
      </c>
      <c r="N12" s="6" t="s">
        <v>66</v>
      </c>
      <c r="O12" s="13">
        <v>1.165851734E9</v>
      </c>
      <c r="P12" s="8">
        <v>33586.0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>
      <c r="A13" s="9">
        <v>9.3996095E7</v>
      </c>
      <c r="B13" s="10" t="s">
        <v>67</v>
      </c>
      <c r="C13" s="10" t="s">
        <v>68</v>
      </c>
      <c r="D13" s="10">
        <v>9.3996095E7</v>
      </c>
      <c r="E13" s="10" t="s">
        <v>69</v>
      </c>
      <c r="F13" s="10" t="s">
        <v>26</v>
      </c>
      <c r="G13" s="10" t="s">
        <v>70</v>
      </c>
      <c r="H13" s="10">
        <v>1439.0</v>
      </c>
      <c r="I13" s="10" t="s">
        <v>28</v>
      </c>
      <c r="J13" s="10" t="s">
        <v>29</v>
      </c>
      <c r="K13" s="10" t="s">
        <v>71</v>
      </c>
      <c r="L13" s="10" t="s">
        <v>57</v>
      </c>
      <c r="M13" s="10" t="s">
        <v>32</v>
      </c>
      <c r="N13" s="10" t="s">
        <v>72</v>
      </c>
      <c r="O13" s="11">
        <v>1.128666648E9</v>
      </c>
      <c r="P13" s="12">
        <v>28260.0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>
      <c r="A14" s="5">
        <v>9.4842492E7</v>
      </c>
      <c r="B14" s="6" t="s">
        <v>73</v>
      </c>
      <c r="C14" s="6" t="s">
        <v>74</v>
      </c>
      <c r="D14" s="6">
        <v>9.4842492E7</v>
      </c>
      <c r="E14" s="6" t="s">
        <v>75</v>
      </c>
      <c r="F14" s="6" t="s">
        <v>26</v>
      </c>
      <c r="G14" s="6" t="s">
        <v>76</v>
      </c>
      <c r="H14" s="6">
        <v>1164.0</v>
      </c>
      <c r="I14" s="6" t="s">
        <v>77</v>
      </c>
      <c r="J14" s="6" t="s">
        <v>78</v>
      </c>
      <c r="K14" s="6" t="s">
        <v>79</v>
      </c>
      <c r="L14" s="6" t="s">
        <v>57</v>
      </c>
      <c r="M14" s="6" t="s">
        <v>32</v>
      </c>
      <c r="N14" s="6" t="s">
        <v>80</v>
      </c>
      <c r="O14" s="7">
        <v>1.154169265E9</v>
      </c>
      <c r="P14" s="16">
        <v>33484.0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>
      <c r="A15" s="9">
        <v>9.5102089E7</v>
      </c>
      <c r="B15" s="10" t="s">
        <v>81</v>
      </c>
      <c r="C15" s="10" t="s">
        <v>82</v>
      </c>
      <c r="D15" s="10">
        <v>9.5102089E7</v>
      </c>
      <c r="E15" s="10" t="s">
        <v>83</v>
      </c>
      <c r="F15" s="10" t="s">
        <v>26</v>
      </c>
      <c r="G15" s="10" t="s">
        <v>84</v>
      </c>
      <c r="H15" s="10">
        <v>1434.0</v>
      </c>
      <c r="I15" s="10" t="s">
        <v>28</v>
      </c>
      <c r="J15" s="10" t="s">
        <v>78</v>
      </c>
      <c r="K15" s="10"/>
      <c r="L15" s="10" t="s">
        <v>85</v>
      </c>
      <c r="M15" s="10" t="s">
        <v>32</v>
      </c>
      <c r="N15" s="10" t="s">
        <v>86</v>
      </c>
      <c r="O15" s="11">
        <v>1.150420061E9</v>
      </c>
      <c r="P15" s="12">
        <v>27698.0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>
      <c r="A16" s="5">
        <v>9.5189729E7</v>
      </c>
      <c r="B16" s="6" t="s">
        <v>87</v>
      </c>
      <c r="C16" s="6" t="s">
        <v>88</v>
      </c>
      <c r="D16" s="6">
        <v>9.5189729E7</v>
      </c>
      <c r="E16" s="6" t="s">
        <v>69</v>
      </c>
      <c r="F16" s="6" t="s">
        <v>26</v>
      </c>
      <c r="G16" s="6" t="s">
        <v>89</v>
      </c>
      <c r="H16" s="6"/>
      <c r="I16" s="6"/>
      <c r="J16" s="6" t="s">
        <v>37</v>
      </c>
      <c r="K16" s="6"/>
      <c r="L16" s="6" t="s">
        <v>57</v>
      </c>
      <c r="M16" s="6" t="s">
        <v>32</v>
      </c>
      <c r="N16" s="6" t="s">
        <v>90</v>
      </c>
      <c r="O16" s="13">
        <v>1.124936411E9</v>
      </c>
      <c r="P16" s="8">
        <v>30644.0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>
      <c r="A17" s="9">
        <v>2.0009014E7</v>
      </c>
      <c r="B17" s="10" t="s">
        <v>91</v>
      </c>
      <c r="C17" s="10" t="s">
        <v>92</v>
      </c>
      <c r="D17" s="10">
        <v>2.0009014E7</v>
      </c>
      <c r="E17" s="10" t="s">
        <v>25</v>
      </c>
      <c r="F17" s="10" t="s">
        <v>26</v>
      </c>
      <c r="G17" s="10" t="s">
        <v>93</v>
      </c>
      <c r="H17" s="10">
        <v>1431.0</v>
      </c>
      <c r="I17" s="10" t="s">
        <v>28</v>
      </c>
      <c r="J17" s="10" t="s">
        <v>78</v>
      </c>
      <c r="K17" s="10" t="s">
        <v>94</v>
      </c>
      <c r="L17" s="10" t="s">
        <v>31</v>
      </c>
      <c r="M17" s="10" t="s">
        <v>32</v>
      </c>
      <c r="N17" s="10"/>
      <c r="O17" s="11">
        <v>1.144937482E9</v>
      </c>
      <c r="P17" s="12">
        <v>24856.0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>
      <c r="A18" s="5">
        <v>2.9635937E7</v>
      </c>
      <c r="B18" s="6" t="s">
        <v>95</v>
      </c>
      <c r="C18" s="6" t="s">
        <v>96</v>
      </c>
      <c r="D18" s="6">
        <v>2.9635937E7</v>
      </c>
      <c r="E18" s="6" t="s">
        <v>25</v>
      </c>
      <c r="F18" s="6" t="s">
        <v>97</v>
      </c>
      <c r="G18" s="6" t="s">
        <v>98</v>
      </c>
      <c r="H18" s="6">
        <v>1752.0</v>
      </c>
      <c r="I18" s="6" t="s">
        <v>28</v>
      </c>
      <c r="J18" s="6" t="s">
        <v>37</v>
      </c>
      <c r="K18" s="6"/>
      <c r="L18" s="6" t="s">
        <v>57</v>
      </c>
      <c r="M18" s="6" t="s">
        <v>99</v>
      </c>
      <c r="N18" s="6" t="s">
        <v>100</v>
      </c>
      <c r="O18" s="13">
        <v>1.141697938E9</v>
      </c>
      <c r="P18" s="8">
        <v>30139.0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>
      <c r="A19" s="9">
        <v>3.9471585E7</v>
      </c>
      <c r="B19" s="10" t="s">
        <v>101</v>
      </c>
      <c r="C19" s="10" t="s">
        <v>102</v>
      </c>
      <c r="D19" s="10">
        <v>3.9471585E7</v>
      </c>
      <c r="E19" s="10" t="s">
        <v>25</v>
      </c>
      <c r="F19" s="10" t="s">
        <v>26</v>
      </c>
      <c r="G19" s="10" t="s">
        <v>103</v>
      </c>
      <c r="H19" s="10">
        <v>1704.0</v>
      </c>
      <c r="I19" s="10" t="s">
        <v>28</v>
      </c>
      <c r="J19" s="10" t="s">
        <v>37</v>
      </c>
      <c r="K19" s="10" t="s">
        <v>104</v>
      </c>
      <c r="L19" s="10" t="s">
        <v>57</v>
      </c>
      <c r="M19" s="10" t="s">
        <v>105</v>
      </c>
      <c r="N19" s="10" t="s">
        <v>106</v>
      </c>
      <c r="O19" s="11">
        <v>1.151781882E9</v>
      </c>
      <c r="P19" s="12">
        <v>35096.0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>
      <c r="A20" s="5">
        <v>4.3817038E7</v>
      </c>
      <c r="B20" s="6" t="s">
        <v>107</v>
      </c>
      <c r="C20" s="6" t="s">
        <v>108</v>
      </c>
      <c r="D20" s="6">
        <v>4.3817038E7</v>
      </c>
      <c r="E20" s="6" t="s">
        <v>25</v>
      </c>
      <c r="F20" s="6" t="s">
        <v>97</v>
      </c>
      <c r="G20" s="6" t="s">
        <v>109</v>
      </c>
      <c r="H20" s="6">
        <v>1439.0</v>
      </c>
      <c r="I20" s="6" t="s">
        <v>28</v>
      </c>
      <c r="J20" s="6" t="s">
        <v>110</v>
      </c>
      <c r="K20" s="6"/>
      <c r="L20" s="6" t="s">
        <v>57</v>
      </c>
      <c r="M20" s="6" t="s">
        <v>111</v>
      </c>
      <c r="N20" s="6" t="s">
        <v>112</v>
      </c>
      <c r="O20" s="13">
        <v>1.1381749E9</v>
      </c>
      <c r="P20" s="8">
        <v>37370.0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ht="15.75" customHeight="1">
      <c r="A21" s="9">
        <v>4.4486458E7</v>
      </c>
      <c r="B21" s="10" t="s">
        <v>113</v>
      </c>
      <c r="C21" s="10" t="s">
        <v>114</v>
      </c>
      <c r="D21" s="10">
        <v>4.4486458E7</v>
      </c>
      <c r="E21" s="10" t="s">
        <v>25</v>
      </c>
      <c r="F21" s="10" t="s">
        <v>26</v>
      </c>
      <c r="G21" s="10" t="s">
        <v>115</v>
      </c>
      <c r="H21" s="10">
        <v>1437.0</v>
      </c>
      <c r="I21" s="10" t="s">
        <v>28</v>
      </c>
      <c r="J21" s="10" t="s">
        <v>37</v>
      </c>
      <c r="K21" s="10" t="s">
        <v>116</v>
      </c>
      <c r="L21" s="10" t="s">
        <v>57</v>
      </c>
      <c r="M21" s="10" t="s">
        <v>117</v>
      </c>
      <c r="N21" s="10" t="s">
        <v>118</v>
      </c>
      <c r="O21" s="14">
        <v>1.154166856E9</v>
      </c>
      <c r="P21" s="12">
        <v>0.0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ht="15.75" customHeight="1">
      <c r="A22" s="5">
        <v>3.668592E7</v>
      </c>
      <c r="B22" s="6" t="s">
        <v>119</v>
      </c>
      <c r="C22" s="6" t="s">
        <v>120</v>
      </c>
      <c r="D22" s="6">
        <v>3.668592E7</v>
      </c>
      <c r="E22" s="6" t="s">
        <v>61</v>
      </c>
      <c r="F22" s="6" t="s">
        <v>62</v>
      </c>
      <c r="G22" s="6" t="s">
        <v>121</v>
      </c>
      <c r="H22" s="6">
        <v>1439.0</v>
      </c>
      <c r="I22" s="6" t="s">
        <v>28</v>
      </c>
      <c r="J22" s="6" t="s">
        <v>37</v>
      </c>
      <c r="K22" s="6" t="s">
        <v>122</v>
      </c>
      <c r="L22" s="6" t="s">
        <v>64</v>
      </c>
      <c r="M22" s="6" t="s">
        <v>123</v>
      </c>
      <c r="N22" s="6" t="s">
        <v>124</v>
      </c>
      <c r="O22" s="13">
        <v>1.137817717E9</v>
      </c>
      <c r="P22" s="8">
        <v>0.0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ht="15.75" customHeight="1">
      <c r="A23" s="9">
        <v>2.5060598E7</v>
      </c>
      <c r="B23" s="10" t="s">
        <v>125</v>
      </c>
      <c r="C23" s="10" t="s">
        <v>126</v>
      </c>
      <c r="D23" s="10">
        <v>2.5060598E7</v>
      </c>
      <c r="E23" s="10" t="s">
        <v>25</v>
      </c>
      <c r="F23" s="10" t="s">
        <v>26</v>
      </c>
      <c r="G23" s="10" t="s">
        <v>127</v>
      </c>
      <c r="H23" s="10">
        <v>1752.0</v>
      </c>
      <c r="I23" s="10" t="s">
        <v>28</v>
      </c>
      <c r="J23" s="10" t="s">
        <v>37</v>
      </c>
      <c r="K23" s="10" t="s">
        <v>128</v>
      </c>
      <c r="L23" s="10" t="s">
        <v>57</v>
      </c>
      <c r="M23" s="10" t="s">
        <v>99</v>
      </c>
      <c r="N23" s="10" t="s">
        <v>129</v>
      </c>
      <c r="O23" s="14">
        <v>1.168243462E9</v>
      </c>
      <c r="P23" s="12">
        <v>0.0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ht="15.75" customHeight="1">
      <c r="A24" s="5">
        <v>3.1896263E7</v>
      </c>
      <c r="B24" s="6" t="s">
        <v>130</v>
      </c>
      <c r="C24" s="6" t="s">
        <v>131</v>
      </c>
      <c r="D24" s="6">
        <v>3.1896263E7</v>
      </c>
      <c r="E24" s="6" t="s">
        <v>61</v>
      </c>
      <c r="F24" s="6" t="s">
        <v>62</v>
      </c>
      <c r="G24" s="6" t="s">
        <v>132</v>
      </c>
      <c r="H24" s="6">
        <v>1407.0</v>
      </c>
      <c r="I24" s="6" t="s">
        <v>28</v>
      </c>
      <c r="J24" s="6" t="s">
        <v>37</v>
      </c>
      <c r="K24" s="6" t="s">
        <v>133</v>
      </c>
      <c r="L24" s="6" t="s">
        <v>64</v>
      </c>
      <c r="M24" s="6" t="s">
        <v>32</v>
      </c>
      <c r="N24" s="6" t="s">
        <v>134</v>
      </c>
      <c r="O24" s="13">
        <v>1.140450018E9</v>
      </c>
      <c r="P24" s="8">
        <v>31465.0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ht="15.75" customHeight="1">
      <c r="A25" s="9">
        <v>3.2554313E7</v>
      </c>
      <c r="B25" s="10" t="s">
        <v>135</v>
      </c>
      <c r="C25" s="10" t="s">
        <v>136</v>
      </c>
      <c r="D25" s="10">
        <v>3.2554313E7</v>
      </c>
      <c r="E25" s="10" t="s">
        <v>25</v>
      </c>
      <c r="F25" s="10" t="s">
        <v>26</v>
      </c>
      <c r="G25" s="10" t="s">
        <v>137</v>
      </c>
      <c r="H25" s="10">
        <v>1407.0</v>
      </c>
      <c r="I25" s="10" t="s">
        <v>28</v>
      </c>
      <c r="J25" s="10" t="s">
        <v>78</v>
      </c>
      <c r="K25" s="10" t="s">
        <v>138</v>
      </c>
      <c r="L25" s="10" t="s">
        <v>139</v>
      </c>
      <c r="M25" s="10" t="s">
        <v>32</v>
      </c>
      <c r="N25" s="10" t="s">
        <v>140</v>
      </c>
      <c r="O25" s="11">
        <v>1.16034113E9</v>
      </c>
      <c r="P25" s="12">
        <v>31644.0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ht="15.75" customHeight="1">
      <c r="A26" s="5">
        <v>3.3905319E7</v>
      </c>
      <c r="B26" s="6" t="s">
        <v>141</v>
      </c>
      <c r="C26" s="6" t="s">
        <v>142</v>
      </c>
      <c r="D26" s="6">
        <v>3.3905319E7</v>
      </c>
      <c r="E26" s="6" t="s">
        <v>61</v>
      </c>
      <c r="F26" s="6" t="s">
        <v>62</v>
      </c>
      <c r="G26" s="6" t="s">
        <v>143</v>
      </c>
      <c r="H26" s="6">
        <v>1759.0</v>
      </c>
      <c r="I26" s="6" t="s">
        <v>28</v>
      </c>
      <c r="J26" s="6" t="s">
        <v>37</v>
      </c>
      <c r="K26" s="6"/>
      <c r="L26" s="6" t="s">
        <v>144</v>
      </c>
      <c r="M26" s="6" t="s">
        <v>145</v>
      </c>
      <c r="N26" s="6" t="s">
        <v>146</v>
      </c>
      <c r="O26" s="13"/>
      <c r="P26" s="8">
        <v>0.0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ht="15.75" customHeight="1">
      <c r="A27" s="9">
        <v>3.1302984E7</v>
      </c>
      <c r="B27" s="10" t="s">
        <v>147</v>
      </c>
      <c r="C27" s="10" t="s">
        <v>148</v>
      </c>
      <c r="D27" s="10">
        <v>3.1302984E7</v>
      </c>
      <c r="E27" s="10" t="s">
        <v>25</v>
      </c>
      <c r="F27" s="10" t="s">
        <v>26</v>
      </c>
      <c r="G27" s="10" t="s">
        <v>149</v>
      </c>
      <c r="H27" s="10">
        <v>1757.0</v>
      </c>
      <c r="I27" s="10" t="s">
        <v>28</v>
      </c>
      <c r="J27" s="10" t="s">
        <v>37</v>
      </c>
      <c r="K27" s="10" t="s">
        <v>150</v>
      </c>
      <c r="L27" s="10" t="s">
        <v>57</v>
      </c>
      <c r="M27" s="10" t="s">
        <v>151</v>
      </c>
      <c r="N27" s="10" t="s">
        <v>152</v>
      </c>
      <c r="O27" s="11">
        <v>1.130700402E9</v>
      </c>
      <c r="P27" s="12">
        <v>30966.0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ht="15.75" customHeight="1">
      <c r="A28" s="5">
        <v>3.442385E7</v>
      </c>
      <c r="B28" s="6" t="s">
        <v>153</v>
      </c>
      <c r="C28" s="6" t="s">
        <v>154</v>
      </c>
      <c r="D28" s="6">
        <v>3.442385E7</v>
      </c>
      <c r="E28" s="6" t="s">
        <v>25</v>
      </c>
      <c r="F28" s="6" t="s">
        <v>26</v>
      </c>
      <c r="G28" s="6" t="s">
        <v>155</v>
      </c>
      <c r="H28" s="6">
        <v>1440.0</v>
      </c>
      <c r="I28" s="6" t="s">
        <v>28</v>
      </c>
      <c r="J28" s="6" t="s">
        <v>37</v>
      </c>
      <c r="K28" s="6"/>
      <c r="L28" s="6" t="s">
        <v>57</v>
      </c>
      <c r="M28" s="6" t="s">
        <v>32</v>
      </c>
      <c r="N28" s="6" t="s">
        <v>156</v>
      </c>
      <c r="O28" s="13">
        <v>1.144171447E9</v>
      </c>
      <c r="P28" s="8">
        <v>32546.0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ht="15.75" customHeight="1">
      <c r="A29" s="9">
        <v>3.2616368E7</v>
      </c>
      <c r="B29" s="10" t="s">
        <v>157</v>
      </c>
      <c r="C29" s="10" t="s">
        <v>158</v>
      </c>
      <c r="D29" s="10">
        <v>3.2616368E7</v>
      </c>
      <c r="E29" s="10" t="s">
        <v>25</v>
      </c>
      <c r="F29" s="10" t="s">
        <v>26</v>
      </c>
      <c r="G29" s="10" t="s">
        <v>159</v>
      </c>
      <c r="H29" s="10">
        <v>1763.0</v>
      </c>
      <c r="I29" s="10" t="s">
        <v>28</v>
      </c>
      <c r="J29" s="10" t="s">
        <v>37</v>
      </c>
      <c r="K29" s="10"/>
      <c r="L29" s="10" t="s">
        <v>57</v>
      </c>
      <c r="M29" s="10" t="s">
        <v>160</v>
      </c>
      <c r="N29" s="10" t="s">
        <v>161</v>
      </c>
      <c r="O29" s="11"/>
      <c r="P29" s="12">
        <v>0.0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ht="15.75" customHeight="1">
      <c r="A30" s="5">
        <v>4.324163E7</v>
      </c>
      <c r="B30" s="6" t="s">
        <v>162</v>
      </c>
      <c r="C30" s="6" t="s">
        <v>163</v>
      </c>
      <c r="D30" s="6">
        <v>4.324163E7</v>
      </c>
      <c r="E30" s="6" t="s">
        <v>61</v>
      </c>
      <c r="F30" s="6" t="s">
        <v>62</v>
      </c>
      <c r="G30" s="6" t="s">
        <v>164</v>
      </c>
      <c r="H30" s="6">
        <v>1439.0</v>
      </c>
      <c r="I30" s="6" t="s">
        <v>28</v>
      </c>
      <c r="J30" s="6" t="s">
        <v>37</v>
      </c>
      <c r="K30" s="6"/>
      <c r="L30" s="6" t="s">
        <v>64</v>
      </c>
      <c r="M30" s="6" t="s">
        <v>123</v>
      </c>
      <c r="N30" s="6" t="s">
        <v>165</v>
      </c>
      <c r="O30" s="7">
        <v>1.173662195E9</v>
      </c>
      <c r="P30" s="8">
        <v>37013.0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ht="15.75" customHeight="1">
      <c r="A31" s="9">
        <v>3.0440348E7</v>
      </c>
      <c r="B31" s="10" t="s">
        <v>166</v>
      </c>
      <c r="C31" s="10" t="s">
        <v>167</v>
      </c>
      <c r="D31" s="10">
        <v>3.0440348E7</v>
      </c>
      <c r="E31" s="10" t="s">
        <v>25</v>
      </c>
      <c r="F31" s="10" t="s">
        <v>26</v>
      </c>
      <c r="G31" s="10" t="s">
        <v>168</v>
      </c>
      <c r="H31" s="10">
        <v>1770.0</v>
      </c>
      <c r="I31" s="10" t="s">
        <v>28</v>
      </c>
      <c r="J31" s="10" t="s">
        <v>78</v>
      </c>
      <c r="K31" s="10" t="s">
        <v>169</v>
      </c>
      <c r="L31" s="10" t="s">
        <v>31</v>
      </c>
      <c r="M31" s="10" t="s">
        <v>170</v>
      </c>
      <c r="N31" s="10" t="s">
        <v>171</v>
      </c>
      <c r="O31" s="14">
        <v>1.160234773E9</v>
      </c>
      <c r="P31" s="12">
        <v>27746.0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ht="15.75" customHeight="1">
      <c r="A32" s="5">
        <v>3.0211914E7</v>
      </c>
      <c r="B32" s="6" t="s">
        <v>172</v>
      </c>
      <c r="C32" s="6" t="s">
        <v>173</v>
      </c>
      <c r="D32" s="6">
        <v>3.0211914E7</v>
      </c>
      <c r="E32" s="6" t="s">
        <v>25</v>
      </c>
      <c r="F32" s="6" t="s">
        <v>26</v>
      </c>
      <c r="G32" s="6" t="s">
        <v>174</v>
      </c>
      <c r="H32" s="6">
        <v>1440.0</v>
      </c>
      <c r="I32" s="6" t="s">
        <v>28</v>
      </c>
      <c r="J32" s="6" t="s">
        <v>37</v>
      </c>
      <c r="K32" s="6" t="s">
        <v>175</v>
      </c>
      <c r="L32" s="6" t="s">
        <v>57</v>
      </c>
      <c r="M32" s="6" t="s">
        <v>176</v>
      </c>
      <c r="N32" s="6" t="s">
        <v>177</v>
      </c>
      <c r="O32" s="13">
        <v>1.539209596E9</v>
      </c>
      <c r="P32" s="8">
        <v>30410.0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ht="15.75" customHeight="1">
      <c r="A33" s="9">
        <v>4.0873767E7</v>
      </c>
      <c r="B33" s="10" t="s">
        <v>178</v>
      </c>
      <c r="C33" s="10" t="s">
        <v>179</v>
      </c>
      <c r="D33" s="10">
        <v>4.0873767E7</v>
      </c>
      <c r="E33" s="10" t="s">
        <v>25</v>
      </c>
      <c r="F33" s="10" t="s">
        <v>26</v>
      </c>
      <c r="G33" s="10" t="s">
        <v>180</v>
      </c>
      <c r="H33" s="10">
        <v>1832.0</v>
      </c>
      <c r="I33" s="10" t="s">
        <v>28</v>
      </c>
      <c r="J33" s="10" t="s">
        <v>37</v>
      </c>
      <c r="K33" s="10"/>
      <c r="L33" s="10" t="s">
        <v>57</v>
      </c>
      <c r="M33" s="10" t="s">
        <v>181</v>
      </c>
      <c r="N33" s="10" t="s">
        <v>182</v>
      </c>
      <c r="O33" s="11">
        <v>1.140554236E9</v>
      </c>
      <c r="P33" s="12">
        <v>32635.0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ht="15.75" customHeight="1">
      <c r="A34" s="5">
        <v>9.4075255E7</v>
      </c>
      <c r="B34" s="6" t="s">
        <v>183</v>
      </c>
      <c r="C34" s="6" t="s">
        <v>184</v>
      </c>
      <c r="D34" s="6">
        <v>9.4075255E7</v>
      </c>
      <c r="E34" s="6" t="s">
        <v>185</v>
      </c>
      <c r="F34" s="7" t="s">
        <v>26</v>
      </c>
      <c r="G34" s="6" t="s">
        <v>186</v>
      </c>
      <c r="H34" s="6">
        <v>1439.0</v>
      </c>
      <c r="I34" s="6" t="s">
        <v>28</v>
      </c>
      <c r="J34" s="6" t="s">
        <v>37</v>
      </c>
      <c r="K34" s="6"/>
      <c r="L34" s="6" t="s">
        <v>31</v>
      </c>
      <c r="M34" s="6" t="s">
        <v>32</v>
      </c>
      <c r="N34" s="6" t="s">
        <v>187</v>
      </c>
      <c r="O34" s="7">
        <v>1.161619314E9</v>
      </c>
      <c r="P34" s="8">
        <v>27897.0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ht="15.75" customHeight="1">
      <c r="A35" s="9">
        <v>2.9064893E7</v>
      </c>
      <c r="B35" s="10" t="s">
        <v>188</v>
      </c>
      <c r="C35" s="10" t="s">
        <v>189</v>
      </c>
      <c r="D35" s="10">
        <v>2.9064893E7</v>
      </c>
      <c r="E35" s="10" t="s">
        <v>61</v>
      </c>
      <c r="F35" s="10" t="s">
        <v>62</v>
      </c>
      <c r="G35" s="10" t="s">
        <v>190</v>
      </c>
      <c r="H35" s="10">
        <v>1886.0</v>
      </c>
      <c r="I35" s="10" t="s">
        <v>28</v>
      </c>
      <c r="J35" s="10" t="s">
        <v>37</v>
      </c>
      <c r="K35" s="10" t="s">
        <v>191</v>
      </c>
      <c r="L35" s="10" t="s">
        <v>144</v>
      </c>
      <c r="M35" s="10" t="s">
        <v>192</v>
      </c>
      <c r="N35" s="10" t="s">
        <v>193</v>
      </c>
      <c r="O35" s="11">
        <v>1.125208147E9</v>
      </c>
      <c r="P35" s="12">
        <v>29845.0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ht="15.75" customHeight="1">
      <c r="A36" s="5">
        <v>3.7388128E7</v>
      </c>
      <c r="B36" s="6" t="s">
        <v>194</v>
      </c>
      <c r="C36" s="6" t="s">
        <v>195</v>
      </c>
      <c r="D36" s="6">
        <v>3.7388128E7</v>
      </c>
      <c r="E36" s="6"/>
      <c r="F36" s="6"/>
      <c r="G36" s="6"/>
      <c r="H36" s="6"/>
      <c r="I36" s="6"/>
      <c r="J36" s="6"/>
      <c r="K36" s="6"/>
      <c r="L36" s="6"/>
      <c r="M36" s="6"/>
      <c r="N36" s="6" t="s">
        <v>196</v>
      </c>
      <c r="O36" s="13">
        <v>1.169729268E9</v>
      </c>
      <c r="P36" s="8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ht="15.75" customHeight="1">
      <c r="A37" s="9">
        <v>3.140378E7</v>
      </c>
      <c r="B37" s="10" t="s">
        <v>197</v>
      </c>
      <c r="C37" s="10" t="s">
        <v>198</v>
      </c>
      <c r="D37" s="10">
        <v>3.140378E7</v>
      </c>
      <c r="E37" s="10"/>
      <c r="F37" s="10"/>
      <c r="G37" s="10"/>
      <c r="H37" s="10"/>
      <c r="I37" s="10"/>
      <c r="J37" s="10"/>
      <c r="K37" s="10"/>
      <c r="L37" s="10"/>
      <c r="M37" s="10"/>
      <c r="N37" s="10" t="s">
        <v>199</v>
      </c>
      <c r="O37" s="14">
        <v>1.137920163E9</v>
      </c>
      <c r="P37" s="12">
        <v>31012.0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ht="15.75" customHeight="1">
      <c r="A38" s="5">
        <v>4.1917769E7</v>
      </c>
      <c r="B38" s="6" t="s">
        <v>200</v>
      </c>
      <c r="C38" s="6" t="s">
        <v>201</v>
      </c>
      <c r="D38" s="6">
        <v>4.1917769E7</v>
      </c>
      <c r="E38" s="6"/>
      <c r="F38" s="6"/>
      <c r="G38" s="6"/>
      <c r="H38" s="6"/>
      <c r="I38" s="6"/>
      <c r="J38" s="6"/>
      <c r="K38" s="6"/>
      <c r="L38" s="6"/>
      <c r="M38" s="6"/>
      <c r="N38" s="6" t="s">
        <v>202</v>
      </c>
      <c r="O38" s="13">
        <v>1.134858925E9</v>
      </c>
      <c r="P38" s="8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ht="15.75" customHeight="1">
      <c r="A39" s="9">
        <v>2.2826482E7</v>
      </c>
      <c r="B39" s="10" t="s">
        <v>203</v>
      </c>
      <c r="C39" s="10" t="s">
        <v>204</v>
      </c>
      <c r="D39" s="10">
        <v>2.2826482E7</v>
      </c>
      <c r="E39" s="10"/>
      <c r="F39" s="10"/>
      <c r="G39" s="10"/>
      <c r="H39" s="10"/>
      <c r="I39" s="10"/>
      <c r="J39" s="10"/>
      <c r="K39" s="10"/>
      <c r="L39" s="10"/>
      <c r="M39" s="10"/>
      <c r="N39" s="10" t="s">
        <v>205</v>
      </c>
      <c r="O39" s="11">
        <v>1.166482926E9</v>
      </c>
      <c r="P39" s="12">
        <v>26532.0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ht="15.75" customHeight="1">
      <c r="A40" s="5">
        <v>3.7060301E7</v>
      </c>
      <c r="B40" s="6" t="s">
        <v>206</v>
      </c>
      <c r="C40" s="6" t="s">
        <v>207</v>
      </c>
      <c r="D40" s="6">
        <v>3.7060301E7</v>
      </c>
      <c r="E40" s="6"/>
      <c r="F40" s="6"/>
      <c r="G40" s="6"/>
      <c r="H40" s="6"/>
      <c r="I40" s="6"/>
      <c r="J40" s="6"/>
      <c r="K40" s="6"/>
      <c r="L40" s="6"/>
      <c r="M40" s="6"/>
      <c r="N40" s="6" t="s">
        <v>208</v>
      </c>
      <c r="O40" s="13"/>
      <c r="P40" s="8">
        <v>34084.0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ht="15.75" customHeight="1">
      <c r="A41" s="9">
        <v>2.1130792E7</v>
      </c>
      <c r="B41" s="10" t="s">
        <v>209</v>
      </c>
      <c r="C41" s="10" t="s">
        <v>210</v>
      </c>
      <c r="D41" s="10">
        <v>2.1130792E7</v>
      </c>
      <c r="E41" s="10"/>
      <c r="F41" s="10"/>
      <c r="G41" s="10"/>
      <c r="H41" s="10"/>
      <c r="I41" s="10"/>
      <c r="J41" s="10"/>
      <c r="K41" s="10"/>
      <c r="L41" s="10"/>
      <c r="M41" s="10"/>
      <c r="N41" s="10" t="s">
        <v>211</v>
      </c>
      <c r="O41" s="14">
        <v>1.161062052E9</v>
      </c>
      <c r="P41" s="12">
        <v>22594.0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ht="15.75" customHeight="1">
      <c r="A42" s="5">
        <v>2.4033237E7</v>
      </c>
      <c r="B42" s="6" t="s">
        <v>212</v>
      </c>
      <c r="C42" s="6" t="s">
        <v>213</v>
      </c>
      <c r="D42" s="6">
        <v>2.4033237E7</v>
      </c>
      <c r="E42" s="6"/>
      <c r="F42" s="6"/>
      <c r="G42" s="6"/>
      <c r="H42" s="6"/>
      <c r="I42" s="6"/>
      <c r="J42" s="6"/>
      <c r="K42" s="6"/>
      <c r="L42" s="6"/>
      <c r="M42" s="6"/>
      <c r="N42" s="6" t="s">
        <v>214</v>
      </c>
      <c r="O42" s="7">
        <v>1.125993935E9</v>
      </c>
      <c r="P42" s="17">
        <v>27233.0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ht="15.75" customHeight="1">
      <c r="A43" s="9">
        <v>2.2656778E7</v>
      </c>
      <c r="B43" s="10" t="s">
        <v>215</v>
      </c>
      <c r="C43" s="10" t="s">
        <v>216</v>
      </c>
      <c r="D43" s="10">
        <v>2.2656778E7</v>
      </c>
      <c r="E43" s="10"/>
      <c r="F43" s="10"/>
      <c r="G43" s="10"/>
      <c r="H43" s="10"/>
      <c r="I43" s="10"/>
      <c r="J43" s="10"/>
      <c r="K43" s="10"/>
      <c r="L43" s="10"/>
      <c r="M43" s="10"/>
      <c r="N43" s="10" t="s">
        <v>217</v>
      </c>
      <c r="O43" s="14">
        <v>1.164681681E9</v>
      </c>
      <c r="P43" s="12">
        <v>26429.0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ht="15.75" customHeight="1">
      <c r="A44" s="5">
        <v>3.5353668E7</v>
      </c>
      <c r="B44" s="6" t="s">
        <v>218</v>
      </c>
      <c r="C44" s="6" t="s">
        <v>219</v>
      </c>
      <c r="D44" s="6">
        <v>3.5353668E7</v>
      </c>
      <c r="E44" s="6"/>
      <c r="F44" s="6"/>
      <c r="G44" s="6"/>
      <c r="H44" s="6"/>
      <c r="I44" s="6"/>
      <c r="J44" s="6"/>
      <c r="K44" s="6"/>
      <c r="L44" s="6"/>
      <c r="M44" s="6"/>
      <c r="N44" s="6" t="s">
        <v>220</v>
      </c>
      <c r="O44" s="13" t="s">
        <v>18</v>
      </c>
      <c r="P44" s="8">
        <v>33236.0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ht="15.75" customHeight="1">
      <c r="A45" s="9">
        <v>2.1981832E7</v>
      </c>
      <c r="B45" s="10" t="s">
        <v>221</v>
      </c>
      <c r="C45" s="10" t="s">
        <v>222</v>
      </c>
      <c r="D45" s="10">
        <v>2.1981832E7</v>
      </c>
      <c r="E45" s="10"/>
      <c r="F45" s="10"/>
      <c r="G45" s="10"/>
      <c r="H45" s="10"/>
      <c r="I45" s="10"/>
      <c r="J45" s="10"/>
      <c r="K45" s="10"/>
      <c r="L45" s="10"/>
      <c r="M45" s="10"/>
      <c r="N45" s="10" t="s">
        <v>223</v>
      </c>
      <c r="O45" s="11">
        <v>1.149742514E9</v>
      </c>
      <c r="P45" s="12">
        <v>25929.0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ht="15.75" customHeight="1">
      <c r="A46" s="5">
        <v>4.1639943E7</v>
      </c>
      <c r="B46" s="6" t="s">
        <v>224</v>
      </c>
      <c r="C46" s="6" t="s">
        <v>225</v>
      </c>
      <c r="D46" s="6">
        <v>4.1639943E7</v>
      </c>
      <c r="E46" s="6"/>
      <c r="F46" s="6"/>
      <c r="G46" s="6"/>
      <c r="H46" s="6"/>
      <c r="I46" s="6"/>
      <c r="J46" s="6"/>
      <c r="K46" s="6"/>
      <c r="L46" s="6"/>
      <c r="M46" s="6"/>
      <c r="N46" s="6" t="s">
        <v>226</v>
      </c>
      <c r="O46" s="13">
        <v>1.158059413E9</v>
      </c>
      <c r="P46" s="8">
        <v>36121.0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ht="15.75" customHeight="1">
      <c r="A47" s="9">
        <v>3.2404463E7</v>
      </c>
      <c r="B47" s="10" t="s">
        <v>227</v>
      </c>
      <c r="C47" s="10" t="s">
        <v>228</v>
      </c>
      <c r="D47" s="10">
        <v>3.2404463E7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1" t="s">
        <v>18</v>
      </c>
      <c r="P47" s="12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ht="15.75" customHeight="1">
      <c r="A48" s="5">
        <v>3.6786519E7</v>
      </c>
      <c r="B48" s="6" t="s">
        <v>91</v>
      </c>
      <c r="C48" s="6" t="s">
        <v>229</v>
      </c>
      <c r="D48" s="6">
        <v>3.6786519E7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13">
        <v>1.164297376E9</v>
      </c>
      <c r="P48" s="8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ht="15.75" customHeight="1">
      <c r="A49" s="9">
        <v>3.7036332E7</v>
      </c>
      <c r="B49" s="10" t="s">
        <v>230</v>
      </c>
      <c r="C49" s="10" t="s">
        <v>231</v>
      </c>
      <c r="D49" s="10">
        <v>3.7036332E7</v>
      </c>
      <c r="E49" s="10"/>
      <c r="F49" s="10"/>
      <c r="G49" s="10"/>
      <c r="H49" s="10"/>
      <c r="I49" s="10"/>
      <c r="J49" s="10"/>
      <c r="K49" s="10"/>
      <c r="L49" s="10"/>
      <c r="M49" s="10"/>
      <c r="N49" s="10" t="s">
        <v>232</v>
      </c>
      <c r="O49" s="11">
        <v>1.126691233E9</v>
      </c>
      <c r="P49" s="18">
        <v>33843.0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ht="15.75" customHeight="1">
      <c r="A50" s="5">
        <v>4.4364634E7</v>
      </c>
      <c r="B50" s="6" t="s">
        <v>233</v>
      </c>
      <c r="C50" s="6" t="s">
        <v>234</v>
      </c>
      <c r="D50" s="6">
        <v>4.4364634E7</v>
      </c>
      <c r="E50" s="6"/>
      <c r="F50" s="6"/>
      <c r="G50" s="6"/>
      <c r="H50" s="6"/>
      <c r="I50" s="6"/>
      <c r="J50" s="6"/>
      <c r="K50" s="6"/>
      <c r="L50" s="6"/>
      <c r="M50" s="6"/>
      <c r="N50" s="6" t="s">
        <v>235</v>
      </c>
      <c r="O50" s="13">
        <v>1.12815373E9</v>
      </c>
      <c r="P50" s="8">
        <v>37497.0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ht="15.75" customHeight="1">
      <c r="A51" s="9">
        <v>4.1263312E7</v>
      </c>
      <c r="B51" s="10" t="s">
        <v>91</v>
      </c>
      <c r="C51" s="10" t="s">
        <v>236</v>
      </c>
      <c r="D51" s="10">
        <v>4.1263312E7</v>
      </c>
      <c r="E51" s="14" t="s">
        <v>25</v>
      </c>
      <c r="F51" s="14" t="s">
        <v>26</v>
      </c>
      <c r="G51" s="14" t="s">
        <v>237</v>
      </c>
      <c r="H51" s="14">
        <v>1439.0</v>
      </c>
      <c r="I51" s="14" t="s">
        <v>28</v>
      </c>
      <c r="J51" s="14" t="s">
        <v>37</v>
      </c>
      <c r="K51" s="10"/>
      <c r="L51" s="14" t="s">
        <v>57</v>
      </c>
      <c r="M51" s="14" t="s">
        <v>32</v>
      </c>
      <c r="N51" s="10"/>
      <c r="O51" s="11">
        <v>1.159622747E9</v>
      </c>
      <c r="P51" s="12">
        <v>35937.0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ht="15.75" customHeight="1">
      <c r="A52" s="5">
        <v>4.258637E7</v>
      </c>
      <c r="B52" s="6" t="s">
        <v>238</v>
      </c>
      <c r="C52" s="6" t="s">
        <v>239</v>
      </c>
      <c r="D52" s="6">
        <v>4.258637E7</v>
      </c>
      <c r="E52" s="6"/>
      <c r="F52" s="6"/>
      <c r="G52" s="6"/>
      <c r="H52" s="6"/>
      <c r="I52" s="6"/>
      <c r="J52" s="6"/>
      <c r="K52" s="6"/>
      <c r="L52" s="6"/>
      <c r="M52" s="6"/>
      <c r="N52" s="6" t="s">
        <v>240</v>
      </c>
      <c r="O52" s="13">
        <v>1.125475896E9</v>
      </c>
      <c r="P52" s="8">
        <v>36652.0</v>
      </c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ht="15.75" customHeight="1">
      <c r="A53" s="9">
        <v>3.4871654E7</v>
      </c>
      <c r="B53" s="10" t="s">
        <v>241</v>
      </c>
      <c r="C53" s="10" t="s">
        <v>242</v>
      </c>
      <c r="D53" s="10">
        <v>3.4871654E7</v>
      </c>
      <c r="E53" s="14" t="s">
        <v>243</v>
      </c>
      <c r="F53" s="14" t="s">
        <v>26</v>
      </c>
      <c r="G53" s="14" t="s">
        <v>244</v>
      </c>
      <c r="H53" s="14">
        <v>1708.0</v>
      </c>
      <c r="I53" s="14" t="s">
        <v>245</v>
      </c>
      <c r="J53" s="14" t="s">
        <v>37</v>
      </c>
      <c r="K53" s="14" t="s">
        <v>246</v>
      </c>
      <c r="L53" s="14" t="s">
        <v>247</v>
      </c>
      <c r="M53" s="14" t="s">
        <v>248</v>
      </c>
      <c r="N53" s="10" t="s">
        <v>249</v>
      </c>
      <c r="O53" s="14">
        <v>1.150235407E9</v>
      </c>
      <c r="P53" s="12">
        <v>32867.0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ht="15.75" customHeight="1">
      <c r="A54" s="5">
        <v>3.92755E7</v>
      </c>
      <c r="B54" s="6" t="s">
        <v>250</v>
      </c>
      <c r="C54" s="6" t="s">
        <v>251</v>
      </c>
      <c r="D54" s="6">
        <v>3.92755E7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13">
        <v>1.155818302E9</v>
      </c>
      <c r="P54" s="8">
        <v>35031.0</v>
      </c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ht="15.75" customHeight="1">
      <c r="A55" s="9">
        <v>4.0133136E7</v>
      </c>
      <c r="B55" s="10" t="s">
        <v>252</v>
      </c>
      <c r="C55" s="10" t="s">
        <v>253</v>
      </c>
      <c r="D55" s="10">
        <v>4.0133136E7</v>
      </c>
      <c r="E55" s="14" t="s">
        <v>25</v>
      </c>
      <c r="F55" s="14" t="s">
        <v>26</v>
      </c>
      <c r="G55" s="14" t="s">
        <v>254</v>
      </c>
      <c r="H55" s="14">
        <v>1099.0</v>
      </c>
      <c r="I55" s="14" t="s">
        <v>255</v>
      </c>
      <c r="J55" s="14" t="s">
        <v>37</v>
      </c>
      <c r="K55" s="14" t="s">
        <v>128</v>
      </c>
      <c r="L55" s="14" t="s">
        <v>57</v>
      </c>
      <c r="M55" s="14" t="s">
        <v>256</v>
      </c>
      <c r="N55" s="14" t="s">
        <v>257</v>
      </c>
      <c r="O55" s="11">
        <v>1.122416811E9</v>
      </c>
      <c r="P55" s="18">
        <v>35463.0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ht="15.75" customHeight="1">
      <c r="A56" s="5">
        <v>3.8710314E7</v>
      </c>
      <c r="B56" s="7" t="s">
        <v>258</v>
      </c>
      <c r="C56" s="6" t="s">
        <v>259</v>
      </c>
      <c r="D56" s="6">
        <v>3.8710314E7</v>
      </c>
      <c r="E56" s="6"/>
      <c r="F56" s="6"/>
      <c r="G56" s="6"/>
      <c r="H56" s="6"/>
      <c r="I56" s="6"/>
      <c r="J56" s="6"/>
      <c r="K56" s="6"/>
      <c r="L56" s="6"/>
      <c r="M56" s="6"/>
      <c r="N56" s="6" t="s">
        <v>260</v>
      </c>
      <c r="O56" s="13">
        <v>1.154983632E9</v>
      </c>
      <c r="P56" s="8">
        <v>34827.0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ht="15.75" customHeight="1">
      <c r="A57" s="9">
        <v>4.3916827E7</v>
      </c>
      <c r="B57" s="10" t="s">
        <v>261</v>
      </c>
      <c r="C57" s="10" t="s">
        <v>262</v>
      </c>
      <c r="D57" s="10">
        <v>4.3916827E7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1"/>
      <c r="P57" s="12">
        <v>37281.0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ht="15.75" customHeight="1">
      <c r="A58" s="5">
        <v>3.6297487E7</v>
      </c>
      <c r="B58" s="6" t="s">
        <v>263</v>
      </c>
      <c r="C58" s="6" t="s">
        <v>264</v>
      </c>
      <c r="D58" s="6">
        <v>3.6297487E7</v>
      </c>
      <c r="E58" s="6"/>
      <c r="F58" s="6"/>
      <c r="G58" s="6"/>
      <c r="H58" s="6"/>
      <c r="I58" s="6"/>
      <c r="J58" s="6"/>
      <c r="K58" s="6"/>
      <c r="L58" s="6"/>
      <c r="M58" s="6"/>
      <c r="N58" s="6" t="s">
        <v>265</v>
      </c>
      <c r="O58" s="13">
        <v>1.141633096E9</v>
      </c>
      <c r="P58" s="17">
        <v>33504.0</v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ht="15.75" customHeight="1">
      <c r="A59" s="9">
        <v>3.9665127E7</v>
      </c>
      <c r="B59" s="10" t="s">
        <v>263</v>
      </c>
      <c r="C59" s="10" t="s">
        <v>266</v>
      </c>
      <c r="D59" s="10">
        <v>3.9665127E7</v>
      </c>
      <c r="E59" s="10"/>
      <c r="F59" s="10"/>
      <c r="G59" s="10"/>
      <c r="H59" s="10"/>
      <c r="I59" s="10"/>
      <c r="J59" s="10"/>
      <c r="K59" s="10"/>
      <c r="L59" s="10"/>
      <c r="M59" s="10"/>
      <c r="N59" s="10" t="s">
        <v>267</v>
      </c>
      <c r="O59" s="11">
        <v>1.12547893E9</v>
      </c>
      <c r="P59" s="12">
        <v>35253.0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ht="15.75" customHeight="1">
      <c r="A60" s="5">
        <v>3.9646253E7</v>
      </c>
      <c r="B60" s="6" t="s">
        <v>268</v>
      </c>
      <c r="C60" s="6" t="s">
        <v>269</v>
      </c>
      <c r="D60" s="6">
        <v>3.9646253E7</v>
      </c>
      <c r="E60" s="6"/>
      <c r="F60" s="6"/>
      <c r="G60" s="6"/>
      <c r="H60" s="6"/>
      <c r="I60" s="6"/>
      <c r="J60" s="6"/>
      <c r="K60" s="6"/>
      <c r="L60" s="6"/>
      <c r="M60" s="6"/>
      <c r="N60" s="6" t="s">
        <v>270</v>
      </c>
      <c r="O60" s="13">
        <v>1.125061863E9</v>
      </c>
      <c r="P60" s="8">
        <v>35324.0</v>
      </c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ht="15.75" customHeight="1">
      <c r="A61" s="9">
        <v>2.8054001E7</v>
      </c>
      <c r="B61" s="10" t="s">
        <v>263</v>
      </c>
      <c r="C61" s="10" t="s">
        <v>271</v>
      </c>
      <c r="D61" s="10">
        <v>2.8054001E7</v>
      </c>
      <c r="E61" s="10"/>
      <c r="F61" s="10"/>
      <c r="G61" s="10"/>
      <c r="H61" s="10"/>
      <c r="I61" s="10"/>
      <c r="J61" s="10"/>
      <c r="K61" s="10"/>
      <c r="L61" s="10"/>
      <c r="M61" s="10"/>
      <c r="N61" s="10" t="s">
        <v>272</v>
      </c>
      <c r="O61" s="14">
        <v>1.168442449E9</v>
      </c>
      <c r="P61" s="12">
        <v>29421.0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ht="15.75" customHeight="1">
      <c r="A62" s="5">
        <v>3.6162205E7</v>
      </c>
      <c r="B62" s="6" t="s">
        <v>263</v>
      </c>
      <c r="C62" s="6" t="s">
        <v>273</v>
      </c>
      <c r="D62" s="6">
        <v>3.6162205E7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13">
        <v>1.12355504E9</v>
      </c>
      <c r="P62" s="8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ht="15.75" customHeight="1">
      <c r="A63" s="9">
        <v>2.7930531E7</v>
      </c>
      <c r="B63" s="10" t="s">
        <v>274</v>
      </c>
      <c r="C63" s="10" t="s">
        <v>275</v>
      </c>
      <c r="D63" s="10">
        <v>2.7930531E7</v>
      </c>
      <c r="E63" s="10"/>
      <c r="F63" s="10"/>
      <c r="G63" s="10"/>
      <c r="H63" s="10"/>
      <c r="I63" s="10"/>
      <c r="J63" s="10"/>
      <c r="K63" s="10"/>
      <c r="L63" s="10"/>
      <c r="M63" s="10"/>
      <c r="N63" s="10" t="s">
        <v>276</v>
      </c>
      <c r="O63" s="11">
        <v>1.13421198E9</v>
      </c>
      <c r="P63" s="12">
        <v>29291.0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ht="15.75" customHeight="1">
      <c r="A64" s="5">
        <v>2.2447579E7</v>
      </c>
      <c r="B64" s="6" t="s">
        <v>277</v>
      </c>
      <c r="C64" s="6" t="s">
        <v>278</v>
      </c>
      <c r="D64" s="6">
        <v>2.2447579E7</v>
      </c>
      <c r="E64" s="6"/>
      <c r="F64" s="6"/>
      <c r="G64" s="6"/>
      <c r="H64" s="6"/>
      <c r="I64" s="6"/>
      <c r="J64" s="6"/>
      <c r="K64" s="6"/>
      <c r="L64" s="6"/>
      <c r="M64" s="6"/>
      <c r="N64" s="6" t="s">
        <v>279</v>
      </c>
      <c r="O64" s="7">
        <v>1.135003642E9</v>
      </c>
      <c r="P64" s="8">
        <v>26202.0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ht="15.75" customHeight="1">
      <c r="A65" s="9">
        <v>2.873501E7</v>
      </c>
      <c r="B65" s="10" t="s">
        <v>280</v>
      </c>
      <c r="C65" s="10" t="s">
        <v>281</v>
      </c>
      <c r="D65" s="10">
        <v>2.873501E7</v>
      </c>
      <c r="E65" s="10"/>
      <c r="F65" s="10"/>
      <c r="G65" s="10"/>
      <c r="H65" s="10"/>
      <c r="I65" s="10"/>
      <c r="J65" s="10"/>
      <c r="K65" s="10"/>
      <c r="L65" s="10"/>
      <c r="M65" s="10"/>
      <c r="N65" s="14" t="s">
        <v>282</v>
      </c>
      <c r="O65" s="14">
        <v>1.176525294E9</v>
      </c>
      <c r="P65" s="12">
        <v>29656.0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ht="15.75" customHeight="1">
      <c r="A66" s="5">
        <v>9.4521109E7</v>
      </c>
      <c r="B66" s="6" t="s">
        <v>283</v>
      </c>
      <c r="C66" s="6" t="s">
        <v>284</v>
      </c>
      <c r="D66" s="6">
        <v>9.4521109E7</v>
      </c>
      <c r="E66" s="6"/>
      <c r="F66" s="6"/>
      <c r="G66" s="6"/>
      <c r="H66" s="6"/>
      <c r="I66" s="6"/>
      <c r="J66" s="6"/>
      <c r="K66" s="6"/>
      <c r="L66" s="6"/>
      <c r="M66" s="6"/>
      <c r="N66" s="6" t="s">
        <v>285</v>
      </c>
      <c r="O66" s="13" t="s">
        <v>18</v>
      </c>
      <c r="P66" s="8">
        <v>32549.0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ht="15.75" customHeight="1">
      <c r="A67" s="9">
        <v>9.4290896E7</v>
      </c>
      <c r="B67" s="10" t="s">
        <v>286</v>
      </c>
      <c r="C67" s="10" t="s">
        <v>287</v>
      </c>
      <c r="D67" s="10">
        <v>9.4290896E7</v>
      </c>
      <c r="E67" s="10"/>
      <c r="F67" s="10"/>
      <c r="G67" s="10"/>
      <c r="H67" s="10"/>
      <c r="I67" s="10"/>
      <c r="J67" s="10"/>
      <c r="K67" s="10"/>
      <c r="L67" s="10"/>
      <c r="M67" s="10"/>
      <c r="N67" s="10" t="s">
        <v>288</v>
      </c>
      <c r="O67" s="11">
        <v>1.136269477E9</v>
      </c>
      <c r="P67" s="12">
        <v>34136.0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ht="15.75" customHeight="1">
      <c r="A68" s="5">
        <v>2.9319005E7</v>
      </c>
      <c r="B68" s="6" t="s">
        <v>289</v>
      </c>
      <c r="C68" s="6" t="s">
        <v>290</v>
      </c>
      <c r="D68" s="6">
        <v>2.9319005E7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13">
        <v>1.13137428E9</v>
      </c>
      <c r="P68" s="8">
        <v>29991.0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ht="15.75" customHeight="1">
      <c r="A69" s="9">
        <v>3.1703988E7</v>
      </c>
      <c r="B69" s="10" t="s">
        <v>291</v>
      </c>
      <c r="C69" s="10" t="s">
        <v>292</v>
      </c>
      <c r="D69" s="10">
        <v>3.1703988E7</v>
      </c>
      <c r="E69" s="10"/>
      <c r="F69" s="10"/>
      <c r="G69" s="10"/>
      <c r="H69" s="10"/>
      <c r="I69" s="10"/>
      <c r="J69" s="10"/>
      <c r="K69" s="10"/>
      <c r="L69" s="10"/>
      <c r="M69" s="10"/>
      <c r="N69" s="10" t="s">
        <v>293</v>
      </c>
      <c r="O69" s="11"/>
      <c r="P69" s="12">
        <v>31240.0</v>
      </c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ht="15.75" customHeight="1">
      <c r="A70" s="5">
        <v>3.0455729E7</v>
      </c>
      <c r="B70" s="6" t="s">
        <v>294</v>
      </c>
      <c r="C70" s="6" t="s">
        <v>295</v>
      </c>
      <c r="D70" s="6">
        <v>3.0455729E7</v>
      </c>
      <c r="E70" s="6"/>
      <c r="F70" s="6"/>
      <c r="G70" s="6"/>
      <c r="H70" s="6"/>
      <c r="I70" s="6"/>
      <c r="J70" s="6"/>
      <c r="K70" s="6"/>
      <c r="L70" s="6"/>
      <c r="M70" s="6"/>
      <c r="N70" s="6" t="s">
        <v>296</v>
      </c>
      <c r="O70" s="13">
        <v>1.127588744E9</v>
      </c>
      <c r="P70" s="8">
        <v>30612.0</v>
      </c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ht="15.75" customHeight="1">
      <c r="A71" s="9">
        <v>4.3406398E7</v>
      </c>
      <c r="B71" s="10" t="s">
        <v>297</v>
      </c>
      <c r="C71" s="10" t="s">
        <v>298</v>
      </c>
      <c r="D71" s="10">
        <v>4.3406398E7</v>
      </c>
      <c r="E71" s="10"/>
      <c r="F71" s="10"/>
      <c r="G71" s="10"/>
      <c r="H71" s="10"/>
      <c r="I71" s="10"/>
      <c r="J71" s="10"/>
      <c r="K71" s="10"/>
      <c r="L71" s="10"/>
      <c r="M71" s="10"/>
      <c r="N71" s="10" t="s">
        <v>299</v>
      </c>
      <c r="O71" s="11">
        <v>1.165567776E9</v>
      </c>
      <c r="P71" s="12">
        <v>37062.0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ht="15.75" customHeight="1">
      <c r="A72" s="5">
        <v>3.4583817E7</v>
      </c>
      <c r="B72" s="6" t="s">
        <v>300</v>
      </c>
      <c r="C72" s="6" t="s">
        <v>301</v>
      </c>
      <c r="D72" s="6">
        <v>3.4583817E7</v>
      </c>
      <c r="E72" s="6"/>
      <c r="F72" s="6"/>
      <c r="G72" s="6"/>
      <c r="H72" s="6"/>
      <c r="I72" s="6"/>
      <c r="J72" s="6"/>
      <c r="K72" s="6"/>
      <c r="L72" s="6"/>
      <c r="M72" s="6"/>
      <c r="N72" s="6" t="s">
        <v>302</v>
      </c>
      <c r="O72" s="7">
        <v>1.125670074E9</v>
      </c>
      <c r="P72" s="8">
        <v>32698.0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ht="15.75" customHeight="1">
      <c r="A73" s="9">
        <v>2.5422284E7</v>
      </c>
      <c r="B73" s="10" t="s">
        <v>303</v>
      </c>
      <c r="C73" s="10" t="s">
        <v>304</v>
      </c>
      <c r="D73" s="10">
        <v>2.5422284E7</v>
      </c>
      <c r="E73" s="10"/>
      <c r="F73" s="10"/>
      <c r="G73" s="10"/>
      <c r="H73" s="10"/>
      <c r="I73" s="10"/>
      <c r="J73" s="10"/>
      <c r="K73" s="10"/>
      <c r="L73" s="10"/>
      <c r="M73" s="10"/>
      <c r="N73" s="10" t="s">
        <v>305</v>
      </c>
      <c r="O73" s="11">
        <v>1.131666927E9</v>
      </c>
      <c r="P73" s="12">
        <v>27962.0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ht="15.75" customHeight="1">
      <c r="A74" s="5">
        <v>2.7259537E7</v>
      </c>
      <c r="B74" s="6" t="s">
        <v>306</v>
      </c>
      <c r="C74" s="6" t="s">
        <v>307</v>
      </c>
      <c r="D74" s="6">
        <v>2.7259537E7</v>
      </c>
      <c r="E74" s="6"/>
      <c r="F74" s="6"/>
      <c r="G74" s="6"/>
      <c r="H74" s="6"/>
      <c r="I74" s="6"/>
      <c r="J74" s="6"/>
      <c r="K74" s="6"/>
      <c r="L74" s="6"/>
      <c r="M74" s="6"/>
      <c r="N74" s="6" t="s">
        <v>308</v>
      </c>
      <c r="O74" s="13">
        <v>1.166665806E9</v>
      </c>
      <c r="P74" s="8">
        <v>28979.0</v>
      </c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ht="15.75" customHeight="1">
      <c r="A75" s="9">
        <v>3.8128116E7</v>
      </c>
      <c r="B75" s="10" t="s">
        <v>309</v>
      </c>
      <c r="C75" s="10" t="s">
        <v>310</v>
      </c>
      <c r="D75" s="10">
        <v>3.8128116E7</v>
      </c>
      <c r="E75" s="14" t="s">
        <v>25</v>
      </c>
      <c r="F75" s="14" t="s">
        <v>26</v>
      </c>
      <c r="G75" s="10"/>
      <c r="H75" s="14">
        <v>1755.0</v>
      </c>
      <c r="I75" s="14" t="s">
        <v>28</v>
      </c>
      <c r="J75" s="14" t="s">
        <v>311</v>
      </c>
      <c r="K75" s="10"/>
      <c r="L75" s="14" t="s">
        <v>57</v>
      </c>
      <c r="M75" s="14" t="s">
        <v>312</v>
      </c>
      <c r="N75" s="10"/>
      <c r="O75" s="14">
        <v>1.139545887E9</v>
      </c>
      <c r="P75" s="12">
        <v>34426.0</v>
      </c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ht="15.75" customHeight="1">
      <c r="A76" s="5">
        <v>2.9697288E7</v>
      </c>
      <c r="B76" s="6" t="s">
        <v>309</v>
      </c>
      <c r="C76" s="6" t="s">
        <v>313</v>
      </c>
      <c r="D76" s="6">
        <v>2.9697288E7</v>
      </c>
      <c r="E76" s="6"/>
      <c r="F76" s="6"/>
      <c r="G76" s="6"/>
      <c r="H76" s="6"/>
      <c r="I76" s="6"/>
      <c r="J76" s="6"/>
      <c r="K76" s="6"/>
      <c r="L76" s="6"/>
      <c r="M76" s="6"/>
      <c r="N76" s="6" t="s">
        <v>314</v>
      </c>
      <c r="O76" s="13">
        <v>1.13076435E9</v>
      </c>
      <c r="P76" s="8">
        <v>30167.0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ht="15.75" customHeight="1">
      <c r="A77" s="9">
        <v>3.816591E7</v>
      </c>
      <c r="B77" s="10" t="s">
        <v>309</v>
      </c>
      <c r="C77" s="10" t="s">
        <v>315</v>
      </c>
      <c r="D77" s="10">
        <v>3.816591E7</v>
      </c>
      <c r="E77" s="10"/>
      <c r="F77" s="10"/>
      <c r="G77" s="10"/>
      <c r="H77" s="10"/>
      <c r="I77" s="10"/>
      <c r="J77" s="10"/>
      <c r="K77" s="10"/>
      <c r="L77" s="10"/>
      <c r="M77" s="10"/>
      <c r="N77" s="10" t="s">
        <v>316</v>
      </c>
      <c r="O77" s="11">
        <v>1.15620154E9</v>
      </c>
      <c r="P77" s="12">
        <v>34440.0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ht="15.75" customHeight="1">
      <c r="A78" s="5">
        <v>3.7782026E7</v>
      </c>
      <c r="B78" s="6" t="s">
        <v>309</v>
      </c>
      <c r="C78" s="6" t="s">
        <v>317</v>
      </c>
      <c r="D78" s="6">
        <v>3.7782026E7</v>
      </c>
      <c r="E78" s="6"/>
      <c r="F78" s="6"/>
      <c r="G78" s="6"/>
      <c r="H78" s="6"/>
      <c r="I78" s="6"/>
      <c r="J78" s="6"/>
      <c r="K78" s="6"/>
      <c r="L78" s="6"/>
      <c r="M78" s="6"/>
      <c r="N78" s="6" t="s">
        <v>318</v>
      </c>
      <c r="O78" s="13">
        <v>1.151065312E9</v>
      </c>
      <c r="P78" s="8">
        <v>34158.0</v>
      </c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ht="15.75" customHeight="1">
      <c r="A79" s="9">
        <v>3.9075526E7</v>
      </c>
      <c r="B79" s="10" t="s">
        <v>319</v>
      </c>
      <c r="C79" s="10" t="s">
        <v>320</v>
      </c>
      <c r="D79" s="10">
        <v>3.9075526E7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1">
        <v>1.138848109E9</v>
      </c>
      <c r="P79" s="12">
        <v>35236.0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ht="15.75" customHeight="1">
      <c r="A80" s="5">
        <v>3.8672137E7</v>
      </c>
      <c r="B80" s="6" t="s">
        <v>321</v>
      </c>
      <c r="C80" s="6" t="s">
        <v>322</v>
      </c>
      <c r="D80" s="6">
        <v>3.8672137E7</v>
      </c>
      <c r="E80" s="6"/>
      <c r="F80" s="6"/>
      <c r="G80" s="6"/>
      <c r="H80" s="6"/>
      <c r="I80" s="6"/>
      <c r="J80" s="6"/>
      <c r="K80" s="6"/>
      <c r="L80" s="6"/>
      <c r="M80" s="6"/>
      <c r="N80" s="6" t="s">
        <v>323</v>
      </c>
      <c r="O80" s="13">
        <v>1.130677874E9</v>
      </c>
      <c r="P80" s="8">
        <v>34567.0</v>
      </c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ht="15.75" customHeight="1">
      <c r="A81" s="9">
        <v>3.8026805E7</v>
      </c>
      <c r="B81" s="10" t="s">
        <v>324</v>
      </c>
      <c r="C81" s="10" t="s">
        <v>325</v>
      </c>
      <c r="D81" s="10">
        <v>3.8026805E7</v>
      </c>
      <c r="E81" s="10"/>
      <c r="F81" s="10"/>
      <c r="G81" s="10"/>
      <c r="H81" s="10"/>
      <c r="I81" s="10"/>
      <c r="J81" s="10"/>
      <c r="K81" s="10"/>
      <c r="L81" s="10"/>
      <c r="M81" s="10"/>
      <c r="N81" s="10" t="s">
        <v>326</v>
      </c>
      <c r="O81" s="11">
        <v>1.124048703E9</v>
      </c>
      <c r="P81" s="18">
        <v>34401.0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ht="15.75" customHeight="1">
      <c r="A82" s="5">
        <v>2.2986617E7</v>
      </c>
      <c r="B82" s="6" t="s">
        <v>327</v>
      </c>
      <c r="C82" s="6" t="s">
        <v>328</v>
      </c>
      <c r="D82" s="6">
        <v>2.2986617E7</v>
      </c>
      <c r="E82" s="6"/>
      <c r="F82" s="6"/>
      <c r="G82" s="6"/>
      <c r="H82" s="6"/>
      <c r="I82" s="6"/>
      <c r="J82" s="6"/>
      <c r="K82" s="6"/>
      <c r="L82" s="6"/>
      <c r="M82" s="6"/>
      <c r="N82" s="6" t="s">
        <v>329</v>
      </c>
      <c r="O82" s="13">
        <v>1.123163394E9</v>
      </c>
      <c r="P82" s="8">
        <v>26547.0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ht="15.75" customHeight="1">
      <c r="A83" s="9">
        <v>3.4849125E7</v>
      </c>
      <c r="B83" s="10" t="s">
        <v>327</v>
      </c>
      <c r="C83" s="10" t="s">
        <v>330</v>
      </c>
      <c r="D83" s="10">
        <v>3.4849125E7</v>
      </c>
      <c r="E83" s="14" t="s">
        <v>25</v>
      </c>
      <c r="F83" s="14" t="s">
        <v>26</v>
      </c>
      <c r="G83" s="14" t="s">
        <v>331</v>
      </c>
      <c r="H83" s="14">
        <v>1763.0</v>
      </c>
      <c r="I83" s="14" t="s">
        <v>28</v>
      </c>
      <c r="J83" s="14" t="s">
        <v>37</v>
      </c>
      <c r="K83" s="14" t="s">
        <v>332</v>
      </c>
      <c r="L83" s="14" t="s">
        <v>333</v>
      </c>
      <c r="M83" s="14" t="s">
        <v>160</v>
      </c>
      <c r="N83" s="10" t="s">
        <v>334</v>
      </c>
      <c r="O83" s="11">
        <v>1.135661121E9</v>
      </c>
      <c r="P83" s="12">
        <v>31216.0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ht="15.75" customHeight="1">
      <c r="A84" s="5">
        <v>3.6471269E7</v>
      </c>
      <c r="B84" s="6" t="s">
        <v>335</v>
      </c>
      <c r="C84" s="6" t="s">
        <v>336</v>
      </c>
      <c r="D84" s="6">
        <v>3.6471269E7</v>
      </c>
      <c r="E84" s="6"/>
      <c r="F84" s="6"/>
      <c r="G84" s="6"/>
      <c r="H84" s="6"/>
      <c r="I84" s="6"/>
      <c r="J84" s="6"/>
      <c r="K84" s="6"/>
      <c r="L84" s="6"/>
      <c r="M84" s="6"/>
      <c r="N84" s="6" t="s">
        <v>337</v>
      </c>
      <c r="O84" s="13">
        <v>1.14145952E9</v>
      </c>
      <c r="P84" s="8">
        <v>34231.0</v>
      </c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ht="15.75" customHeight="1">
      <c r="A85" s="9">
        <v>3.9962767E7</v>
      </c>
      <c r="B85" s="10" t="s">
        <v>338</v>
      </c>
      <c r="C85" s="10" t="s">
        <v>339</v>
      </c>
      <c r="D85" s="10">
        <v>3.9962767E7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1">
        <v>1.168768011E9</v>
      </c>
      <c r="P85" s="12">
        <v>35347.0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ht="15.75" customHeight="1">
      <c r="A86" s="5">
        <v>2.9332369E7</v>
      </c>
      <c r="B86" s="6" t="s">
        <v>340</v>
      </c>
      <c r="C86" s="6" t="s">
        <v>341</v>
      </c>
      <c r="D86" s="6">
        <v>2.9332369E7</v>
      </c>
      <c r="E86" s="6"/>
      <c r="F86" s="6"/>
      <c r="G86" s="6"/>
      <c r="H86" s="6"/>
      <c r="I86" s="6"/>
      <c r="J86" s="6"/>
      <c r="K86" s="6"/>
      <c r="L86" s="6"/>
      <c r="M86" s="6"/>
      <c r="N86" s="6" t="s">
        <v>342</v>
      </c>
      <c r="O86" s="13">
        <v>1.13190927E9</v>
      </c>
      <c r="P86" s="8">
        <v>30111.0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ht="15.75" customHeight="1">
      <c r="A87" s="9">
        <v>4.1556999E7</v>
      </c>
      <c r="B87" s="10" t="s">
        <v>343</v>
      </c>
      <c r="C87" s="10" t="s">
        <v>344</v>
      </c>
      <c r="D87" s="10">
        <v>4.1556999E7</v>
      </c>
      <c r="E87" s="14" t="s">
        <v>243</v>
      </c>
      <c r="F87" s="14" t="s">
        <v>26</v>
      </c>
      <c r="G87" s="14" t="s">
        <v>345</v>
      </c>
      <c r="H87" s="14">
        <v>1434.0</v>
      </c>
      <c r="I87" s="14" t="s">
        <v>28</v>
      </c>
      <c r="J87" s="14" t="s">
        <v>346</v>
      </c>
      <c r="K87" s="14" t="s">
        <v>347</v>
      </c>
      <c r="L87" s="14" t="s">
        <v>57</v>
      </c>
      <c r="M87" s="14" t="s">
        <v>32</v>
      </c>
      <c r="N87" s="10" t="s">
        <v>348</v>
      </c>
      <c r="O87" s="11">
        <v>1.145289291E9</v>
      </c>
      <c r="P87" s="12">
        <v>36102.0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ht="15.75" customHeight="1">
      <c r="A88" s="5">
        <v>2.2650822E7</v>
      </c>
      <c r="B88" s="6" t="s">
        <v>349</v>
      </c>
      <c r="C88" s="6" t="s">
        <v>350</v>
      </c>
      <c r="D88" s="6">
        <v>2.2650822E7</v>
      </c>
      <c r="E88" s="6"/>
      <c r="F88" s="6"/>
      <c r="G88" s="6"/>
      <c r="H88" s="6"/>
      <c r="I88" s="6"/>
      <c r="J88" s="6"/>
      <c r="K88" s="6"/>
      <c r="L88" s="6"/>
      <c r="M88" s="6"/>
      <c r="N88" s="6" t="s">
        <v>351</v>
      </c>
      <c r="O88" s="13">
        <v>1.158521754E9</v>
      </c>
      <c r="P88" s="8">
        <v>26352.0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ht="15.75" customHeight="1">
      <c r="A89" s="9">
        <v>3.5959231E7</v>
      </c>
      <c r="B89" s="10" t="s">
        <v>352</v>
      </c>
      <c r="C89" s="10" t="s">
        <v>353</v>
      </c>
      <c r="D89" s="10">
        <v>3.5959231E7</v>
      </c>
      <c r="E89" s="10"/>
      <c r="F89" s="10"/>
      <c r="G89" s="10"/>
      <c r="H89" s="10"/>
      <c r="I89" s="10"/>
      <c r="J89" s="10"/>
      <c r="K89" s="10"/>
      <c r="L89" s="10"/>
      <c r="M89" s="10"/>
      <c r="N89" s="10" t="s">
        <v>354</v>
      </c>
      <c r="O89" s="11">
        <v>1.167217723E9</v>
      </c>
      <c r="P89" s="12">
        <v>33341.0</v>
      </c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ht="15.75" customHeight="1">
      <c r="A90" s="5">
        <v>2.8418896E7</v>
      </c>
      <c r="B90" s="6" t="s">
        <v>355</v>
      </c>
      <c r="C90" s="6" t="s">
        <v>356</v>
      </c>
      <c r="D90" s="6">
        <v>2.8418896E7</v>
      </c>
      <c r="E90" s="6"/>
      <c r="F90" s="6"/>
      <c r="G90" s="6"/>
      <c r="H90" s="6"/>
      <c r="I90" s="6"/>
      <c r="J90" s="6"/>
      <c r="K90" s="6"/>
      <c r="L90" s="6"/>
      <c r="M90" s="6"/>
      <c r="N90" s="6" t="s">
        <v>357</v>
      </c>
      <c r="O90" s="13">
        <v>1.157802702E9</v>
      </c>
      <c r="P90" s="8">
        <v>29461.0</v>
      </c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ht="15.75" customHeight="1">
      <c r="A91" s="9">
        <v>4.0137655E7</v>
      </c>
      <c r="B91" s="10" t="s">
        <v>358</v>
      </c>
      <c r="C91" s="10" t="s">
        <v>359</v>
      </c>
      <c r="D91" s="10">
        <v>4.0137655E7</v>
      </c>
      <c r="E91" s="10"/>
      <c r="F91" s="10"/>
      <c r="G91" s="10"/>
      <c r="H91" s="10"/>
      <c r="I91" s="10"/>
      <c r="J91" s="10"/>
      <c r="K91" s="10"/>
      <c r="L91" s="10"/>
      <c r="M91" s="10"/>
      <c r="N91" s="10" t="s">
        <v>360</v>
      </c>
      <c r="O91" s="11">
        <v>1.127455035E9</v>
      </c>
      <c r="P91" s="12">
        <v>35451.0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</row>
    <row r="92" ht="15.75" customHeight="1">
      <c r="A92" s="5">
        <v>4.0390933E7</v>
      </c>
      <c r="B92" s="6" t="s">
        <v>361</v>
      </c>
      <c r="C92" s="6" t="s">
        <v>362</v>
      </c>
      <c r="D92" s="6">
        <v>4.0390933E7</v>
      </c>
      <c r="E92" s="6"/>
      <c r="F92" s="6"/>
      <c r="G92" s="6"/>
      <c r="H92" s="6"/>
      <c r="I92" s="6"/>
      <c r="J92" s="6"/>
      <c r="K92" s="6"/>
      <c r="L92" s="6"/>
      <c r="M92" s="6"/>
      <c r="N92" s="6" t="s">
        <v>363</v>
      </c>
      <c r="O92" s="13">
        <v>1.125168797E9</v>
      </c>
      <c r="P92" s="8">
        <v>35711.0</v>
      </c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ht="15.75" customHeight="1">
      <c r="A93" s="9">
        <v>4.0239878E7</v>
      </c>
      <c r="B93" s="10" t="s">
        <v>361</v>
      </c>
      <c r="C93" s="10" t="s">
        <v>364</v>
      </c>
      <c r="D93" s="10">
        <v>4.0239878E7</v>
      </c>
      <c r="E93" s="10"/>
      <c r="F93" s="10"/>
      <c r="G93" s="10"/>
      <c r="H93" s="10"/>
      <c r="I93" s="10"/>
      <c r="J93" s="10"/>
      <c r="K93" s="10"/>
      <c r="L93" s="10"/>
      <c r="M93" s="10"/>
      <c r="N93" s="10" t="s">
        <v>365</v>
      </c>
      <c r="O93" s="14">
        <v>1.1380177E9</v>
      </c>
      <c r="P93" s="12">
        <v>35449.0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ht="15.75" customHeight="1">
      <c r="A94" s="5">
        <v>9.499782E7</v>
      </c>
      <c r="B94" s="6" t="s">
        <v>361</v>
      </c>
      <c r="C94" s="6" t="s">
        <v>366</v>
      </c>
      <c r="D94" s="6">
        <v>9.499782E7</v>
      </c>
      <c r="E94" s="6"/>
      <c r="F94" s="6"/>
      <c r="G94" s="6"/>
      <c r="H94" s="6"/>
      <c r="I94" s="6"/>
      <c r="J94" s="6"/>
      <c r="K94" s="6"/>
      <c r="L94" s="6"/>
      <c r="M94" s="6"/>
      <c r="N94" s="6" t="s">
        <v>367</v>
      </c>
      <c r="O94" s="13">
        <v>1.168314085E9</v>
      </c>
      <c r="P94" s="8">
        <v>34109.0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ht="15.75" customHeight="1">
      <c r="A95" s="9">
        <v>2.5847688E7</v>
      </c>
      <c r="B95" s="10" t="s">
        <v>361</v>
      </c>
      <c r="C95" s="10" t="s">
        <v>368</v>
      </c>
      <c r="D95" s="10">
        <v>2.5847688E7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1">
        <v>1.131269652E9</v>
      </c>
      <c r="P95" s="12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ht="15.75" customHeight="1">
      <c r="A96" s="5">
        <v>3.8152098E7</v>
      </c>
      <c r="B96" s="6" t="s">
        <v>369</v>
      </c>
      <c r="C96" s="6" t="s">
        <v>370</v>
      </c>
      <c r="D96" s="6">
        <v>3.8152098E7</v>
      </c>
      <c r="E96" s="6"/>
      <c r="F96" s="6"/>
      <c r="G96" s="6"/>
      <c r="H96" s="6"/>
      <c r="I96" s="6"/>
      <c r="J96" s="6"/>
      <c r="K96" s="6"/>
      <c r="L96" s="6"/>
      <c r="M96" s="6"/>
      <c r="N96" s="6" t="s">
        <v>371</v>
      </c>
      <c r="O96" s="13" t="s">
        <v>18</v>
      </c>
      <c r="P96" s="8">
        <v>34586.0</v>
      </c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ht="15.75" customHeight="1">
      <c r="A97" s="9">
        <v>4.0698496E7</v>
      </c>
      <c r="B97" s="10" t="s">
        <v>372</v>
      </c>
      <c r="C97" s="10" t="s">
        <v>373</v>
      </c>
      <c r="D97" s="10">
        <v>4.0698496E7</v>
      </c>
      <c r="E97" s="10"/>
      <c r="F97" s="14" t="s">
        <v>26</v>
      </c>
      <c r="G97" s="10"/>
      <c r="H97" s="10"/>
      <c r="I97" s="10"/>
      <c r="J97" s="10"/>
      <c r="K97" s="10"/>
      <c r="L97" s="10"/>
      <c r="M97" s="10"/>
      <c r="N97" s="10"/>
      <c r="O97" s="11">
        <v>1.16588265E9</v>
      </c>
      <c r="P97" s="12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ht="15.75" customHeight="1">
      <c r="A98" s="5">
        <v>3.0465419E7</v>
      </c>
      <c r="B98" s="6" t="s">
        <v>374</v>
      </c>
      <c r="C98" s="6" t="s">
        <v>366</v>
      </c>
      <c r="D98" s="6">
        <v>3.0465419E7</v>
      </c>
      <c r="E98" s="6"/>
      <c r="F98" s="6"/>
      <c r="G98" s="6"/>
      <c r="H98" s="6"/>
      <c r="I98" s="6"/>
      <c r="J98" s="6"/>
      <c r="K98" s="6"/>
      <c r="L98" s="6"/>
      <c r="M98" s="6"/>
      <c r="N98" s="7" t="s">
        <v>375</v>
      </c>
      <c r="O98" s="7">
        <v>1.151361265E9</v>
      </c>
      <c r="P98" s="16">
        <v>30580.0</v>
      </c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ht="15.75" customHeight="1">
      <c r="A99" s="9">
        <v>4.5285264E7</v>
      </c>
      <c r="B99" s="10" t="s">
        <v>376</v>
      </c>
      <c r="C99" s="10" t="s">
        <v>377</v>
      </c>
      <c r="D99" s="10">
        <v>4.5285264E7</v>
      </c>
      <c r="E99" s="14" t="s">
        <v>25</v>
      </c>
      <c r="F99" s="14" t="s">
        <v>26</v>
      </c>
      <c r="G99" s="14" t="s">
        <v>378</v>
      </c>
      <c r="H99" s="14">
        <v>1770.0</v>
      </c>
      <c r="I99" s="14" t="s">
        <v>28</v>
      </c>
      <c r="J99" s="14" t="s">
        <v>37</v>
      </c>
      <c r="K99" s="10"/>
      <c r="L99" s="14" t="s">
        <v>57</v>
      </c>
      <c r="M99" s="14" t="s">
        <v>379</v>
      </c>
      <c r="N99" s="10"/>
      <c r="O99" s="11">
        <v>1.124676665E9</v>
      </c>
      <c r="P99" s="12">
        <v>38070.0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ht="15.75" customHeight="1">
      <c r="A100" s="5">
        <v>4.0850341E7</v>
      </c>
      <c r="B100" s="6" t="s">
        <v>376</v>
      </c>
      <c r="C100" s="6" t="s">
        <v>380</v>
      </c>
      <c r="D100" s="6">
        <v>4.0850341E7</v>
      </c>
      <c r="E100" s="6"/>
      <c r="F100" s="6"/>
      <c r="G100" s="6"/>
      <c r="H100" s="6"/>
      <c r="I100" s="6"/>
      <c r="J100" s="6"/>
      <c r="K100" s="6"/>
      <c r="L100" s="6"/>
      <c r="M100" s="6"/>
      <c r="N100" s="6" t="s">
        <v>381</v>
      </c>
      <c r="O100" s="13" t="s">
        <v>18</v>
      </c>
      <c r="P100" s="8">
        <v>35738.0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ht="15.75" customHeight="1">
      <c r="A101" s="9">
        <v>2.5681364E7</v>
      </c>
      <c r="B101" s="10" t="s">
        <v>376</v>
      </c>
      <c r="C101" s="10" t="s">
        <v>382</v>
      </c>
      <c r="D101" s="10">
        <v>2.5681364E7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 t="s">
        <v>383</v>
      </c>
      <c r="O101" s="11">
        <v>1.126573366E9</v>
      </c>
      <c r="P101" s="12">
        <v>28142.0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ht="15.75" customHeight="1">
      <c r="A102" s="5">
        <v>3.7099313E7</v>
      </c>
      <c r="B102" s="6" t="s">
        <v>384</v>
      </c>
      <c r="C102" s="6" t="s">
        <v>385</v>
      </c>
      <c r="D102" s="6">
        <v>3.7099313E7</v>
      </c>
      <c r="E102" s="6"/>
      <c r="F102" s="6"/>
      <c r="G102" s="6"/>
      <c r="H102" s="6"/>
      <c r="I102" s="6"/>
      <c r="J102" s="6"/>
      <c r="K102" s="6"/>
      <c r="L102" s="6"/>
      <c r="M102" s="6"/>
      <c r="N102" s="6" t="s">
        <v>386</v>
      </c>
      <c r="O102" s="13">
        <v>1.130148179E9</v>
      </c>
      <c r="P102" s="8">
        <v>33958.0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ht="15.75" customHeight="1">
      <c r="A103" s="9">
        <v>4.49638E7</v>
      </c>
      <c r="B103" s="10" t="s">
        <v>387</v>
      </c>
      <c r="C103" s="10" t="s">
        <v>388</v>
      </c>
      <c r="D103" s="10">
        <v>4.49638E7</v>
      </c>
      <c r="E103" s="14" t="s">
        <v>25</v>
      </c>
      <c r="F103" s="14" t="s">
        <v>26</v>
      </c>
      <c r="G103" s="14" t="s">
        <v>389</v>
      </c>
      <c r="H103" s="10"/>
      <c r="I103" s="14" t="s">
        <v>28</v>
      </c>
      <c r="J103" s="14" t="s">
        <v>37</v>
      </c>
      <c r="K103" s="10"/>
      <c r="L103" s="14" t="s">
        <v>57</v>
      </c>
      <c r="M103" s="14" t="s">
        <v>312</v>
      </c>
      <c r="N103" s="10" t="s">
        <v>390</v>
      </c>
      <c r="O103" s="11">
        <v>1.163746095E9</v>
      </c>
      <c r="P103" s="12">
        <v>37672.0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ht="15.75" customHeight="1">
      <c r="A104" s="5">
        <v>1.906315E7</v>
      </c>
      <c r="B104" s="6" t="s">
        <v>391</v>
      </c>
      <c r="C104" s="6" t="s">
        <v>392</v>
      </c>
      <c r="D104" s="6">
        <v>1.906315E7</v>
      </c>
      <c r="E104" s="6"/>
      <c r="F104" s="6"/>
      <c r="G104" s="6"/>
      <c r="H104" s="6"/>
      <c r="I104" s="6"/>
      <c r="J104" s="6"/>
      <c r="K104" s="6"/>
      <c r="L104" s="6"/>
      <c r="M104" s="6"/>
      <c r="N104" s="6" t="s">
        <v>393</v>
      </c>
      <c r="O104" s="13">
        <v>1.138863933E9</v>
      </c>
      <c r="P104" s="8">
        <v>32347.0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ht="15.75" customHeight="1">
      <c r="A105" s="9">
        <v>3.8838668E7</v>
      </c>
      <c r="B105" s="10" t="s">
        <v>394</v>
      </c>
      <c r="C105" s="10" t="s">
        <v>395</v>
      </c>
      <c r="D105" s="10">
        <v>3.8838668E7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 t="s">
        <v>396</v>
      </c>
      <c r="O105" s="11">
        <v>1.136269477E9</v>
      </c>
      <c r="P105" s="12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ht="15.75" customHeight="1">
      <c r="A106" s="5">
        <v>3.1624543E7</v>
      </c>
      <c r="B106" s="6" t="s">
        <v>397</v>
      </c>
      <c r="C106" s="6" t="s">
        <v>398</v>
      </c>
      <c r="D106" s="6">
        <v>3.1624543E7</v>
      </c>
      <c r="E106" s="7" t="s">
        <v>25</v>
      </c>
      <c r="F106" s="7" t="s">
        <v>26</v>
      </c>
      <c r="G106" s="7" t="s">
        <v>399</v>
      </c>
      <c r="H106" s="7">
        <v>1446.0</v>
      </c>
      <c r="I106" s="7" t="s">
        <v>32</v>
      </c>
      <c r="J106" s="7" t="s">
        <v>37</v>
      </c>
      <c r="K106" s="7" t="s">
        <v>400</v>
      </c>
      <c r="L106" s="7" t="s">
        <v>57</v>
      </c>
      <c r="M106" s="7" t="s">
        <v>32</v>
      </c>
      <c r="N106" s="6" t="s">
        <v>401</v>
      </c>
      <c r="O106" s="13">
        <v>1.161566965E9</v>
      </c>
      <c r="P106" s="8">
        <v>31158.0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ht="15.75" customHeight="1">
      <c r="A107" s="9">
        <v>2.9400848E7</v>
      </c>
      <c r="B107" s="10" t="s">
        <v>397</v>
      </c>
      <c r="C107" s="10" t="s">
        <v>402</v>
      </c>
      <c r="D107" s="10">
        <v>2.9400848E7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 t="s">
        <v>403</v>
      </c>
      <c r="O107" s="11">
        <v>1.161636711E9</v>
      </c>
      <c r="P107" s="12">
        <v>30035.0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</row>
    <row r="108" ht="15.75" customHeight="1">
      <c r="A108" s="5">
        <v>3.1575604E7</v>
      </c>
      <c r="B108" s="6" t="s">
        <v>404</v>
      </c>
      <c r="C108" s="6" t="s">
        <v>405</v>
      </c>
      <c r="D108" s="6">
        <v>3.1575604E7</v>
      </c>
      <c r="E108" s="6"/>
      <c r="F108" s="6"/>
      <c r="G108" s="6"/>
      <c r="H108" s="6"/>
      <c r="I108" s="6"/>
      <c r="J108" s="6"/>
      <c r="K108" s="6"/>
      <c r="L108" s="6"/>
      <c r="M108" s="6"/>
      <c r="N108" s="6" t="s">
        <v>406</v>
      </c>
      <c r="O108" s="13">
        <v>1.12395707E9</v>
      </c>
      <c r="P108" s="8">
        <v>31055.0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ht="15.75" customHeight="1">
      <c r="A109" s="9">
        <v>9.5040589E7</v>
      </c>
      <c r="B109" s="10" t="s">
        <v>407</v>
      </c>
      <c r="C109" s="10" t="s">
        <v>408</v>
      </c>
      <c r="D109" s="10">
        <v>9.5040589E7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 t="s">
        <v>409</v>
      </c>
      <c r="O109" s="11">
        <v>1.160531098E9</v>
      </c>
      <c r="P109" s="12">
        <v>28450.0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ht="15.75" customHeight="1">
      <c r="A110" s="5">
        <v>4.3624266E7</v>
      </c>
      <c r="B110" s="6" t="s">
        <v>410</v>
      </c>
      <c r="C110" s="6" t="s">
        <v>411</v>
      </c>
      <c r="D110" s="6">
        <v>4.3624266E7</v>
      </c>
      <c r="E110" s="6"/>
      <c r="F110" s="6"/>
      <c r="G110" s="6"/>
      <c r="H110" s="6"/>
      <c r="I110" s="6"/>
      <c r="J110" s="6"/>
      <c r="K110" s="6"/>
      <c r="L110" s="6"/>
      <c r="M110" s="6"/>
      <c r="N110" s="6" t="s">
        <v>412</v>
      </c>
      <c r="O110" s="13">
        <v>1.127487823E9</v>
      </c>
      <c r="P110" s="8">
        <v>37252.0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  <row r="111" ht="15.75" customHeight="1">
      <c r="A111" s="9">
        <v>4.3318554E7</v>
      </c>
      <c r="B111" s="10" t="s">
        <v>413</v>
      </c>
      <c r="C111" s="10" t="s">
        <v>414</v>
      </c>
      <c r="D111" s="10">
        <v>4.3318554E7</v>
      </c>
      <c r="E111" s="14" t="s">
        <v>25</v>
      </c>
      <c r="F111" s="14" t="s">
        <v>26</v>
      </c>
      <c r="G111" s="14" t="s">
        <v>415</v>
      </c>
      <c r="H111" s="14">
        <v>1754.0</v>
      </c>
      <c r="I111" s="14" t="s">
        <v>28</v>
      </c>
      <c r="J111" s="14" t="s">
        <v>78</v>
      </c>
      <c r="K111" s="14" t="s">
        <v>416</v>
      </c>
      <c r="L111" s="14" t="s">
        <v>247</v>
      </c>
      <c r="M111" s="14" t="s">
        <v>417</v>
      </c>
      <c r="N111" s="10" t="s">
        <v>418</v>
      </c>
      <c r="O111" s="11">
        <v>1.170816674E9</v>
      </c>
      <c r="P111" s="12">
        <v>36973.0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</row>
    <row r="112" ht="15.75" customHeight="1">
      <c r="A112" s="5">
        <v>3.4436156E7</v>
      </c>
      <c r="B112" s="6" t="s">
        <v>419</v>
      </c>
      <c r="C112" s="6" t="s">
        <v>420</v>
      </c>
      <c r="D112" s="6">
        <v>3.4436156E7</v>
      </c>
      <c r="E112" s="6"/>
      <c r="F112" s="6"/>
      <c r="G112" s="6"/>
      <c r="H112" s="6"/>
      <c r="I112" s="6"/>
      <c r="J112" s="6"/>
      <c r="K112" s="6"/>
      <c r="L112" s="6"/>
      <c r="M112" s="6"/>
      <c r="N112" s="6" t="s">
        <v>421</v>
      </c>
      <c r="O112" s="13" t="s">
        <v>18</v>
      </c>
      <c r="P112" s="8">
        <v>32556.0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  <row r="113" ht="15.75" customHeight="1">
      <c r="A113" s="9">
        <v>3.9200084E7</v>
      </c>
      <c r="B113" s="10" t="s">
        <v>422</v>
      </c>
      <c r="C113" s="10" t="s">
        <v>423</v>
      </c>
      <c r="D113" s="10">
        <v>3.9200084E7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 t="s">
        <v>424</v>
      </c>
      <c r="O113" s="11" t="s">
        <v>18</v>
      </c>
      <c r="P113" s="12">
        <v>35239.0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</row>
    <row r="114" ht="15.75" customHeight="1">
      <c r="A114" s="5">
        <v>3.1137587E7</v>
      </c>
      <c r="B114" s="6" t="s">
        <v>425</v>
      </c>
      <c r="C114" s="6" t="s">
        <v>426</v>
      </c>
      <c r="D114" s="6">
        <v>3.1137587E7</v>
      </c>
      <c r="E114" s="6"/>
      <c r="F114" s="6"/>
      <c r="G114" s="6"/>
      <c r="H114" s="6"/>
      <c r="I114" s="6"/>
      <c r="J114" s="6"/>
      <c r="K114" s="6"/>
      <c r="L114" s="6"/>
      <c r="M114" s="6"/>
      <c r="N114" s="6" t="s">
        <v>427</v>
      </c>
      <c r="O114" s="13">
        <v>1.130404995E9</v>
      </c>
      <c r="P114" s="8">
        <v>30862.0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</row>
    <row r="115" ht="15.75" customHeight="1">
      <c r="A115" s="9">
        <v>3.8070572E7</v>
      </c>
      <c r="B115" s="10" t="s">
        <v>428</v>
      </c>
      <c r="C115" s="10" t="s">
        <v>429</v>
      </c>
      <c r="D115" s="10">
        <v>3.8070572E7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 t="s">
        <v>430</v>
      </c>
      <c r="O115" s="14">
        <v>1.157530604E9</v>
      </c>
      <c r="P115" s="12">
        <v>34412.0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</row>
    <row r="116" ht="15.75" customHeight="1">
      <c r="A116" s="5">
        <v>2.1365112E7</v>
      </c>
      <c r="B116" s="6" t="s">
        <v>431</v>
      </c>
      <c r="C116" s="6" t="s">
        <v>432</v>
      </c>
      <c r="D116" s="6">
        <v>2.1365112E7</v>
      </c>
      <c r="E116" s="6"/>
      <c r="F116" s="6"/>
      <c r="G116" s="6"/>
      <c r="H116" s="6"/>
      <c r="I116" s="6"/>
      <c r="J116" s="6"/>
      <c r="K116" s="6"/>
      <c r="L116" s="6"/>
      <c r="M116" s="6"/>
      <c r="N116" s="6" t="s">
        <v>433</v>
      </c>
      <c r="O116" s="13">
        <v>1.168758827E9</v>
      </c>
      <c r="P116" s="8">
        <v>25635.0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</row>
    <row r="117" ht="15.75" customHeight="1">
      <c r="A117" s="9">
        <v>2.5530864E7</v>
      </c>
      <c r="B117" s="10" t="s">
        <v>434</v>
      </c>
      <c r="C117" s="10" t="s">
        <v>435</v>
      </c>
      <c r="D117" s="10">
        <v>2.5530864E7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 t="s">
        <v>436</v>
      </c>
      <c r="O117" s="11" t="s">
        <v>18</v>
      </c>
      <c r="P117" s="12">
        <v>28020.0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</row>
    <row r="118" ht="15.75" customHeight="1">
      <c r="A118" s="5">
        <v>2.8168835E7</v>
      </c>
      <c r="B118" s="6" t="s">
        <v>437</v>
      </c>
      <c r="C118" s="6" t="s">
        <v>438</v>
      </c>
      <c r="D118" s="6">
        <v>2.8168835E7</v>
      </c>
      <c r="E118" s="6"/>
      <c r="F118" s="6"/>
      <c r="G118" s="6"/>
      <c r="H118" s="6"/>
      <c r="I118" s="6"/>
      <c r="J118" s="6"/>
      <c r="K118" s="6"/>
      <c r="L118" s="6"/>
      <c r="M118" s="6"/>
      <c r="N118" s="6" t="s">
        <v>439</v>
      </c>
      <c r="O118" s="13" t="s">
        <v>18</v>
      </c>
      <c r="P118" s="8">
        <v>29354.0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</row>
    <row r="119" ht="15.75" customHeight="1">
      <c r="A119" s="9">
        <v>3.8625889E7</v>
      </c>
      <c r="B119" s="10" t="s">
        <v>59</v>
      </c>
      <c r="C119" s="10" t="s">
        <v>440</v>
      </c>
      <c r="D119" s="10">
        <v>3.8625889E7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 t="s">
        <v>441</v>
      </c>
      <c r="O119" s="11">
        <v>1.126744774E9</v>
      </c>
      <c r="P119" s="12">
        <v>34705.0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</row>
    <row r="120" ht="15.75" customHeight="1">
      <c r="A120" s="5">
        <v>3.9464452E7</v>
      </c>
      <c r="B120" s="6" t="s">
        <v>59</v>
      </c>
      <c r="C120" s="6" t="s">
        <v>442</v>
      </c>
      <c r="D120" s="6">
        <v>3.9464452E7</v>
      </c>
      <c r="E120" s="7" t="s">
        <v>25</v>
      </c>
      <c r="F120" s="7" t="s">
        <v>26</v>
      </c>
      <c r="G120" s="7" t="s">
        <v>443</v>
      </c>
      <c r="H120" s="7">
        <v>1407.0</v>
      </c>
      <c r="I120" s="7" t="s">
        <v>28</v>
      </c>
      <c r="J120" s="7" t="s">
        <v>37</v>
      </c>
      <c r="K120" s="6"/>
      <c r="L120" s="7" t="s">
        <v>57</v>
      </c>
      <c r="M120" s="7" t="s">
        <v>32</v>
      </c>
      <c r="N120" s="6" t="s">
        <v>444</v>
      </c>
      <c r="O120" s="13">
        <v>1.13874701E9</v>
      </c>
      <c r="P120" s="8">
        <v>35333.0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</row>
    <row r="121" ht="15.75" customHeight="1">
      <c r="A121" s="9">
        <v>9.5159988E7</v>
      </c>
      <c r="B121" s="10" t="s">
        <v>445</v>
      </c>
      <c r="C121" s="10" t="s">
        <v>446</v>
      </c>
      <c r="D121" s="10">
        <v>9.5159988E7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 t="s">
        <v>447</v>
      </c>
      <c r="O121" s="11">
        <v>1.127276399E9</v>
      </c>
      <c r="P121" s="12">
        <v>34467.0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</row>
    <row r="122" ht="15.75" customHeight="1">
      <c r="A122" s="5">
        <v>3.3059642E7</v>
      </c>
      <c r="B122" s="6" t="s">
        <v>448</v>
      </c>
      <c r="C122" s="6" t="s">
        <v>449</v>
      </c>
      <c r="D122" s="6">
        <v>3.3059642E7</v>
      </c>
      <c r="E122" s="7" t="s">
        <v>25</v>
      </c>
      <c r="F122" s="7" t="s">
        <v>26</v>
      </c>
      <c r="G122" s="7" t="s">
        <v>450</v>
      </c>
      <c r="H122" s="7">
        <v>1615.0</v>
      </c>
      <c r="I122" s="7" t="s">
        <v>28</v>
      </c>
      <c r="J122" s="7" t="s">
        <v>37</v>
      </c>
      <c r="K122" s="7" t="s">
        <v>451</v>
      </c>
      <c r="L122" s="7" t="s">
        <v>57</v>
      </c>
      <c r="M122" s="7" t="s">
        <v>452</v>
      </c>
      <c r="N122" s="6" t="s">
        <v>453</v>
      </c>
      <c r="O122" s="13">
        <v>2.320305154E9</v>
      </c>
      <c r="P122" s="8">
        <v>31873.0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</row>
    <row r="123" ht="15.75" customHeight="1">
      <c r="A123" s="9">
        <v>3.0161994E7</v>
      </c>
      <c r="B123" s="10" t="s">
        <v>454</v>
      </c>
      <c r="C123" s="10" t="s">
        <v>455</v>
      </c>
      <c r="D123" s="10">
        <v>3.0161994E7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 t="s">
        <v>456</v>
      </c>
      <c r="O123" s="11">
        <v>1.136699218E9</v>
      </c>
      <c r="P123" s="12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</row>
    <row r="124" ht="15.75" customHeight="1">
      <c r="A124" s="5">
        <v>3.6375804E7</v>
      </c>
      <c r="B124" s="6" t="s">
        <v>457</v>
      </c>
      <c r="C124" s="6" t="s">
        <v>458</v>
      </c>
      <c r="D124" s="6">
        <v>3.6375804E7</v>
      </c>
      <c r="E124" s="6"/>
      <c r="F124" s="6"/>
      <c r="G124" s="6"/>
      <c r="H124" s="6"/>
      <c r="I124" s="6"/>
      <c r="J124" s="6"/>
      <c r="K124" s="6"/>
      <c r="L124" s="6"/>
      <c r="M124" s="6"/>
      <c r="N124" s="6" t="s">
        <v>459</v>
      </c>
      <c r="O124" s="13">
        <v>1.161708518E9</v>
      </c>
      <c r="P124" s="8">
        <v>33536.0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</row>
    <row r="125" ht="15.75" customHeight="1">
      <c r="A125" s="9">
        <v>2.3506497E7</v>
      </c>
      <c r="B125" s="10" t="s">
        <v>460</v>
      </c>
      <c r="C125" s="10" t="s">
        <v>461</v>
      </c>
      <c r="D125" s="10">
        <v>2.3506497E7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 t="s">
        <v>462</v>
      </c>
      <c r="O125" s="11">
        <v>1.171661108E9</v>
      </c>
      <c r="P125" s="12">
        <v>27027.0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</row>
    <row r="126" ht="15.75" customHeight="1">
      <c r="A126" s="5">
        <v>2.7621398E7</v>
      </c>
      <c r="B126" s="6" t="s">
        <v>463</v>
      </c>
      <c r="C126" s="6" t="s">
        <v>464</v>
      </c>
      <c r="D126" s="6">
        <v>2.7621398E7</v>
      </c>
      <c r="E126" s="6"/>
      <c r="F126" s="6"/>
      <c r="G126" s="6"/>
      <c r="H126" s="6"/>
      <c r="I126" s="6"/>
      <c r="J126" s="6"/>
      <c r="K126" s="6"/>
      <c r="L126" s="6"/>
      <c r="M126" s="6"/>
      <c r="N126" s="6" t="s">
        <v>465</v>
      </c>
      <c r="O126" s="7">
        <v>1.168069316E9</v>
      </c>
      <c r="P126" s="8">
        <v>29196.0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</row>
    <row r="127" ht="15.75" customHeight="1">
      <c r="A127" s="9">
        <v>3.1164406E7</v>
      </c>
      <c r="B127" s="10" t="s">
        <v>466</v>
      </c>
      <c r="C127" s="10" t="s">
        <v>467</v>
      </c>
      <c r="D127" s="10">
        <v>3.1164406E7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 t="s">
        <v>468</v>
      </c>
      <c r="O127" s="11">
        <v>1.154181283E9</v>
      </c>
      <c r="P127" s="18">
        <v>30902.0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</row>
    <row r="128" ht="15.75" customHeight="1">
      <c r="A128" s="5">
        <v>2.7767903E7</v>
      </c>
      <c r="B128" s="6" t="s">
        <v>469</v>
      </c>
      <c r="C128" s="6" t="s">
        <v>470</v>
      </c>
      <c r="D128" s="6">
        <v>2.7767903E7</v>
      </c>
      <c r="E128" s="6"/>
      <c r="F128" s="6"/>
      <c r="G128" s="6"/>
      <c r="H128" s="6"/>
      <c r="I128" s="6"/>
      <c r="J128" s="6"/>
      <c r="K128" s="6"/>
      <c r="L128" s="6"/>
      <c r="M128" s="6"/>
      <c r="N128" s="6" t="s">
        <v>471</v>
      </c>
      <c r="O128" s="7">
        <v>1.169257796E9</v>
      </c>
      <c r="P128" s="8">
        <v>29175.0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</row>
    <row r="129" ht="15.75" customHeight="1">
      <c r="A129" s="9">
        <v>9.4087495E7</v>
      </c>
      <c r="B129" s="10" t="s">
        <v>472</v>
      </c>
      <c r="C129" s="10" t="s">
        <v>473</v>
      </c>
      <c r="D129" s="10">
        <v>9.4087495E7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 t="s">
        <v>474</v>
      </c>
      <c r="O129" s="14">
        <v>1.162777192E9</v>
      </c>
      <c r="P129" s="12">
        <v>44332.0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</row>
    <row r="130" ht="15.75" customHeight="1">
      <c r="A130" s="5">
        <v>2.5641513E7</v>
      </c>
      <c r="B130" s="6" t="s">
        <v>475</v>
      </c>
      <c r="C130" s="6" t="s">
        <v>476</v>
      </c>
      <c r="D130" s="6">
        <v>2.5641513E7</v>
      </c>
      <c r="E130" s="6"/>
      <c r="F130" s="6"/>
      <c r="G130" s="6"/>
      <c r="H130" s="6"/>
      <c r="I130" s="6"/>
      <c r="J130" s="6"/>
      <c r="K130" s="6"/>
      <c r="L130" s="6"/>
      <c r="M130" s="6"/>
      <c r="N130" s="7" t="s">
        <v>477</v>
      </c>
      <c r="O130" s="7">
        <v>1.136852591E9</v>
      </c>
      <c r="P130" s="16">
        <v>28054.0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</row>
    <row r="131" ht="15.75" customHeight="1">
      <c r="A131" s="9">
        <v>3.3250656E7</v>
      </c>
      <c r="B131" s="10" t="s">
        <v>478</v>
      </c>
      <c r="C131" s="10" t="s">
        <v>479</v>
      </c>
      <c r="D131" s="10">
        <v>3.3250656E7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 t="s">
        <v>480</v>
      </c>
      <c r="O131" s="14">
        <v>1.138308481E9</v>
      </c>
      <c r="P131" s="12">
        <v>32216.0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</row>
    <row r="132" ht="15.75" customHeight="1">
      <c r="A132" s="5">
        <v>3.7350704E7</v>
      </c>
      <c r="B132" s="6" t="s">
        <v>481</v>
      </c>
      <c r="C132" s="6" t="s">
        <v>482</v>
      </c>
      <c r="D132" s="6">
        <v>3.7350704E7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13" t="s">
        <v>18</v>
      </c>
      <c r="P132" s="8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</row>
    <row r="133" ht="15.75" customHeight="1">
      <c r="A133" s="9">
        <v>3.862009E7</v>
      </c>
      <c r="B133" s="10" t="s">
        <v>483</v>
      </c>
      <c r="C133" s="10" t="s">
        <v>484</v>
      </c>
      <c r="D133" s="10">
        <v>3.862009E7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1" t="s">
        <v>18</v>
      </c>
      <c r="P133" s="12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</row>
    <row r="134" ht="15.75" customHeight="1">
      <c r="A134" s="5">
        <v>2.8683156E7</v>
      </c>
      <c r="B134" s="6" t="s">
        <v>485</v>
      </c>
      <c r="C134" s="6" t="s">
        <v>486</v>
      </c>
      <c r="D134" s="6">
        <v>2.8683156E7</v>
      </c>
      <c r="E134" s="6"/>
      <c r="F134" s="6"/>
      <c r="G134" s="6"/>
      <c r="H134" s="6"/>
      <c r="I134" s="6"/>
      <c r="J134" s="6"/>
      <c r="K134" s="6"/>
      <c r="L134" s="6"/>
      <c r="M134" s="6"/>
      <c r="N134" s="6" t="s">
        <v>487</v>
      </c>
      <c r="O134" s="13">
        <v>1.156952628E9</v>
      </c>
      <c r="P134" s="8">
        <v>29620.0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</row>
    <row r="135" ht="15.75" customHeight="1">
      <c r="A135" s="9">
        <v>4.097188E7</v>
      </c>
      <c r="B135" s="10" t="s">
        <v>488</v>
      </c>
      <c r="C135" s="10" t="s">
        <v>489</v>
      </c>
      <c r="D135" s="10">
        <v>4.097188E7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 t="s">
        <v>490</v>
      </c>
      <c r="O135" s="11">
        <v>1.131986776E9</v>
      </c>
      <c r="P135" s="12">
        <v>35841.0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</row>
    <row r="136" ht="15.75" customHeight="1">
      <c r="A136" s="5">
        <v>2.3696368E7</v>
      </c>
      <c r="B136" s="6" t="s">
        <v>491</v>
      </c>
      <c r="C136" s="6" t="s">
        <v>492</v>
      </c>
      <c r="D136" s="6">
        <v>2.3696368E7</v>
      </c>
      <c r="E136" s="6"/>
      <c r="F136" s="6"/>
      <c r="G136" s="6"/>
      <c r="H136" s="6"/>
      <c r="I136" s="6"/>
      <c r="J136" s="6"/>
      <c r="K136" s="6"/>
      <c r="L136" s="6"/>
      <c r="M136" s="6"/>
      <c r="N136" s="6" t="s">
        <v>493</v>
      </c>
      <c r="O136" s="13" t="s">
        <v>18</v>
      </c>
      <c r="P136" s="8">
        <v>27092.0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</row>
    <row r="137" ht="15.75" customHeight="1">
      <c r="A137" s="9">
        <v>3.7217593E7</v>
      </c>
      <c r="B137" s="10" t="s">
        <v>494</v>
      </c>
      <c r="C137" s="10" t="s">
        <v>495</v>
      </c>
      <c r="D137" s="10">
        <v>3.7217593E7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 t="s">
        <v>496</v>
      </c>
      <c r="O137" s="11">
        <v>1.134455593E9</v>
      </c>
      <c r="P137" s="12">
        <v>33951.0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</row>
    <row r="138" ht="15.75" customHeight="1">
      <c r="A138" s="5">
        <v>9.3895929E7</v>
      </c>
      <c r="B138" s="6" t="s">
        <v>497</v>
      </c>
      <c r="C138" s="6" t="s">
        <v>498</v>
      </c>
      <c r="D138" s="6">
        <v>9.3895929E7</v>
      </c>
      <c r="E138" s="6"/>
      <c r="F138" s="6"/>
      <c r="G138" s="6"/>
      <c r="H138" s="6"/>
      <c r="I138" s="6"/>
      <c r="J138" s="6"/>
      <c r="K138" s="6"/>
      <c r="L138" s="6"/>
      <c r="M138" s="6"/>
      <c r="N138" s="6" t="s">
        <v>499</v>
      </c>
      <c r="O138" s="13" t="s">
        <v>18</v>
      </c>
      <c r="P138" s="8">
        <v>33072.0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</row>
    <row r="139" ht="15.75" customHeight="1">
      <c r="A139" s="9">
        <v>3.3789655E7</v>
      </c>
      <c r="B139" s="10" t="s">
        <v>500</v>
      </c>
      <c r="C139" s="10" t="s">
        <v>501</v>
      </c>
      <c r="D139" s="10">
        <v>3.3789655E7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 t="s">
        <v>502</v>
      </c>
      <c r="O139" s="11"/>
      <c r="P139" s="12">
        <v>32242.0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</row>
    <row r="140" ht="15.75" customHeight="1">
      <c r="A140" s="5">
        <v>1.0</v>
      </c>
      <c r="B140" s="6" t="s">
        <v>503</v>
      </c>
      <c r="C140" s="6" t="s">
        <v>504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13" t="s">
        <v>18</v>
      </c>
      <c r="P140" s="8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</row>
    <row r="141" ht="15.75" customHeight="1">
      <c r="A141" s="9">
        <v>2.0</v>
      </c>
      <c r="B141" s="10" t="s">
        <v>505</v>
      </c>
      <c r="C141" s="10" t="s">
        <v>506</v>
      </c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1" t="s">
        <v>18</v>
      </c>
      <c r="P141" s="12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</row>
    <row r="142" ht="15.75" customHeight="1">
      <c r="A142" s="5">
        <v>3.0</v>
      </c>
      <c r="B142" s="6" t="s">
        <v>507</v>
      </c>
      <c r="C142" s="6" t="s">
        <v>508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13">
        <v>1.134347953E9</v>
      </c>
      <c r="P142" s="8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</row>
    <row r="143" ht="15.75" customHeight="1">
      <c r="A143" s="9">
        <v>5.0</v>
      </c>
      <c r="B143" s="10" t="s">
        <v>263</v>
      </c>
      <c r="C143" s="10" t="s">
        <v>449</v>
      </c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1" t="s">
        <v>18</v>
      </c>
      <c r="P143" s="12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</row>
    <row r="144" ht="15.75" customHeight="1">
      <c r="A144" s="5">
        <v>6.0</v>
      </c>
      <c r="B144" s="6" t="s">
        <v>263</v>
      </c>
      <c r="C144" s="6" t="s">
        <v>509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13" t="s">
        <v>18</v>
      </c>
      <c r="P144" s="8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</row>
    <row r="145" ht="15.75" customHeight="1">
      <c r="A145" s="9">
        <v>7.0</v>
      </c>
      <c r="B145" s="10" t="s">
        <v>510</v>
      </c>
      <c r="C145" s="10" t="s">
        <v>511</v>
      </c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1" t="s">
        <v>18</v>
      </c>
      <c r="P145" s="12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</row>
    <row r="146" ht="15.75" customHeight="1">
      <c r="A146" s="5">
        <v>8.0</v>
      </c>
      <c r="B146" s="6" t="s">
        <v>376</v>
      </c>
      <c r="C146" s="6" t="s">
        <v>458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13"/>
      <c r="P146" s="8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</row>
    <row r="147" ht="15.75" customHeight="1">
      <c r="A147" s="9">
        <v>9.0</v>
      </c>
      <c r="B147" s="10" t="s">
        <v>512</v>
      </c>
      <c r="C147" s="10" t="s">
        <v>508</v>
      </c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1" t="s">
        <v>18</v>
      </c>
      <c r="P147" s="12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</row>
    <row r="148" ht="15.75" customHeight="1">
      <c r="A148" s="5">
        <v>10.0</v>
      </c>
      <c r="B148" s="6" t="s">
        <v>54</v>
      </c>
      <c r="C148" s="6" t="s">
        <v>508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13" t="s">
        <v>18</v>
      </c>
      <c r="P148" s="8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</row>
    <row r="149" ht="15.75" customHeight="1">
      <c r="A149" s="9">
        <v>11.0</v>
      </c>
      <c r="B149" s="10" t="s">
        <v>475</v>
      </c>
      <c r="C149" s="10" t="s">
        <v>513</v>
      </c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1" t="s">
        <v>18</v>
      </c>
      <c r="P149" s="12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</row>
    <row r="150" ht="15.75" customHeight="1">
      <c r="A150" s="5">
        <v>12.0</v>
      </c>
      <c r="B150" s="6" t="s">
        <v>478</v>
      </c>
      <c r="C150" s="6" t="s">
        <v>514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13">
        <v>1.132757717E9</v>
      </c>
      <c r="P150" s="8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</row>
    <row r="151" ht="15.75" customHeight="1">
      <c r="A151" s="9">
        <v>13.0</v>
      </c>
      <c r="B151" s="10" t="s">
        <v>515</v>
      </c>
      <c r="C151" s="10" t="s">
        <v>516</v>
      </c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1">
        <v>1.128788904E9</v>
      </c>
      <c r="P151" s="12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</row>
    <row r="152" ht="15.75" customHeight="1">
      <c r="A152" s="5">
        <v>3.4977306E7</v>
      </c>
      <c r="B152" s="6" t="s">
        <v>517</v>
      </c>
      <c r="C152" s="6" t="s">
        <v>518</v>
      </c>
      <c r="D152" s="6">
        <v>3.4977306E7</v>
      </c>
      <c r="E152" s="6"/>
      <c r="F152" s="6"/>
      <c r="G152" s="6"/>
      <c r="H152" s="6"/>
      <c r="I152" s="6"/>
      <c r="J152" s="6"/>
      <c r="K152" s="6"/>
      <c r="L152" s="6"/>
      <c r="M152" s="6"/>
      <c r="N152" s="6" t="s">
        <v>519</v>
      </c>
      <c r="O152" s="7">
        <v>1.12483629E9</v>
      </c>
      <c r="P152" s="8">
        <v>32826.0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</row>
    <row r="153" ht="15.75" customHeight="1">
      <c r="A153" s="9">
        <v>4.1062447E7</v>
      </c>
      <c r="B153" s="10" t="s">
        <v>520</v>
      </c>
      <c r="C153" s="10" t="s">
        <v>521</v>
      </c>
      <c r="D153" s="10">
        <v>4.1062447E7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 t="s">
        <v>522</v>
      </c>
      <c r="O153" s="11">
        <v>1.144271929E9</v>
      </c>
      <c r="P153" s="12">
        <v>35865.0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</row>
    <row r="154" ht="15.75" customHeight="1">
      <c r="A154" s="5">
        <v>2.8922058E7</v>
      </c>
      <c r="B154" s="6" t="s">
        <v>523</v>
      </c>
      <c r="C154" s="6" t="s">
        <v>524</v>
      </c>
      <c r="D154" s="6">
        <v>2.8922058E7</v>
      </c>
      <c r="E154" s="6"/>
      <c r="F154" s="6"/>
      <c r="G154" s="6"/>
      <c r="H154" s="6"/>
      <c r="I154" s="6"/>
      <c r="J154" s="6"/>
      <c r="K154" s="6"/>
      <c r="L154" s="6"/>
      <c r="M154" s="6"/>
      <c r="N154" s="6" t="s">
        <v>525</v>
      </c>
      <c r="O154" s="13">
        <v>1.134039809E9</v>
      </c>
      <c r="P154" s="8">
        <v>29720.0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</row>
    <row r="155" ht="15.75" customHeight="1">
      <c r="A155" s="9">
        <v>4.1047817E7</v>
      </c>
      <c r="B155" s="10" t="s">
        <v>526</v>
      </c>
      <c r="C155" s="10" t="s">
        <v>527</v>
      </c>
      <c r="D155" s="10">
        <v>4.1047817E7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1" t="s">
        <v>18</v>
      </c>
      <c r="P155" s="12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</row>
    <row r="156" ht="15.75" customHeight="1">
      <c r="A156" s="5">
        <v>3.9915064E7</v>
      </c>
      <c r="B156" s="6" t="s">
        <v>528</v>
      </c>
      <c r="C156" s="6" t="s">
        <v>529</v>
      </c>
      <c r="D156" s="6">
        <v>3.9915064E7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13" t="s">
        <v>18</v>
      </c>
      <c r="P156" s="8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</row>
    <row r="157" ht="15.75" customHeight="1">
      <c r="A157" s="9">
        <v>3.4703565E7</v>
      </c>
      <c r="B157" s="10" t="s">
        <v>530</v>
      </c>
      <c r="C157" s="10" t="s">
        <v>531</v>
      </c>
      <c r="D157" s="10">
        <v>3.4703565E7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1" t="s">
        <v>18</v>
      </c>
      <c r="P157" s="12">
        <v>32879.0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</row>
    <row r="158" ht="15.75" customHeight="1">
      <c r="A158" s="5">
        <v>3.9066896E7</v>
      </c>
      <c r="B158" s="6" t="s">
        <v>532</v>
      </c>
      <c r="C158" s="6" t="s">
        <v>533</v>
      </c>
      <c r="D158" s="6">
        <v>3.9066896E7</v>
      </c>
      <c r="E158" s="6"/>
      <c r="F158" s="6"/>
      <c r="G158" s="6"/>
      <c r="H158" s="6"/>
      <c r="I158" s="6"/>
      <c r="J158" s="6"/>
      <c r="K158" s="6"/>
      <c r="L158" s="6"/>
      <c r="M158" s="6"/>
      <c r="N158" s="6" t="s">
        <v>534</v>
      </c>
      <c r="O158" s="13">
        <v>1.169729268E9</v>
      </c>
      <c r="P158" s="8">
        <v>35144.0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</row>
    <row r="159" ht="15.75" customHeight="1">
      <c r="A159" s="9">
        <v>3.8070151E7</v>
      </c>
      <c r="B159" s="10" t="s">
        <v>535</v>
      </c>
      <c r="C159" s="10" t="s">
        <v>536</v>
      </c>
      <c r="D159" s="10">
        <v>3.8070151E7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 t="s">
        <v>537</v>
      </c>
      <c r="O159" s="11" t="s">
        <v>18</v>
      </c>
      <c r="P159" s="12">
        <v>34357.0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</row>
    <row r="160" ht="15.75" customHeight="1">
      <c r="A160" s="5">
        <v>3.6087484E7</v>
      </c>
      <c r="B160" s="6" t="s">
        <v>538</v>
      </c>
      <c r="C160" s="6" t="s">
        <v>539</v>
      </c>
      <c r="D160" s="6">
        <v>3.6087484E7</v>
      </c>
      <c r="E160" s="6"/>
      <c r="F160" s="6"/>
      <c r="G160" s="6"/>
      <c r="H160" s="6"/>
      <c r="I160" s="6"/>
      <c r="J160" s="6"/>
      <c r="K160" s="6"/>
      <c r="L160" s="6"/>
      <c r="M160" s="6"/>
      <c r="N160" s="6" t="s">
        <v>540</v>
      </c>
      <c r="O160" s="13" t="s">
        <v>18</v>
      </c>
      <c r="P160" s="8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</row>
    <row r="161" ht="15.75" customHeight="1">
      <c r="A161" s="9">
        <v>3.694925E7</v>
      </c>
      <c r="B161" s="10" t="s">
        <v>541</v>
      </c>
      <c r="C161" s="10" t="s">
        <v>542</v>
      </c>
      <c r="D161" s="10">
        <v>3.694925E7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 t="s">
        <v>543</v>
      </c>
      <c r="O161" s="11"/>
      <c r="P161" s="12">
        <v>33882.0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</row>
    <row r="162" ht="15.75" customHeight="1">
      <c r="A162" s="5">
        <v>3.8027633E7</v>
      </c>
      <c r="B162" s="6" t="s">
        <v>544</v>
      </c>
      <c r="C162" s="6" t="s">
        <v>545</v>
      </c>
      <c r="D162" s="6">
        <v>3.8027633E7</v>
      </c>
      <c r="E162" s="6"/>
      <c r="F162" s="6"/>
      <c r="G162" s="6"/>
      <c r="H162" s="6"/>
      <c r="I162" s="6"/>
      <c r="J162" s="6"/>
      <c r="K162" s="6"/>
      <c r="L162" s="6"/>
      <c r="M162" s="6"/>
      <c r="N162" s="6" t="s">
        <v>546</v>
      </c>
      <c r="O162" s="13"/>
      <c r="P162" s="8">
        <v>34376.0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</row>
    <row r="163" ht="15.75" customHeight="1">
      <c r="A163" s="9">
        <v>3.6550977E7</v>
      </c>
      <c r="B163" s="10" t="s">
        <v>547</v>
      </c>
      <c r="C163" s="10" t="s">
        <v>548</v>
      </c>
      <c r="D163" s="10">
        <v>3.6550977E7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 t="s">
        <v>549</v>
      </c>
      <c r="O163" s="11">
        <v>1.13137428E9</v>
      </c>
      <c r="P163" s="12">
        <v>34263.0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</row>
    <row r="164" ht="15.75" customHeight="1">
      <c r="A164" s="5">
        <v>3.5914134E7</v>
      </c>
      <c r="B164" s="6" t="s">
        <v>550</v>
      </c>
      <c r="C164" s="6" t="s">
        <v>551</v>
      </c>
      <c r="D164" s="6">
        <v>3.5914134E7</v>
      </c>
      <c r="E164" s="6"/>
      <c r="F164" s="6"/>
      <c r="G164" s="6"/>
      <c r="H164" s="6"/>
      <c r="I164" s="6"/>
      <c r="J164" s="6"/>
      <c r="K164" s="6"/>
      <c r="L164" s="6"/>
      <c r="M164" s="6"/>
      <c r="N164" s="6" t="s">
        <v>552</v>
      </c>
      <c r="O164" s="13">
        <v>1.139734729E9</v>
      </c>
      <c r="P164" s="8">
        <v>33345.0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</row>
    <row r="165" ht="15.75" customHeight="1">
      <c r="A165" s="9">
        <v>9.5695047E7</v>
      </c>
      <c r="B165" s="10" t="s">
        <v>553</v>
      </c>
      <c r="C165" s="10" t="s">
        <v>554</v>
      </c>
      <c r="D165" s="10">
        <v>9.5695047E7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 t="s">
        <v>555</v>
      </c>
      <c r="O165" s="11">
        <v>1.151065312E9</v>
      </c>
      <c r="P165" s="12">
        <v>27263.0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</row>
    <row r="166" ht="15.75" customHeight="1">
      <c r="A166" s="5">
        <v>3.7699248E7</v>
      </c>
      <c r="B166" s="6" t="s">
        <v>556</v>
      </c>
      <c r="C166" s="6" t="s">
        <v>557</v>
      </c>
      <c r="D166" s="6">
        <v>3.7699248E7</v>
      </c>
      <c r="E166" s="6"/>
      <c r="F166" s="6"/>
      <c r="G166" s="6"/>
      <c r="H166" s="6"/>
      <c r="I166" s="6"/>
      <c r="J166" s="6"/>
      <c r="K166" s="6"/>
      <c r="L166" s="6"/>
      <c r="M166" s="6"/>
      <c r="N166" s="6" t="s">
        <v>558</v>
      </c>
      <c r="O166" s="13">
        <v>1.1265383E9</v>
      </c>
      <c r="P166" s="8">
        <v>34151.0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</row>
    <row r="167" ht="15.75" customHeight="1">
      <c r="A167" s="9">
        <v>2.5044383E7</v>
      </c>
      <c r="B167" s="10" t="s">
        <v>559</v>
      </c>
      <c r="C167" s="10" t="s">
        <v>560</v>
      </c>
      <c r="D167" s="10">
        <v>2.5044383E7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 t="s">
        <v>561</v>
      </c>
      <c r="O167" s="11"/>
      <c r="P167" s="12">
        <v>27639.0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</row>
    <row r="168" ht="15.75" customHeight="1">
      <c r="A168" s="5">
        <v>3.391498E7</v>
      </c>
      <c r="B168" s="6" t="s">
        <v>562</v>
      </c>
      <c r="C168" s="6" t="s">
        <v>563</v>
      </c>
      <c r="D168" s="6">
        <v>3.391498E7</v>
      </c>
      <c r="E168" s="6"/>
      <c r="F168" s="6"/>
      <c r="G168" s="6"/>
      <c r="H168" s="6"/>
      <c r="I168" s="6"/>
      <c r="J168" s="6"/>
      <c r="K168" s="6"/>
      <c r="L168" s="6"/>
      <c r="M168" s="6"/>
      <c r="N168" s="6" t="s">
        <v>564</v>
      </c>
      <c r="O168" s="13">
        <v>1.127455035E9</v>
      </c>
      <c r="P168" s="8">
        <v>32266.0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</row>
    <row r="169" ht="15.75" customHeight="1">
      <c r="A169" s="9">
        <v>2.9428219E7</v>
      </c>
      <c r="B169" s="10" t="s">
        <v>565</v>
      </c>
      <c r="C169" s="10" t="s">
        <v>566</v>
      </c>
      <c r="D169" s="10">
        <v>2.9428219E7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 t="s">
        <v>567</v>
      </c>
      <c r="O169" s="14">
        <v>1.124773534E9</v>
      </c>
      <c r="P169" s="12">
        <v>30042.0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</row>
    <row r="170" ht="15.75" customHeight="1">
      <c r="A170" s="5">
        <v>2.767463E7</v>
      </c>
      <c r="B170" s="6" t="s">
        <v>568</v>
      </c>
      <c r="C170" s="6" t="s">
        <v>569</v>
      </c>
      <c r="D170" s="6">
        <v>2.767463E7</v>
      </c>
      <c r="E170" s="6"/>
      <c r="F170" s="6"/>
      <c r="G170" s="6"/>
      <c r="H170" s="6"/>
      <c r="I170" s="6"/>
      <c r="J170" s="6"/>
      <c r="K170" s="6"/>
      <c r="L170" s="6"/>
      <c r="M170" s="6"/>
      <c r="N170" s="6" t="s">
        <v>570</v>
      </c>
      <c r="O170" s="13" t="s">
        <v>18</v>
      </c>
      <c r="P170" s="8">
        <v>29153.0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</row>
    <row r="171" ht="15.75" customHeight="1">
      <c r="A171" s="9">
        <v>3.5728389E7</v>
      </c>
      <c r="B171" s="10" t="s">
        <v>571</v>
      </c>
      <c r="C171" s="10" t="s">
        <v>572</v>
      </c>
      <c r="D171" s="10">
        <v>3.5728389E7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 t="s">
        <v>573</v>
      </c>
      <c r="O171" s="14">
        <v>1.134278111E9</v>
      </c>
      <c r="P171" s="12">
        <v>33256.0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</row>
    <row r="172" ht="15.75" customHeight="1">
      <c r="A172" s="5">
        <v>1.0000016E7</v>
      </c>
      <c r="B172" s="6" t="s">
        <v>574</v>
      </c>
      <c r="C172" s="6" t="s">
        <v>575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13">
        <v>1.138839337E9</v>
      </c>
      <c r="P172" s="8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</row>
    <row r="173" ht="15.75" customHeight="1">
      <c r="A173" s="9">
        <v>1.0000017E7</v>
      </c>
      <c r="B173" s="10" t="s">
        <v>576</v>
      </c>
      <c r="C173" s="10" t="s">
        <v>577</v>
      </c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1">
        <v>1.141439746E9</v>
      </c>
      <c r="P173" s="12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</row>
    <row r="174" ht="15.75" customHeight="1">
      <c r="A174" s="5">
        <v>1.0000018E7</v>
      </c>
      <c r="B174" s="6" t="s">
        <v>578</v>
      </c>
      <c r="C174" s="6" t="s">
        <v>579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13">
        <v>1.131236961E9</v>
      </c>
      <c r="P174" s="8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</row>
    <row r="175" ht="15.75" customHeight="1">
      <c r="A175" s="9">
        <v>1.0000019E7</v>
      </c>
      <c r="B175" s="10" t="s">
        <v>580</v>
      </c>
      <c r="C175" s="10" t="s">
        <v>581</v>
      </c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1">
        <v>1.127445232E9</v>
      </c>
      <c r="P175" s="12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</row>
    <row r="176" ht="15.75" customHeight="1">
      <c r="A176" s="19">
        <v>3.6755934E7</v>
      </c>
      <c r="B176" s="6" t="s">
        <v>582</v>
      </c>
      <c r="C176" s="6" t="s">
        <v>583</v>
      </c>
      <c r="D176" s="7">
        <v>3.6755934E7</v>
      </c>
      <c r="E176" s="6"/>
      <c r="F176" s="6"/>
      <c r="G176" s="6"/>
      <c r="H176" s="6"/>
      <c r="I176" s="6"/>
      <c r="J176" s="6"/>
      <c r="K176" s="6"/>
      <c r="L176" s="6"/>
      <c r="M176" s="6"/>
      <c r="N176" s="7" t="s">
        <v>584</v>
      </c>
      <c r="O176" s="13">
        <v>1.169603036E9</v>
      </c>
      <c r="P176" s="16">
        <v>33675.0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</row>
    <row r="177" ht="15.75" customHeight="1">
      <c r="A177" s="9">
        <v>1.0000021E7</v>
      </c>
      <c r="B177" s="10" t="s">
        <v>582</v>
      </c>
      <c r="C177" s="10" t="s">
        <v>585</v>
      </c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1">
        <v>1.138122802E9</v>
      </c>
      <c r="P177" s="12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</row>
    <row r="178" ht="15.75" customHeight="1">
      <c r="A178" s="5">
        <v>1.0000001E7</v>
      </c>
      <c r="B178" s="6" t="s">
        <v>586</v>
      </c>
      <c r="C178" s="6" t="s">
        <v>587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13">
        <v>1.167947816E9</v>
      </c>
      <c r="P178" s="8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</row>
    <row r="179" ht="15.75" customHeight="1">
      <c r="A179" s="9">
        <v>1.0000002E7</v>
      </c>
      <c r="B179" s="10" t="s">
        <v>588</v>
      </c>
      <c r="C179" s="10" t="s">
        <v>589</v>
      </c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1">
        <v>1.123775305E9</v>
      </c>
      <c r="P179" s="12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</row>
    <row r="180" ht="15.75" customHeight="1">
      <c r="A180" s="5">
        <v>1.0000003E7</v>
      </c>
      <c r="B180" s="6" t="s">
        <v>590</v>
      </c>
      <c r="C180" s="6" t="s">
        <v>591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13">
        <v>1.125526045E9</v>
      </c>
      <c r="P180" s="8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</row>
    <row r="181" ht="15.75" customHeight="1">
      <c r="A181" s="9">
        <v>1.0000004E7</v>
      </c>
      <c r="B181" s="10" t="s">
        <v>592</v>
      </c>
      <c r="C181" s="10" t="s">
        <v>593</v>
      </c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1">
        <v>1.149386278E9</v>
      </c>
      <c r="P181" s="12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</row>
    <row r="182" ht="15.75" customHeight="1">
      <c r="A182" s="5">
        <v>1.0000005E7</v>
      </c>
      <c r="B182" s="6" t="s">
        <v>594</v>
      </c>
      <c r="C182" s="6" t="s">
        <v>595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13">
        <v>1.141697938E9</v>
      </c>
      <c r="P182" s="8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</row>
    <row r="183" ht="15.75" customHeight="1">
      <c r="A183" s="20">
        <v>4.5192487E7</v>
      </c>
      <c r="B183" s="10" t="s">
        <v>596</v>
      </c>
      <c r="C183" s="10" t="s">
        <v>593</v>
      </c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1">
        <v>1.139199525E9</v>
      </c>
      <c r="P183" s="12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</row>
    <row r="184" ht="15.75" customHeight="1">
      <c r="A184" s="5">
        <v>1.0000007E7</v>
      </c>
      <c r="B184" s="6" t="s">
        <v>597</v>
      </c>
      <c r="C184" s="6" t="s">
        <v>598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13">
        <v>1.169071195E9</v>
      </c>
      <c r="P184" s="8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</row>
    <row r="185" ht="15.75" customHeight="1">
      <c r="A185" s="9">
        <v>1.0000008E7</v>
      </c>
      <c r="B185" s="10" t="s">
        <v>597</v>
      </c>
      <c r="C185" s="10" t="s">
        <v>599</v>
      </c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1">
        <v>1.134625079E9</v>
      </c>
      <c r="P185" s="12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</row>
    <row r="186" ht="15.75" customHeight="1">
      <c r="A186" s="5">
        <v>1.0000009E7</v>
      </c>
      <c r="B186" s="6" t="s">
        <v>600</v>
      </c>
      <c r="C186" s="6" t="s">
        <v>601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13">
        <v>1.158474449E9</v>
      </c>
      <c r="P186" s="8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</row>
    <row r="187" ht="15.75" customHeight="1">
      <c r="A187" s="9">
        <v>1.000001E7</v>
      </c>
      <c r="B187" s="10" t="s">
        <v>602</v>
      </c>
      <c r="C187" s="10" t="s">
        <v>603</v>
      </c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1">
        <v>1.168784455E9</v>
      </c>
      <c r="P187" s="12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</row>
    <row r="188" ht="15.75" customHeight="1">
      <c r="A188" s="5">
        <v>1.0000011E7</v>
      </c>
      <c r="B188" s="6" t="s">
        <v>604</v>
      </c>
      <c r="C188" s="6" t="s">
        <v>605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13">
        <v>1.12498009E9</v>
      </c>
      <c r="P188" s="8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</row>
    <row r="189" ht="15.75" customHeight="1">
      <c r="A189" s="9">
        <v>1.0000012E7</v>
      </c>
      <c r="B189" s="10" t="s">
        <v>606</v>
      </c>
      <c r="C189" s="10" t="s">
        <v>560</v>
      </c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1">
        <v>1.131113453E9</v>
      </c>
      <c r="P189" s="12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</row>
    <row r="190" ht="15.75" customHeight="1">
      <c r="A190" s="19">
        <v>3.8456881E7</v>
      </c>
      <c r="B190" s="6" t="s">
        <v>607</v>
      </c>
      <c r="C190" s="6" t="s">
        <v>608</v>
      </c>
      <c r="D190" s="21">
        <v>3.8456881E7</v>
      </c>
      <c r="E190" s="6"/>
      <c r="F190" s="6"/>
      <c r="G190" s="6"/>
      <c r="H190" s="6"/>
      <c r="I190" s="6"/>
      <c r="J190" s="6"/>
      <c r="K190" s="6"/>
      <c r="L190" s="6"/>
      <c r="M190" s="6"/>
      <c r="N190" s="7" t="s">
        <v>609</v>
      </c>
      <c r="O190" s="13">
        <v>1.137587184E9</v>
      </c>
      <c r="P190" s="16">
        <v>34593.0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</row>
    <row r="191" ht="15.75" customHeight="1">
      <c r="A191" s="9">
        <v>1.0000015E7</v>
      </c>
      <c r="B191" s="10" t="s">
        <v>610</v>
      </c>
      <c r="C191" s="10" t="s">
        <v>611</v>
      </c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1">
        <v>1.127563862E9</v>
      </c>
      <c r="P191" s="12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</row>
    <row r="192" ht="15.75" customHeight="1">
      <c r="A192" s="19">
        <v>4.2272694E7</v>
      </c>
      <c r="B192" s="7" t="s">
        <v>612</v>
      </c>
      <c r="C192" s="7" t="s">
        <v>613</v>
      </c>
      <c r="D192" s="7">
        <v>4.2272694E7</v>
      </c>
      <c r="E192" s="7" t="s">
        <v>61</v>
      </c>
      <c r="F192" s="7" t="s">
        <v>26</v>
      </c>
      <c r="G192" s="7" t="s">
        <v>614</v>
      </c>
      <c r="H192" s="7">
        <v>1439.0</v>
      </c>
      <c r="I192" s="7" t="s">
        <v>28</v>
      </c>
      <c r="J192" s="7" t="s">
        <v>615</v>
      </c>
      <c r="K192" s="6"/>
      <c r="L192" s="7" t="s">
        <v>64</v>
      </c>
      <c r="M192" s="7" t="s">
        <v>616</v>
      </c>
      <c r="N192" s="7" t="s">
        <v>617</v>
      </c>
      <c r="O192" s="7">
        <v>1.161511686E9</v>
      </c>
      <c r="P192" s="16">
        <v>36532.0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</row>
    <row r="193" ht="15.75" customHeight="1">
      <c r="A193" s="20">
        <v>3.64075E7</v>
      </c>
      <c r="B193" s="14" t="s">
        <v>618</v>
      </c>
      <c r="C193" s="14" t="s">
        <v>619</v>
      </c>
      <c r="D193" s="14">
        <v>3.64075E7</v>
      </c>
      <c r="E193" s="14" t="s">
        <v>25</v>
      </c>
      <c r="F193" s="14" t="s">
        <v>62</v>
      </c>
      <c r="G193" s="14" t="s">
        <v>620</v>
      </c>
      <c r="H193" s="14">
        <v>1162.0</v>
      </c>
      <c r="I193" s="14" t="s">
        <v>28</v>
      </c>
      <c r="J193" s="14" t="s">
        <v>615</v>
      </c>
      <c r="K193" s="14" t="s">
        <v>128</v>
      </c>
      <c r="L193" s="14" t="s">
        <v>64</v>
      </c>
      <c r="M193" s="14" t="s">
        <v>32</v>
      </c>
      <c r="N193" s="14" t="s">
        <v>621</v>
      </c>
      <c r="O193" s="14">
        <v>1.156665476E9</v>
      </c>
      <c r="P193" s="18">
        <v>33464.0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</row>
    <row r="194" ht="15.75" customHeight="1">
      <c r="A194" s="19">
        <v>3.5181182E7</v>
      </c>
      <c r="B194" s="7" t="s">
        <v>622</v>
      </c>
      <c r="C194" s="7" t="s">
        <v>623</v>
      </c>
      <c r="D194" s="7">
        <v>3.5181182E7</v>
      </c>
      <c r="E194" s="7" t="s">
        <v>25</v>
      </c>
      <c r="F194" s="7" t="s">
        <v>62</v>
      </c>
      <c r="G194" s="7" t="s">
        <v>624</v>
      </c>
      <c r="H194" s="7">
        <v>1879.0</v>
      </c>
      <c r="I194" s="7" t="s">
        <v>28</v>
      </c>
      <c r="J194" s="7" t="s">
        <v>615</v>
      </c>
      <c r="K194" s="6"/>
      <c r="L194" s="7" t="s">
        <v>64</v>
      </c>
      <c r="M194" s="7" t="s">
        <v>625</v>
      </c>
      <c r="N194" s="7" t="s">
        <v>626</v>
      </c>
      <c r="O194" s="7">
        <v>1.13861994E9</v>
      </c>
      <c r="P194" s="16">
        <v>33112.0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</row>
    <row r="195" ht="15.75" customHeight="1">
      <c r="A195" s="20">
        <v>3.3741905E7</v>
      </c>
      <c r="B195" s="14" t="s">
        <v>627</v>
      </c>
      <c r="C195" s="14" t="s">
        <v>628</v>
      </c>
      <c r="D195" s="14">
        <v>3.3741905E7</v>
      </c>
      <c r="E195" s="14" t="s">
        <v>61</v>
      </c>
      <c r="F195" s="14" t="s">
        <v>62</v>
      </c>
      <c r="G195" s="14" t="s">
        <v>629</v>
      </c>
      <c r="H195" s="14">
        <v>1104.0</v>
      </c>
      <c r="I195" s="14" t="s">
        <v>32</v>
      </c>
      <c r="J195" s="14" t="s">
        <v>615</v>
      </c>
      <c r="K195" s="14" t="s">
        <v>630</v>
      </c>
      <c r="L195" s="14" t="s">
        <v>64</v>
      </c>
      <c r="M195" s="14" t="s">
        <v>631</v>
      </c>
      <c r="N195" s="14" t="s">
        <v>632</v>
      </c>
      <c r="O195" s="14">
        <v>1.155287162E9</v>
      </c>
      <c r="P195" s="18">
        <v>32421.0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</row>
    <row r="196" ht="15.75" customHeight="1">
      <c r="A196" s="22">
        <v>1.8590445E7</v>
      </c>
      <c r="B196" s="23" t="s">
        <v>633</v>
      </c>
      <c r="C196" s="23" t="s">
        <v>634</v>
      </c>
      <c r="D196" s="23">
        <v>1.8590445E7</v>
      </c>
      <c r="E196" s="23" t="s">
        <v>61</v>
      </c>
      <c r="F196" s="23" t="s">
        <v>26</v>
      </c>
      <c r="G196" s="23" t="s">
        <v>635</v>
      </c>
      <c r="H196" s="23">
        <v>1768.0</v>
      </c>
      <c r="I196" s="23" t="s">
        <v>28</v>
      </c>
      <c r="J196" s="23" t="s">
        <v>615</v>
      </c>
      <c r="K196" s="23" t="s">
        <v>128</v>
      </c>
      <c r="L196" s="23" t="s">
        <v>85</v>
      </c>
      <c r="M196" s="23" t="s">
        <v>636</v>
      </c>
      <c r="N196" s="23" t="s">
        <v>637</v>
      </c>
      <c r="O196" s="23">
        <v>1.157719505E9</v>
      </c>
      <c r="P196" s="24">
        <v>24313.0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25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25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25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25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25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25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25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25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25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25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25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25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25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25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25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25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25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25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25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25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25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25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25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25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25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25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25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25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25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25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25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25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25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25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25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25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25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25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25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25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25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25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25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25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25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25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25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25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25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25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25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25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25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25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25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25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25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25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25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25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25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25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25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25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25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25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25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25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25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25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25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25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25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25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25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25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25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25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25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25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25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25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25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25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25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25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25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25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25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25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25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25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25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25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25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25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25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25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25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25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25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25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25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25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25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25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25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25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25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25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25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25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25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25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25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25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25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25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25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25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25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25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25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25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25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25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25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25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25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25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25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25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25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25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25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25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25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25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25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25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25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25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25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25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25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25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25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25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25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25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25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25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25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25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25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25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25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25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25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25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25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25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25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25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25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25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25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25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25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25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25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25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25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25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25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25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25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25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25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25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25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25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25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25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25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25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25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25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25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25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25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25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25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25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25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25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25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25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25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25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25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25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25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25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25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25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25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25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25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25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25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25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25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25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25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25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25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25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25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25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25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25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25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25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25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25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25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25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25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25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25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25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25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25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25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25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25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25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25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25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25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25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25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25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25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25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25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25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25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25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25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25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25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25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25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25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25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25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25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25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25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25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25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25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25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25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25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25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25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25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25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25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25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25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25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25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25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25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25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25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25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25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25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25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25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25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25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25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25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25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25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25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25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25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25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25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25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25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25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25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25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25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25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25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25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25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25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25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25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25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25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25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25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25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25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25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25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25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25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25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25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25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25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25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25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25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25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25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25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25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25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25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25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25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25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25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25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25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25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25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25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25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25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25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25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25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25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25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25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25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25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25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25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25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25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25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25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25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25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25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25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25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25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25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25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25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25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25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25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25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25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25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25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25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25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25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25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25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25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25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25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25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25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25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25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25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25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25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25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25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25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25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25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25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25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25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25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25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25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25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25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25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25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25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25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25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25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25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25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25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25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25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25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25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25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25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25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25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25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25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25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25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25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25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25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25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25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25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25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25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25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25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25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25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25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25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25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25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25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25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25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25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25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25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25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25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25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25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25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25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25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25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25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25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25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25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25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25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25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25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25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25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25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25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25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25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25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25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25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25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25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25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25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25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25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25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25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25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25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25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25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25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25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25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25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25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25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25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25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25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25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25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25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25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25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25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25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25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25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25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25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25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25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25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25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25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25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25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25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25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25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25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25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25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25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25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25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25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25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25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25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25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25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25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25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25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25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25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25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25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25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25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25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25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25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25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25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25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25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25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25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25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25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25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25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25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25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25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25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25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25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25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25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25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25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25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25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25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25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25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25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25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25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25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25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25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25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25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25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25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25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25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25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25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25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25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25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25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25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25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25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25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25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25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25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25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25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25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25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25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25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25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25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25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25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25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25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25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25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25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25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25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25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25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25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25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25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25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25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25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25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25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25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25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25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25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25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25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25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25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25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25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25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25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25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25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25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25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25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25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25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25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25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25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25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25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25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25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25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25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25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25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25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25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25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25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25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25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25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25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25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25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25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25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25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25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25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25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25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25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25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25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25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25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25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25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25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25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25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25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25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25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25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25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25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25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25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25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25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25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25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25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25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25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25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25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25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25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25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25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25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25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25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25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25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25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25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25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25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25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25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25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25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25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25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25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25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25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25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25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25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25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25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25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25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25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25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25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25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25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25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25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25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25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25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25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25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25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25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25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25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25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25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25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25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25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25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25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25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25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25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25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25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25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25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25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25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25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25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25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25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25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25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25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25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25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25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25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25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25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25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25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25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25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25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25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25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25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25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25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25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25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</row>
  </sheetData>
  <conditionalFormatting sqref="A2:P191">
    <cfRule type="containsText" dxfId="0" priority="1" operator="containsText" text="&quot; &quot;">
      <formula>NOT(ISERROR(SEARCH((""" """),(A2))))</formula>
    </cfRule>
  </conditionalFormatting>
  <dataValidations>
    <dataValidation type="custom" allowBlank="1" showDropDown="1" sqref="P2:P196">
      <formula1>OR(NOT(ISERROR(DATEVALUE(P2))), AND(ISNUMBER(P2), LEFT(CELL("format", P2))="D"))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57"/>
    <col customWidth="1" min="2" max="2" width="18.0"/>
    <col customWidth="1" min="3" max="3" width="18.43"/>
    <col customWidth="1" min="4" max="4" width="16.43"/>
    <col customWidth="1" min="5" max="5" width="18.43"/>
    <col customWidth="1" min="6" max="6" width="14.43"/>
    <col customWidth="1" min="7" max="7" width="24.29"/>
    <col customWidth="1" min="8" max="8" width="34.0"/>
    <col customWidth="1" min="9" max="9" width="28.71"/>
    <col customWidth="1" min="10" max="10" width="16.0"/>
    <col customWidth="1" min="11" max="11" width="18.43"/>
    <col customWidth="1" min="12" max="12" width="18.0"/>
    <col customWidth="1" min="13" max="13" width="28.29"/>
    <col customWidth="1" min="14" max="14" width="24.71"/>
    <col customWidth="1" min="15" max="15" width="22.14"/>
    <col customWidth="1" min="16" max="16" width="17.29"/>
    <col customWidth="1" min="17" max="17" width="20.57"/>
    <col customWidth="1" min="18" max="23" width="10.71"/>
  </cols>
  <sheetData>
    <row r="1">
      <c r="A1" s="1" t="s">
        <v>0</v>
      </c>
      <c r="B1" s="2" t="s">
        <v>638</v>
      </c>
      <c r="C1" s="2" t="s">
        <v>639</v>
      </c>
      <c r="D1" s="2" t="s">
        <v>640</v>
      </c>
      <c r="E1" s="2" t="s">
        <v>641</v>
      </c>
      <c r="F1" s="2" t="s">
        <v>12</v>
      </c>
      <c r="G1" s="2" t="s">
        <v>642</v>
      </c>
      <c r="H1" s="2" t="s">
        <v>643</v>
      </c>
      <c r="I1" s="2" t="s">
        <v>644</v>
      </c>
      <c r="J1" s="2" t="s">
        <v>645</v>
      </c>
      <c r="K1" s="2" t="s">
        <v>646</v>
      </c>
      <c r="L1" s="2" t="s">
        <v>647</v>
      </c>
      <c r="M1" s="2" t="s">
        <v>648</v>
      </c>
      <c r="N1" s="26" t="s">
        <v>649</v>
      </c>
      <c r="O1" s="2" t="s">
        <v>650</v>
      </c>
      <c r="P1" s="2" t="s">
        <v>651</v>
      </c>
      <c r="Q1" s="27" t="s">
        <v>652</v>
      </c>
      <c r="R1" s="4"/>
      <c r="S1" s="4"/>
      <c r="T1" s="4"/>
      <c r="U1" s="4"/>
      <c r="V1" s="4"/>
      <c r="W1" s="4"/>
    </row>
    <row r="2">
      <c r="A2" s="5">
        <v>1.0</v>
      </c>
      <c r="B2" s="6">
        <v>2.172633E7</v>
      </c>
      <c r="C2" s="6">
        <v>127.0</v>
      </c>
      <c r="D2" s="6">
        <v>3.4999032089E10</v>
      </c>
      <c r="E2" s="6" t="s">
        <v>653</v>
      </c>
      <c r="F2" s="6" t="s">
        <v>32</v>
      </c>
      <c r="G2" s="6" t="s">
        <v>654</v>
      </c>
      <c r="H2" s="6" t="s">
        <v>655</v>
      </c>
      <c r="I2" s="6" t="s">
        <v>656</v>
      </c>
      <c r="J2" s="6"/>
      <c r="K2" s="6"/>
      <c r="L2" s="6"/>
      <c r="M2" s="6" t="s">
        <v>657</v>
      </c>
      <c r="N2" s="28">
        <v>42767.0</v>
      </c>
      <c r="O2" s="6">
        <f t="shared" ref="O2:O207" si="1">YEAR(NOW())-YEAR(N2)</f>
        <v>8</v>
      </c>
      <c r="P2" s="7">
        <v>1.0</v>
      </c>
      <c r="Q2" s="29" t="str">
        <f t="array" ref="Q2">XLOOKUP(C2,fichas_pdf[ap],fichas_pdf[tiene],"no tiene en pdf",0,1)</f>
        <v>no tiene en pdf</v>
      </c>
      <c r="R2" s="4"/>
      <c r="S2" s="4"/>
      <c r="T2" s="4"/>
      <c r="U2" s="4"/>
      <c r="V2" s="4"/>
      <c r="W2" s="4"/>
    </row>
    <row r="3">
      <c r="A3" s="9">
        <v>2.0</v>
      </c>
      <c r="B3" s="10">
        <v>3.2436304E7</v>
      </c>
      <c r="C3" s="10">
        <v>1575.0</v>
      </c>
      <c r="D3" s="10">
        <v>3.4999032089E10</v>
      </c>
      <c r="E3" s="10" t="s">
        <v>658</v>
      </c>
      <c r="F3" s="10" t="s">
        <v>32</v>
      </c>
      <c r="G3" s="10" t="s">
        <v>654</v>
      </c>
      <c r="H3" s="10" t="s">
        <v>655</v>
      </c>
      <c r="I3" s="10" t="s">
        <v>656</v>
      </c>
      <c r="J3" s="10"/>
      <c r="K3" s="10"/>
      <c r="L3" s="10"/>
      <c r="M3" s="10" t="s">
        <v>659</v>
      </c>
      <c r="N3" s="30">
        <v>43536.0</v>
      </c>
      <c r="O3" s="10">
        <f t="shared" si="1"/>
        <v>6</v>
      </c>
      <c r="P3" s="14"/>
      <c r="Q3" s="31" t="str">
        <f t="array" ref="Q3">XLOOKUP(C3,fichas_pdf[ap],fichas_pdf[tiene],"no tiene en pdf",0,1)</f>
        <v>no tiene en pdf</v>
      </c>
      <c r="R3" s="4"/>
      <c r="S3" s="4"/>
      <c r="T3" s="4"/>
      <c r="U3" s="4"/>
      <c r="V3" s="4"/>
      <c r="W3" s="4"/>
    </row>
    <row r="4">
      <c r="A4" s="5">
        <v>3.0</v>
      </c>
      <c r="B4" s="6">
        <v>3.1963497E7</v>
      </c>
      <c r="C4" s="6">
        <v>444.0</v>
      </c>
      <c r="D4" s="6">
        <v>3.4999032089E10</v>
      </c>
      <c r="E4" s="6" t="s">
        <v>660</v>
      </c>
      <c r="F4" s="6" t="s">
        <v>32</v>
      </c>
      <c r="G4" s="6" t="s">
        <v>654</v>
      </c>
      <c r="H4" s="6" t="s">
        <v>655</v>
      </c>
      <c r="I4" s="6" t="s">
        <v>656</v>
      </c>
      <c r="J4" s="6"/>
      <c r="K4" s="6"/>
      <c r="L4" s="6"/>
      <c r="M4" s="6" t="s">
        <v>659</v>
      </c>
      <c r="N4" s="28">
        <v>42948.0</v>
      </c>
      <c r="O4" s="6">
        <f t="shared" si="1"/>
        <v>8</v>
      </c>
      <c r="P4" s="7"/>
      <c r="Q4" s="29">
        <f t="array" ref="Q4">XLOOKUP(C4,fichas_pdf[ap],fichas_pdf[tiene],"no tiene en pdf",0,1)</f>
        <v>1</v>
      </c>
      <c r="R4" s="4"/>
      <c r="S4" s="4"/>
      <c r="T4" s="4"/>
      <c r="U4" s="4"/>
      <c r="V4" s="4"/>
      <c r="W4" s="4"/>
    </row>
    <row r="5">
      <c r="A5" s="9">
        <v>4.0</v>
      </c>
      <c r="B5" s="10">
        <v>2.5379033E7</v>
      </c>
      <c r="C5" s="10">
        <v>275.0</v>
      </c>
      <c r="D5" s="10">
        <v>3.4999032089E10</v>
      </c>
      <c r="E5" s="10" t="s">
        <v>660</v>
      </c>
      <c r="F5" s="10" t="s">
        <v>32</v>
      </c>
      <c r="G5" s="10" t="s">
        <v>654</v>
      </c>
      <c r="H5" s="10" t="s">
        <v>655</v>
      </c>
      <c r="I5" s="10" t="s">
        <v>656</v>
      </c>
      <c r="J5" s="10"/>
      <c r="K5" s="10"/>
      <c r="L5" s="10"/>
      <c r="M5" s="10" t="s">
        <v>659</v>
      </c>
      <c r="N5" s="30">
        <v>42884.0</v>
      </c>
      <c r="O5" s="10">
        <f t="shared" si="1"/>
        <v>8</v>
      </c>
      <c r="P5" s="14"/>
      <c r="Q5" s="31">
        <f t="array" ref="Q5">XLOOKUP(C5,fichas_pdf[ap],fichas_pdf[tiene],"no tiene en pdf",0,1)</f>
        <v>1</v>
      </c>
      <c r="R5" s="4"/>
      <c r="S5" s="4"/>
      <c r="T5" s="4"/>
      <c r="U5" s="4"/>
      <c r="V5" s="4"/>
      <c r="W5" s="4"/>
    </row>
    <row r="6">
      <c r="A6" s="5">
        <v>5.0</v>
      </c>
      <c r="B6" s="6">
        <v>3.8184089E7</v>
      </c>
      <c r="C6" s="7">
        <v>2914.0</v>
      </c>
      <c r="D6" s="6">
        <v>3.4999032089E10</v>
      </c>
      <c r="E6" s="6" t="s">
        <v>660</v>
      </c>
      <c r="F6" s="6" t="s">
        <v>32</v>
      </c>
      <c r="G6" s="6" t="s">
        <v>654</v>
      </c>
      <c r="H6" s="6" t="s">
        <v>655</v>
      </c>
      <c r="I6" s="6" t="s">
        <v>656</v>
      </c>
      <c r="J6" s="6"/>
      <c r="K6" s="6"/>
      <c r="L6" s="6"/>
      <c r="M6" s="6" t="s">
        <v>659</v>
      </c>
      <c r="N6" s="32">
        <v>45112.0</v>
      </c>
      <c r="O6" s="6">
        <f t="shared" si="1"/>
        <v>2</v>
      </c>
      <c r="P6" s="7"/>
      <c r="Q6" s="29" t="str">
        <f t="array" ref="Q6">XLOOKUP(C6,fichas_pdf[ap],fichas_pdf[tiene],"no tiene en pdf",0,1)</f>
        <v>no tiene en pdf</v>
      </c>
      <c r="R6" s="4"/>
      <c r="S6" s="4"/>
      <c r="T6" s="4"/>
      <c r="U6" s="4"/>
      <c r="V6" s="4"/>
      <c r="W6" s="4"/>
    </row>
    <row r="7">
      <c r="A7" s="9">
        <v>6.0</v>
      </c>
      <c r="B7" s="10">
        <v>3.8894668E7</v>
      </c>
      <c r="C7" s="14">
        <v>2238.0</v>
      </c>
      <c r="D7" s="10">
        <v>3.4999032089E10</v>
      </c>
      <c r="E7" s="10" t="s">
        <v>660</v>
      </c>
      <c r="F7" s="10" t="s">
        <v>32</v>
      </c>
      <c r="G7" s="10" t="s">
        <v>654</v>
      </c>
      <c r="H7" s="10" t="s">
        <v>655</v>
      </c>
      <c r="I7" s="10" t="s">
        <v>656</v>
      </c>
      <c r="J7" s="10"/>
      <c r="K7" s="10"/>
      <c r="L7" s="10"/>
      <c r="M7" s="10" t="s">
        <v>659</v>
      </c>
      <c r="N7" s="33">
        <v>45031.0</v>
      </c>
      <c r="O7" s="10">
        <f t="shared" si="1"/>
        <v>2</v>
      </c>
      <c r="P7" s="14"/>
      <c r="Q7" s="31" t="str">
        <f t="array" ref="Q7">XLOOKUP(C7,fichas_pdf[ap],fichas_pdf[tiene],"no tiene en pdf",0,1)</f>
        <v>no tiene en pdf</v>
      </c>
      <c r="R7" s="4"/>
      <c r="S7" s="4"/>
      <c r="T7" s="4"/>
      <c r="U7" s="4"/>
      <c r="V7" s="4"/>
      <c r="W7" s="4"/>
    </row>
    <row r="8">
      <c r="A8" s="5">
        <v>7.0</v>
      </c>
      <c r="B8" s="6">
        <v>3.9114453E7</v>
      </c>
      <c r="C8" s="6">
        <v>1572.0</v>
      </c>
      <c r="D8" s="6">
        <v>3.4999032089E10</v>
      </c>
      <c r="E8" s="6" t="s">
        <v>660</v>
      </c>
      <c r="F8" s="6" t="s">
        <v>32</v>
      </c>
      <c r="G8" s="6" t="s">
        <v>654</v>
      </c>
      <c r="H8" s="6" t="s">
        <v>655</v>
      </c>
      <c r="I8" s="6" t="s">
        <v>656</v>
      </c>
      <c r="J8" s="6"/>
      <c r="K8" s="6"/>
      <c r="L8" s="6"/>
      <c r="M8" s="6" t="s">
        <v>659</v>
      </c>
      <c r="N8" s="28">
        <v>43500.0</v>
      </c>
      <c r="O8" s="6">
        <f t="shared" si="1"/>
        <v>6</v>
      </c>
      <c r="P8" s="7"/>
      <c r="Q8" s="29" t="str">
        <f t="array" ref="Q8">XLOOKUP(C8,fichas_pdf[ap],fichas_pdf[tiene],"no tiene en pdf",0,1)</f>
        <v>no tiene en pdf</v>
      </c>
      <c r="R8" s="4"/>
      <c r="S8" s="4"/>
      <c r="T8" s="4"/>
      <c r="U8" s="4"/>
      <c r="V8" s="4"/>
      <c r="W8" s="4"/>
    </row>
    <row r="9">
      <c r="A9" s="9">
        <v>8.0</v>
      </c>
      <c r="B9" s="10">
        <v>2.6678242E7</v>
      </c>
      <c r="C9" s="10">
        <v>270.0</v>
      </c>
      <c r="D9" s="10">
        <v>3.4999032089E10</v>
      </c>
      <c r="E9" s="10" t="s">
        <v>660</v>
      </c>
      <c r="F9" s="10" t="s">
        <v>32</v>
      </c>
      <c r="G9" s="10" t="s">
        <v>654</v>
      </c>
      <c r="H9" s="10" t="s">
        <v>655</v>
      </c>
      <c r="I9" s="10" t="s">
        <v>656</v>
      </c>
      <c r="J9" s="10"/>
      <c r="K9" s="10"/>
      <c r="L9" s="10"/>
      <c r="M9" s="10" t="s">
        <v>661</v>
      </c>
      <c r="N9" s="30">
        <v>42887.0</v>
      </c>
      <c r="O9" s="10">
        <f t="shared" si="1"/>
        <v>8</v>
      </c>
      <c r="P9" s="14"/>
      <c r="Q9" s="31" t="str">
        <f t="array" ref="Q9">XLOOKUP(C9,fichas_pdf[ap],fichas_pdf[tiene],"no tiene en pdf",0,1)</f>
        <v>no tiene en pdf</v>
      </c>
      <c r="R9" s="4"/>
      <c r="S9" s="4"/>
      <c r="T9" s="4"/>
      <c r="U9" s="4"/>
      <c r="V9" s="4"/>
      <c r="W9" s="4"/>
    </row>
    <row r="10">
      <c r="A10" s="5">
        <v>9.0</v>
      </c>
      <c r="B10" s="6">
        <v>4.2012262E7</v>
      </c>
      <c r="C10" s="6">
        <v>2166.0</v>
      </c>
      <c r="D10" s="6">
        <v>3.4999032089E10</v>
      </c>
      <c r="E10" s="6" t="s">
        <v>660</v>
      </c>
      <c r="F10" s="6" t="s">
        <v>32</v>
      </c>
      <c r="G10" s="6" t="s">
        <v>654</v>
      </c>
      <c r="H10" s="6" t="s">
        <v>655</v>
      </c>
      <c r="I10" s="6" t="s">
        <v>656</v>
      </c>
      <c r="J10" s="6"/>
      <c r="K10" s="6"/>
      <c r="L10" s="6"/>
      <c r="M10" s="6" t="s">
        <v>659</v>
      </c>
      <c r="N10" s="28">
        <v>0.0</v>
      </c>
      <c r="O10" s="6">
        <f t="shared" si="1"/>
        <v>126</v>
      </c>
      <c r="P10" s="7"/>
      <c r="Q10" s="29" t="str">
        <f t="array" ref="Q10">XLOOKUP(C10,fichas_pdf[ap],fichas_pdf[tiene],"no tiene en pdf",0,1)</f>
        <v>no tiene en pdf</v>
      </c>
      <c r="R10" s="4"/>
      <c r="S10" s="4"/>
      <c r="T10" s="4"/>
      <c r="U10" s="4"/>
      <c r="V10" s="4"/>
      <c r="W10" s="4"/>
    </row>
    <row r="11">
      <c r="A11" s="9">
        <v>10.0</v>
      </c>
      <c r="B11" s="10">
        <v>3.3155103E7</v>
      </c>
      <c r="C11" s="10">
        <v>1023.0</v>
      </c>
      <c r="D11" s="10">
        <v>3.4999032089E10</v>
      </c>
      <c r="E11" s="10" t="s">
        <v>660</v>
      </c>
      <c r="F11" s="10" t="s">
        <v>32</v>
      </c>
      <c r="G11" s="10" t="s">
        <v>654</v>
      </c>
      <c r="H11" s="10" t="s">
        <v>655</v>
      </c>
      <c r="I11" s="10" t="s">
        <v>656</v>
      </c>
      <c r="J11" s="10"/>
      <c r="K11" s="10"/>
      <c r="L11" s="10"/>
      <c r="M11" s="10" t="s">
        <v>659</v>
      </c>
      <c r="N11" s="30">
        <v>42948.0</v>
      </c>
      <c r="O11" s="10">
        <f t="shared" si="1"/>
        <v>8</v>
      </c>
      <c r="P11" s="14"/>
      <c r="Q11" s="31">
        <f t="array" ref="Q11">XLOOKUP(C11,fichas_pdf[ap],fichas_pdf[tiene],"no tiene en pdf",0,1)</f>
        <v>1</v>
      </c>
      <c r="R11" s="4"/>
      <c r="S11" s="4"/>
      <c r="T11" s="4"/>
      <c r="U11" s="4"/>
      <c r="V11" s="4"/>
      <c r="W11" s="4"/>
    </row>
    <row r="12">
      <c r="A12" s="5">
        <v>11.0</v>
      </c>
      <c r="B12" s="6">
        <v>3.5538835E7</v>
      </c>
      <c r="C12" s="7">
        <v>1025.0</v>
      </c>
      <c r="D12" s="6">
        <v>3.4999032089E10</v>
      </c>
      <c r="E12" s="6" t="s">
        <v>660</v>
      </c>
      <c r="F12" s="6" t="s">
        <v>32</v>
      </c>
      <c r="G12" s="6" t="s">
        <v>654</v>
      </c>
      <c r="H12" s="6" t="s">
        <v>655</v>
      </c>
      <c r="I12" s="6" t="s">
        <v>656</v>
      </c>
      <c r="J12" s="6"/>
      <c r="K12" s="6"/>
      <c r="L12" s="6"/>
      <c r="M12" s="6" t="s">
        <v>659</v>
      </c>
      <c r="N12" s="28">
        <v>0.0</v>
      </c>
      <c r="O12" s="6">
        <f t="shared" si="1"/>
        <v>126</v>
      </c>
      <c r="P12" s="7"/>
      <c r="Q12" s="29">
        <f t="array" ref="Q12">XLOOKUP(C12,fichas_pdf[ap],fichas_pdf[tiene],"no tiene en pdf",0,1)</f>
        <v>1</v>
      </c>
      <c r="R12" s="4"/>
      <c r="S12" s="4"/>
      <c r="T12" s="4"/>
      <c r="U12" s="4"/>
      <c r="V12" s="4"/>
      <c r="W12" s="4"/>
    </row>
    <row r="13">
      <c r="A13" s="9">
        <v>12.0</v>
      </c>
      <c r="B13" s="10">
        <v>9.3996095E7</v>
      </c>
      <c r="C13" s="10">
        <v>754.0</v>
      </c>
      <c r="D13" s="10">
        <v>3.4999032089E10</v>
      </c>
      <c r="E13" s="10" t="s">
        <v>660</v>
      </c>
      <c r="F13" s="10" t="s">
        <v>32</v>
      </c>
      <c r="G13" s="10" t="s">
        <v>654</v>
      </c>
      <c r="H13" s="10" t="s">
        <v>655</v>
      </c>
      <c r="I13" s="10" t="s">
        <v>656</v>
      </c>
      <c r="J13" s="10"/>
      <c r="K13" s="10"/>
      <c r="L13" s="10"/>
      <c r="M13" s="10" t="s">
        <v>659</v>
      </c>
      <c r="N13" s="30">
        <v>42948.0</v>
      </c>
      <c r="O13" s="10">
        <f t="shared" si="1"/>
        <v>8</v>
      </c>
      <c r="P13" s="14"/>
      <c r="Q13" s="31">
        <f t="array" ref="Q13">XLOOKUP(C13,fichas_pdf[ap],fichas_pdf[tiene],"no tiene en pdf",0,1)</f>
        <v>1</v>
      </c>
      <c r="R13" s="4"/>
      <c r="S13" s="4"/>
      <c r="T13" s="4"/>
      <c r="U13" s="4"/>
      <c r="V13" s="4"/>
      <c r="W13" s="4"/>
    </row>
    <row r="14">
      <c r="A14" s="5">
        <v>13.0</v>
      </c>
      <c r="B14" s="6">
        <v>9.4842492E7</v>
      </c>
      <c r="C14" s="6">
        <v>527.0</v>
      </c>
      <c r="D14" s="6">
        <v>3.4999032089E10</v>
      </c>
      <c r="E14" s="6" t="s">
        <v>660</v>
      </c>
      <c r="F14" s="6" t="s">
        <v>32</v>
      </c>
      <c r="G14" s="6" t="s">
        <v>654</v>
      </c>
      <c r="H14" s="6" t="s">
        <v>655</v>
      </c>
      <c r="I14" s="6" t="s">
        <v>656</v>
      </c>
      <c r="J14" s="6"/>
      <c r="K14" s="6"/>
      <c r="L14" s="6"/>
      <c r="M14" s="6" t="s">
        <v>659</v>
      </c>
      <c r="N14" s="28">
        <v>0.0</v>
      </c>
      <c r="O14" s="6">
        <f t="shared" si="1"/>
        <v>126</v>
      </c>
      <c r="P14" s="7"/>
      <c r="Q14" s="29">
        <f t="array" ref="Q14">XLOOKUP(C14,fichas_pdf[ap],fichas_pdf[tiene],"no tiene en pdf",0,1)</f>
        <v>1</v>
      </c>
      <c r="R14" s="4"/>
      <c r="S14" s="4"/>
      <c r="T14" s="4"/>
      <c r="U14" s="4"/>
      <c r="V14" s="4"/>
      <c r="W14" s="4"/>
    </row>
    <row r="15">
      <c r="A15" s="9">
        <v>14.0</v>
      </c>
      <c r="B15" s="10">
        <v>9.5102089E7</v>
      </c>
      <c r="C15" s="10">
        <v>560.0</v>
      </c>
      <c r="D15" s="10">
        <v>3.4999032089E10</v>
      </c>
      <c r="E15" s="10" t="s">
        <v>660</v>
      </c>
      <c r="F15" s="10" t="s">
        <v>32</v>
      </c>
      <c r="G15" s="10" t="s">
        <v>654</v>
      </c>
      <c r="H15" s="10" t="s">
        <v>655</v>
      </c>
      <c r="I15" s="10" t="s">
        <v>656</v>
      </c>
      <c r="J15" s="10"/>
      <c r="K15" s="10"/>
      <c r="L15" s="10"/>
      <c r="M15" s="10" t="s">
        <v>659</v>
      </c>
      <c r="N15" s="30">
        <v>42887.0</v>
      </c>
      <c r="O15" s="10">
        <f t="shared" si="1"/>
        <v>8</v>
      </c>
      <c r="P15" s="14"/>
      <c r="Q15" s="31">
        <f t="array" ref="Q15">XLOOKUP(C15,fichas_pdf[ap],fichas_pdf[tiene],"no tiene en pdf",0,1)</f>
        <v>1</v>
      </c>
      <c r="R15" s="4"/>
      <c r="S15" s="4"/>
      <c r="T15" s="4"/>
      <c r="U15" s="4"/>
      <c r="V15" s="4"/>
      <c r="W15" s="4"/>
    </row>
    <row r="16">
      <c r="A16" s="5">
        <v>15.0</v>
      </c>
      <c r="B16" s="6">
        <v>9.5189729E7</v>
      </c>
      <c r="C16" s="6">
        <v>909.0</v>
      </c>
      <c r="D16" s="6">
        <v>3.4999032089E10</v>
      </c>
      <c r="E16" s="6" t="s">
        <v>660</v>
      </c>
      <c r="F16" s="6" t="s">
        <v>32</v>
      </c>
      <c r="G16" s="6" t="s">
        <v>654</v>
      </c>
      <c r="H16" s="6" t="s">
        <v>655</v>
      </c>
      <c r="I16" s="6" t="s">
        <v>656</v>
      </c>
      <c r="J16" s="6"/>
      <c r="K16" s="6"/>
      <c r="L16" s="6"/>
      <c r="M16" s="6" t="s">
        <v>659</v>
      </c>
      <c r="N16" s="32">
        <v>42948.0</v>
      </c>
      <c r="O16" s="6">
        <f t="shared" si="1"/>
        <v>8</v>
      </c>
      <c r="P16" s="7"/>
      <c r="Q16" s="29">
        <f t="array" ref="Q16">XLOOKUP(C16,fichas_pdf[ap],fichas_pdf[tiene],"no tiene en pdf",0,1)</f>
        <v>1</v>
      </c>
      <c r="R16" s="4"/>
      <c r="S16" s="4"/>
      <c r="T16" s="4"/>
      <c r="U16" s="4"/>
      <c r="V16" s="4"/>
      <c r="W16" s="4"/>
    </row>
    <row r="17">
      <c r="A17" s="9">
        <v>16.0</v>
      </c>
      <c r="B17" s="10">
        <v>2.0009014E7</v>
      </c>
      <c r="C17" s="10">
        <v>2777.0</v>
      </c>
      <c r="D17" s="10">
        <v>3.4999032089E10</v>
      </c>
      <c r="E17" s="10" t="s">
        <v>660</v>
      </c>
      <c r="F17" s="10" t="s">
        <v>32</v>
      </c>
      <c r="G17" s="10" t="s">
        <v>654</v>
      </c>
      <c r="H17" s="10" t="s">
        <v>655</v>
      </c>
      <c r="I17" s="10" t="s">
        <v>656</v>
      </c>
      <c r="J17" s="10"/>
      <c r="K17" s="10"/>
      <c r="L17" s="10"/>
      <c r="M17" s="10" t="s">
        <v>659</v>
      </c>
      <c r="N17" s="30">
        <v>45111.0</v>
      </c>
      <c r="O17" s="10">
        <f t="shared" si="1"/>
        <v>2</v>
      </c>
      <c r="P17" s="14"/>
      <c r="Q17" s="31" t="str">
        <f t="array" ref="Q17">XLOOKUP(C17,fichas_pdf[ap],fichas_pdf[tiene],"no tiene en pdf",0,1)</f>
        <v>no tiene en pdf</v>
      </c>
      <c r="R17" s="4"/>
      <c r="S17" s="4"/>
      <c r="T17" s="4"/>
      <c r="U17" s="4"/>
      <c r="V17" s="4"/>
      <c r="W17" s="4"/>
    </row>
    <row r="18">
      <c r="A18" s="5">
        <v>17.0</v>
      </c>
      <c r="B18" s="6">
        <v>2.9635937E7</v>
      </c>
      <c r="C18" s="6">
        <v>1931.0</v>
      </c>
      <c r="D18" s="6">
        <v>3.4999032089E10</v>
      </c>
      <c r="E18" s="6" t="s">
        <v>660</v>
      </c>
      <c r="F18" s="6" t="s">
        <v>32</v>
      </c>
      <c r="G18" s="6" t="s">
        <v>654</v>
      </c>
      <c r="H18" s="6" t="s">
        <v>655</v>
      </c>
      <c r="I18" s="6" t="s">
        <v>656</v>
      </c>
      <c r="J18" s="6"/>
      <c r="K18" s="6"/>
      <c r="L18" s="6"/>
      <c r="M18" s="6" t="s">
        <v>659</v>
      </c>
      <c r="N18" s="28">
        <v>44683.0</v>
      </c>
      <c r="O18" s="6">
        <f t="shared" si="1"/>
        <v>3</v>
      </c>
      <c r="P18" s="7"/>
      <c r="Q18" s="29" t="str">
        <f t="array" ref="Q18">XLOOKUP(C18,fichas_pdf[ap],fichas_pdf[tiene],"no tiene en pdf",0,1)</f>
        <v>no tiene en pdf</v>
      </c>
      <c r="R18" s="4"/>
      <c r="S18" s="4"/>
      <c r="T18" s="4"/>
      <c r="U18" s="4"/>
      <c r="V18" s="4"/>
      <c r="W18" s="4"/>
    </row>
    <row r="19">
      <c r="A19" s="9">
        <v>18.0</v>
      </c>
      <c r="B19" s="10">
        <v>3.9471585E7</v>
      </c>
      <c r="C19" s="10">
        <v>2450.0</v>
      </c>
      <c r="D19" s="10">
        <v>3.4999032089E10</v>
      </c>
      <c r="E19" s="10" t="s">
        <v>660</v>
      </c>
      <c r="F19" s="10" t="s">
        <v>32</v>
      </c>
      <c r="G19" s="10" t="s">
        <v>654</v>
      </c>
      <c r="H19" s="10" t="s">
        <v>655</v>
      </c>
      <c r="I19" s="10" t="s">
        <v>656</v>
      </c>
      <c r="J19" s="10"/>
      <c r="K19" s="10"/>
      <c r="L19" s="10"/>
      <c r="M19" s="10" t="s">
        <v>659</v>
      </c>
      <c r="N19" s="30">
        <v>45049.0</v>
      </c>
      <c r="O19" s="10">
        <f t="shared" si="1"/>
        <v>2</v>
      </c>
      <c r="P19" s="14"/>
      <c r="Q19" s="31">
        <f t="array" ref="Q19">XLOOKUP(C19,fichas_pdf[ap],fichas_pdf[tiene],"no tiene en pdf",0,1)</f>
        <v>1</v>
      </c>
      <c r="R19" s="4"/>
      <c r="S19" s="4"/>
      <c r="T19" s="4"/>
      <c r="U19" s="4"/>
      <c r="V19" s="4"/>
      <c r="W19" s="4"/>
    </row>
    <row r="20">
      <c r="A20" s="5">
        <v>19.0</v>
      </c>
      <c r="B20" s="6">
        <v>4.3817038E7</v>
      </c>
      <c r="C20" s="6">
        <v>1850.0</v>
      </c>
      <c r="D20" s="6">
        <v>3.4999032089E10</v>
      </c>
      <c r="E20" s="6" t="s">
        <v>660</v>
      </c>
      <c r="F20" s="6" t="s">
        <v>32</v>
      </c>
      <c r="G20" s="6" t="s">
        <v>654</v>
      </c>
      <c r="H20" s="6" t="s">
        <v>655</v>
      </c>
      <c r="I20" s="6" t="s">
        <v>656</v>
      </c>
      <c r="J20" s="6"/>
      <c r="K20" s="6"/>
      <c r="L20" s="6"/>
      <c r="M20" s="6" t="s">
        <v>659</v>
      </c>
      <c r="N20" s="32">
        <v>44256.0</v>
      </c>
      <c r="O20" s="6">
        <f t="shared" si="1"/>
        <v>4</v>
      </c>
      <c r="P20" s="7"/>
      <c r="Q20" s="29" t="str">
        <f t="array" ref="Q20">XLOOKUP(C20,fichas_pdf[ap],fichas_pdf[tiene],"no tiene en pdf",0,1)</f>
        <v>no tiene en pdf</v>
      </c>
      <c r="R20" s="4"/>
      <c r="S20" s="4"/>
      <c r="T20" s="4"/>
      <c r="U20" s="4"/>
      <c r="V20" s="4"/>
      <c r="W20" s="4"/>
    </row>
    <row r="21" ht="15.75" customHeight="1">
      <c r="A21" s="9">
        <v>20.0</v>
      </c>
      <c r="B21" s="10">
        <v>4.4486458E7</v>
      </c>
      <c r="C21" s="10">
        <v>3069.0</v>
      </c>
      <c r="D21" s="10">
        <v>3.4999032089E10</v>
      </c>
      <c r="E21" s="10" t="s">
        <v>660</v>
      </c>
      <c r="F21" s="10" t="s">
        <v>32</v>
      </c>
      <c r="G21" s="10" t="s">
        <v>654</v>
      </c>
      <c r="H21" s="10" t="s">
        <v>655</v>
      </c>
      <c r="I21" s="10" t="s">
        <v>656</v>
      </c>
      <c r="J21" s="10"/>
      <c r="K21" s="10"/>
      <c r="L21" s="10"/>
      <c r="M21" s="10" t="s">
        <v>659</v>
      </c>
      <c r="N21" s="30">
        <v>0.0</v>
      </c>
      <c r="O21" s="10">
        <f t="shared" si="1"/>
        <v>126</v>
      </c>
      <c r="P21" s="14"/>
      <c r="Q21" s="31" t="str">
        <f t="array" ref="Q21">XLOOKUP(C21,fichas_pdf[ap],fichas_pdf[tiene],"no tiene en pdf",0,1)</f>
        <v>no tiene en pdf</v>
      </c>
      <c r="R21" s="4"/>
      <c r="S21" s="4"/>
      <c r="T21" s="4"/>
      <c r="U21" s="4"/>
      <c r="V21" s="4"/>
      <c r="W21" s="4"/>
    </row>
    <row r="22" ht="15.75" customHeight="1">
      <c r="A22" s="5">
        <v>21.0</v>
      </c>
      <c r="B22" s="6">
        <v>3.668592E7</v>
      </c>
      <c r="C22" s="7">
        <v>3133.0</v>
      </c>
      <c r="D22" s="6">
        <v>3.4999032089E10</v>
      </c>
      <c r="E22" s="6" t="s">
        <v>660</v>
      </c>
      <c r="F22" s="6" t="s">
        <v>32</v>
      </c>
      <c r="G22" s="6" t="s">
        <v>654</v>
      </c>
      <c r="H22" s="6" t="s">
        <v>655</v>
      </c>
      <c r="I22" s="6" t="s">
        <v>656</v>
      </c>
      <c r="J22" s="6"/>
      <c r="K22" s="6"/>
      <c r="L22" s="6"/>
      <c r="M22" s="6" t="s">
        <v>659</v>
      </c>
      <c r="N22" s="28">
        <v>44927.0</v>
      </c>
      <c r="O22" s="6">
        <f t="shared" si="1"/>
        <v>2</v>
      </c>
      <c r="P22" s="7"/>
      <c r="Q22" s="29" t="str">
        <f t="array" ref="Q22">XLOOKUP(C22,fichas_pdf[ap],fichas_pdf[tiene],"no tiene en pdf",0,1)</f>
        <v>no tiene en pdf</v>
      </c>
      <c r="R22" s="4"/>
      <c r="S22" s="4"/>
      <c r="T22" s="4"/>
      <c r="U22" s="4"/>
      <c r="V22" s="4"/>
      <c r="W22" s="4"/>
    </row>
    <row r="23" ht="15.75" customHeight="1">
      <c r="A23" s="9">
        <v>22.0</v>
      </c>
      <c r="B23" s="10">
        <v>2.5060598E7</v>
      </c>
      <c r="C23" s="10">
        <v>3185.0</v>
      </c>
      <c r="D23" s="10">
        <v>3.4999032089E10</v>
      </c>
      <c r="E23" s="10" t="s">
        <v>660</v>
      </c>
      <c r="F23" s="10" t="s">
        <v>32</v>
      </c>
      <c r="G23" s="10" t="s">
        <v>654</v>
      </c>
      <c r="H23" s="10" t="s">
        <v>655</v>
      </c>
      <c r="I23" s="10" t="s">
        <v>656</v>
      </c>
      <c r="J23" s="10"/>
      <c r="K23" s="10"/>
      <c r="L23" s="10"/>
      <c r="M23" s="10" t="s">
        <v>659</v>
      </c>
      <c r="N23" s="30">
        <v>44927.0</v>
      </c>
      <c r="O23" s="10">
        <f t="shared" si="1"/>
        <v>2</v>
      </c>
      <c r="P23" s="14"/>
      <c r="Q23" s="31" t="str">
        <f t="array" ref="Q23">XLOOKUP(C23,fichas_pdf[ap],fichas_pdf[tiene],"no tiene en pdf",0,1)</f>
        <v>no tiene en pdf</v>
      </c>
      <c r="R23" s="4"/>
      <c r="S23" s="4"/>
      <c r="T23" s="4"/>
      <c r="U23" s="4"/>
      <c r="V23" s="4"/>
      <c r="W23" s="4"/>
    </row>
    <row r="24" ht="15.75" customHeight="1">
      <c r="A24" s="5">
        <v>23.0</v>
      </c>
      <c r="B24" s="6">
        <v>3.1896263E7</v>
      </c>
      <c r="C24" s="6">
        <v>2323.0</v>
      </c>
      <c r="D24" s="6">
        <v>3.4999032089E10</v>
      </c>
      <c r="E24" s="6" t="s">
        <v>660</v>
      </c>
      <c r="F24" s="6" t="s">
        <v>32</v>
      </c>
      <c r="G24" s="6" t="s">
        <v>654</v>
      </c>
      <c r="H24" s="6" t="s">
        <v>655</v>
      </c>
      <c r="I24" s="6" t="s">
        <v>656</v>
      </c>
      <c r="J24" s="6"/>
      <c r="K24" s="6"/>
      <c r="L24" s="6"/>
      <c r="M24" s="6" t="s">
        <v>659</v>
      </c>
      <c r="N24" s="28">
        <v>45017.0</v>
      </c>
      <c r="O24" s="6">
        <f t="shared" si="1"/>
        <v>2</v>
      </c>
      <c r="P24" s="7"/>
      <c r="Q24" s="29" t="str">
        <f t="array" ref="Q24">XLOOKUP(C24,fichas_pdf[ap],fichas_pdf[tiene],"no tiene en pdf",0,1)</f>
        <v>no tiene en pdf</v>
      </c>
      <c r="R24" s="4"/>
      <c r="S24" s="4"/>
      <c r="T24" s="4"/>
      <c r="U24" s="4"/>
      <c r="V24" s="4"/>
      <c r="W24" s="4"/>
    </row>
    <row r="25" ht="15.75" customHeight="1">
      <c r="A25" s="9">
        <v>24.0</v>
      </c>
      <c r="B25" s="10">
        <v>3.2554313E7</v>
      </c>
      <c r="C25" s="10">
        <v>1444.0</v>
      </c>
      <c r="D25" s="10">
        <v>3.4999032089E10</v>
      </c>
      <c r="E25" s="10" t="s">
        <v>660</v>
      </c>
      <c r="F25" s="10" t="s">
        <v>32</v>
      </c>
      <c r="G25" s="10" t="s">
        <v>654</v>
      </c>
      <c r="H25" s="10" t="s">
        <v>655</v>
      </c>
      <c r="I25" s="10" t="s">
        <v>656</v>
      </c>
      <c r="J25" s="10"/>
      <c r="K25" s="10"/>
      <c r="L25" s="10"/>
      <c r="M25" s="10" t="s">
        <v>659</v>
      </c>
      <c r="N25" s="30">
        <v>43252.0</v>
      </c>
      <c r="O25" s="10">
        <f t="shared" si="1"/>
        <v>7</v>
      </c>
      <c r="P25" s="14"/>
      <c r="Q25" s="31" t="str">
        <f t="array" ref="Q25">XLOOKUP(C25,fichas_pdf[ap],fichas_pdf[tiene],"no tiene en pdf",0,1)</f>
        <v>no tiene en pdf</v>
      </c>
      <c r="R25" s="4"/>
      <c r="S25" s="4"/>
      <c r="T25" s="4"/>
      <c r="U25" s="4"/>
      <c r="V25" s="4"/>
      <c r="W25" s="4"/>
    </row>
    <row r="26" ht="15.75" customHeight="1">
      <c r="A26" s="5">
        <v>26.0</v>
      </c>
      <c r="B26" s="6">
        <v>3.3905319E7</v>
      </c>
      <c r="C26" s="6">
        <v>2479.0</v>
      </c>
      <c r="D26" s="6">
        <v>3.4999032089E10</v>
      </c>
      <c r="E26" s="6" t="s">
        <v>660</v>
      </c>
      <c r="F26" s="6" t="s">
        <v>32</v>
      </c>
      <c r="G26" s="6" t="s">
        <v>654</v>
      </c>
      <c r="H26" s="6" t="s">
        <v>655</v>
      </c>
      <c r="I26" s="6" t="s">
        <v>656</v>
      </c>
      <c r="J26" s="6"/>
      <c r="K26" s="6"/>
      <c r="L26" s="6"/>
      <c r="M26" s="6" t="s">
        <v>659</v>
      </c>
      <c r="N26" s="28">
        <v>45019.0</v>
      </c>
      <c r="O26" s="6">
        <f t="shared" si="1"/>
        <v>2</v>
      </c>
      <c r="P26" s="7"/>
      <c r="Q26" s="29" t="str">
        <f t="array" ref="Q26">XLOOKUP(C26,fichas_pdf[ap],fichas_pdf[tiene],"no tiene en pdf",0,1)</f>
        <v>no tiene en pdf</v>
      </c>
      <c r="R26" s="4"/>
      <c r="S26" s="4"/>
      <c r="T26" s="4"/>
      <c r="U26" s="4"/>
      <c r="V26" s="4"/>
      <c r="W26" s="4"/>
    </row>
    <row r="27" ht="15.75" customHeight="1">
      <c r="A27" s="9">
        <v>27.0</v>
      </c>
      <c r="B27" s="10">
        <v>3.1302984E7</v>
      </c>
      <c r="C27" s="10">
        <v>1142.0</v>
      </c>
      <c r="D27" s="10">
        <v>3.4999032089E10</v>
      </c>
      <c r="E27" s="10" t="s">
        <v>660</v>
      </c>
      <c r="F27" s="10" t="s">
        <v>32</v>
      </c>
      <c r="G27" s="10" t="s">
        <v>654</v>
      </c>
      <c r="H27" s="10" t="s">
        <v>655</v>
      </c>
      <c r="I27" s="10" t="s">
        <v>656</v>
      </c>
      <c r="J27" s="10"/>
      <c r="K27" s="10"/>
      <c r="L27" s="10"/>
      <c r="M27" s="10" t="s">
        <v>659</v>
      </c>
      <c r="N27" s="30">
        <v>0.0</v>
      </c>
      <c r="O27" s="10">
        <f t="shared" si="1"/>
        <v>126</v>
      </c>
      <c r="P27" s="14"/>
      <c r="Q27" s="31" t="str">
        <f t="array" ref="Q27">XLOOKUP(C27,fichas_pdf[ap],fichas_pdf[tiene],"no tiene en pdf",0,1)</f>
        <v>no tiene en pdf</v>
      </c>
      <c r="R27" s="4"/>
      <c r="S27" s="4"/>
      <c r="T27" s="4"/>
      <c r="U27" s="4"/>
      <c r="V27" s="4"/>
      <c r="W27" s="4"/>
    </row>
    <row r="28" ht="15.75" customHeight="1">
      <c r="A28" s="5">
        <v>28.0</v>
      </c>
      <c r="B28" s="6">
        <v>3.442385E7</v>
      </c>
      <c r="C28" s="6">
        <v>1591.0</v>
      </c>
      <c r="D28" s="6">
        <v>3.4999032089E10</v>
      </c>
      <c r="E28" s="6" t="s">
        <v>660</v>
      </c>
      <c r="F28" s="6" t="s">
        <v>32</v>
      </c>
      <c r="G28" s="6" t="s">
        <v>654</v>
      </c>
      <c r="H28" s="6" t="s">
        <v>655</v>
      </c>
      <c r="I28" s="6" t="s">
        <v>656</v>
      </c>
      <c r="J28" s="6"/>
      <c r="K28" s="6"/>
      <c r="L28" s="6"/>
      <c r="M28" s="6" t="s">
        <v>659</v>
      </c>
      <c r="N28" s="28">
        <v>43466.0</v>
      </c>
      <c r="O28" s="6">
        <f t="shared" si="1"/>
        <v>6</v>
      </c>
      <c r="P28" s="7"/>
      <c r="Q28" s="29" t="str">
        <f t="array" ref="Q28">XLOOKUP(C28,fichas_pdf[ap],fichas_pdf[tiene],"no tiene en pdf",0,1)</f>
        <v>no tiene en pdf</v>
      </c>
      <c r="R28" s="4"/>
      <c r="S28" s="4"/>
      <c r="T28" s="4"/>
      <c r="U28" s="4"/>
      <c r="V28" s="4"/>
      <c r="W28" s="4"/>
    </row>
    <row r="29" ht="15.75" customHeight="1">
      <c r="A29" s="9">
        <v>29.0</v>
      </c>
      <c r="B29" s="10">
        <v>3.2616368E7</v>
      </c>
      <c r="C29" s="10">
        <v>2500.0</v>
      </c>
      <c r="D29" s="10">
        <v>3.4999032089E10</v>
      </c>
      <c r="E29" s="10" t="s">
        <v>660</v>
      </c>
      <c r="F29" s="10" t="s">
        <v>32</v>
      </c>
      <c r="G29" s="10" t="s">
        <v>654</v>
      </c>
      <c r="H29" s="10" t="s">
        <v>655</v>
      </c>
      <c r="I29" s="10" t="s">
        <v>656</v>
      </c>
      <c r="J29" s="10"/>
      <c r="K29" s="10"/>
      <c r="L29" s="10"/>
      <c r="M29" s="10" t="s">
        <v>659</v>
      </c>
      <c r="N29" s="30">
        <v>45017.0</v>
      </c>
      <c r="O29" s="10">
        <f t="shared" si="1"/>
        <v>2</v>
      </c>
      <c r="P29" s="14"/>
      <c r="Q29" s="31" t="str">
        <f t="array" ref="Q29">XLOOKUP(C29,fichas_pdf[ap],fichas_pdf[tiene],"no tiene en pdf",0,1)</f>
        <v>no tiene en pdf</v>
      </c>
      <c r="R29" s="4"/>
      <c r="S29" s="4"/>
      <c r="T29" s="4"/>
      <c r="U29" s="4"/>
      <c r="V29" s="4"/>
      <c r="W29" s="4"/>
    </row>
    <row r="30" ht="15.75" customHeight="1">
      <c r="A30" s="5">
        <v>31.0</v>
      </c>
      <c r="B30" s="6">
        <v>4.324163E7</v>
      </c>
      <c r="C30" s="6">
        <v>2713.0</v>
      </c>
      <c r="D30" s="6">
        <v>3.4999032089E10</v>
      </c>
      <c r="E30" s="6" t="s">
        <v>660</v>
      </c>
      <c r="F30" s="6" t="s">
        <v>32</v>
      </c>
      <c r="G30" s="6" t="s">
        <v>654</v>
      </c>
      <c r="H30" s="6" t="s">
        <v>655</v>
      </c>
      <c r="I30" s="6" t="s">
        <v>656</v>
      </c>
      <c r="J30" s="6"/>
      <c r="K30" s="6"/>
      <c r="L30" s="6"/>
      <c r="M30" s="6" t="s">
        <v>659</v>
      </c>
      <c r="N30" s="28">
        <v>45078.0</v>
      </c>
      <c r="O30" s="6">
        <f t="shared" si="1"/>
        <v>2</v>
      </c>
      <c r="P30" s="7"/>
      <c r="Q30" s="29" t="str">
        <f t="array" ref="Q30">XLOOKUP(C30,fichas_pdf[ap],fichas_pdf[tiene],"no tiene en pdf",0,1)</f>
        <v>no tiene en pdf</v>
      </c>
      <c r="R30" s="4"/>
      <c r="S30" s="4"/>
      <c r="T30" s="4"/>
      <c r="U30" s="4"/>
      <c r="V30" s="4"/>
      <c r="W30" s="4"/>
    </row>
    <row r="31" ht="15.75" customHeight="1">
      <c r="A31" s="9">
        <v>32.0</v>
      </c>
      <c r="B31" s="10">
        <v>3.0440348E7</v>
      </c>
      <c r="C31" s="10">
        <v>766.0</v>
      </c>
      <c r="D31" s="10">
        <v>3.4999032089E10</v>
      </c>
      <c r="E31" s="10" t="s">
        <v>660</v>
      </c>
      <c r="F31" s="10" t="s">
        <v>32</v>
      </c>
      <c r="G31" s="10" t="s">
        <v>654</v>
      </c>
      <c r="H31" s="10" t="s">
        <v>655</v>
      </c>
      <c r="I31" s="10" t="s">
        <v>656</v>
      </c>
      <c r="J31" s="10"/>
      <c r="K31" s="10"/>
      <c r="L31" s="10"/>
      <c r="M31" s="10" t="s">
        <v>659</v>
      </c>
      <c r="N31" s="30">
        <v>42736.0</v>
      </c>
      <c r="O31" s="10">
        <f t="shared" si="1"/>
        <v>8</v>
      </c>
      <c r="P31" s="14"/>
      <c r="Q31" s="31" t="str">
        <f t="array" ref="Q31">XLOOKUP(C31,fichas_pdf[ap],fichas_pdf[tiene],"no tiene en pdf",0,1)</f>
        <v>no tiene en pdf</v>
      </c>
      <c r="R31" s="4"/>
      <c r="S31" s="4"/>
      <c r="T31" s="4"/>
      <c r="U31" s="4"/>
      <c r="V31" s="4"/>
      <c r="W31" s="4"/>
    </row>
    <row r="32" ht="15.75" customHeight="1">
      <c r="A32" s="5">
        <v>33.0</v>
      </c>
      <c r="B32" s="6">
        <v>3.0211914E7</v>
      </c>
      <c r="C32" s="6">
        <v>2290.0</v>
      </c>
      <c r="D32" s="6">
        <v>3.4999032089E10</v>
      </c>
      <c r="E32" s="6" t="s">
        <v>660</v>
      </c>
      <c r="F32" s="6" t="s">
        <v>32</v>
      </c>
      <c r="G32" s="6" t="s">
        <v>654</v>
      </c>
      <c r="H32" s="6" t="s">
        <v>655</v>
      </c>
      <c r="I32" s="6" t="s">
        <v>656</v>
      </c>
      <c r="J32" s="6"/>
      <c r="K32" s="6"/>
      <c r="L32" s="6"/>
      <c r="M32" s="6" t="s">
        <v>659</v>
      </c>
      <c r="N32" s="28">
        <v>45034.0</v>
      </c>
      <c r="O32" s="6">
        <f t="shared" si="1"/>
        <v>2</v>
      </c>
      <c r="P32" s="7"/>
      <c r="Q32" s="29" t="str">
        <f t="array" ref="Q32">XLOOKUP(C32,fichas_pdf[ap],fichas_pdf[tiene],"no tiene en pdf",0,1)</f>
        <v>no tiene en pdf</v>
      </c>
      <c r="R32" s="4"/>
      <c r="S32" s="4"/>
      <c r="T32" s="4"/>
      <c r="U32" s="4"/>
      <c r="V32" s="4"/>
      <c r="W32" s="4"/>
    </row>
    <row r="33" ht="15.75" customHeight="1">
      <c r="A33" s="9">
        <v>34.0</v>
      </c>
      <c r="B33" s="10">
        <v>4.0873767E7</v>
      </c>
      <c r="C33" s="14">
        <v>2376.0</v>
      </c>
      <c r="D33" s="10">
        <v>3.4999032089E10</v>
      </c>
      <c r="E33" s="10" t="s">
        <v>660</v>
      </c>
      <c r="F33" s="10" t="s">
        <v>32</v>
      </c>
      <c r="G33" s="10" t="s">
        <v>654</v>
      </c>
      <c r="H33" s="10" t="s">
        <v>655</v>
      </c>
      <c r="I33" s="10" t="s">
        <v>656</v>
      </c>
      <c r="J33" s="10"/>
      <c r="K33" s="10"/>
      <c r="L33" s="10"/>
      <c r="M33" s="10" t="s">
        <v>659</v>
      </c>
      <c r="N33" s="30">
        <v>45020.0</v>
      </c>
      <c r="O33" s="10">
        <f t="shared" si="1"/>
        <v>2</v>
      </c>
      <c r="P33" s="14"/>
      <c r="Q33" s="31" t="str">
        <f t="array" ref="Q33">XLOOKUP(C33,fichas_pdf[ap],fichas_pdf[tiene],"no tiene en pdf",0,1)</f>
        <v>no tiene en pdf</v>
      </c>
      <c r="R33" s="4"/>
      <c r="S33" s="4"/>
      <c r="T33" s="4"/>
      <c r="U33" s="4"/>
      <c r="V33" s="4"/>
      <c r="W33" s="4"/>
    </row>
    <row r="34" ht="15.75" customHeight="1">
      <c r="A34" s="5">
        <v>35.0</v>
      </c>
      <c r="B34" s="6">
        <v>9.4075255E7</v>
      </c>
      <c r="C34" s="7">
        <v>3106.0</v>
      </c>
      <c r="D34" s="6">
        <v>3.4999032089E10</v>
      </c>
      <c r="E34" s="6" t="s">
        <v>662</v>
      </c>
      <c r="F34" s="6" t="s">
        <v>32</v>
      </c>
      <c r="G34" s="6" t="s">
        <v>654</v>
      </c>
      <c r="H34" s="6" t="s">
        <v>655</v>
      </c>
      <c r="I34" s="6" t="s">
        <v>656</v>
      </c>
      <c r="J34" s="6"/>
      <c r="K34" s="6"/>
      <c r="L34" s="6"/>
      <c r="M34" s="6" t="s">
        <v>659</v>
      </c>
      <c r="N34" s="32">
        <v>45290.0</v>
      </c>
      <c r="O34" s="6">
        <f t="shared" si="1"/>
        <v>2</v>
      </c>
      <c r="P34" s="7"/>
      <c r="Q34" s="29" t="str">
        <f t="array" ref="Q34">XLOOKUP(C34,fichas_pdf[ap],fichas_pdf[tiene],"no tiene en pdf",0,1)</f>
        <v>no tiene en pdf</v>
      </c>
      <c r="R34" s="4"/>
      <c r="S34" s="4"/>
      <c r="T34" s="4"/>
      <c r="U34" s="4"/>
      <c r="V34" s="4"/>
      <c r="W34" s="4"/>
    </row>
    <row r="35" ht="15.75" customHeight="1">
      <c r="A35" s="9">
        <v>36.0</v>
      </c>
      <c r="B35" s="10">
        <v>2.9064893E7</v>
      </c>
      <c r="C35" s="10">
        <v>1677.0</v>
      </c>
      <c r="D35" s="10">
        <v>3.4999032089E10</v>
      </c>
      <c r="E35" s="10" t="s">
        <v>660</v>
      </c>
      <c r="F35" s="10" t="s">
        <v>32</v>
      </c>
      <c r="G35" s="10" t="s">
        <v>654</v>
      </c>
      <c r="H35" s="10" t="s">
        <v>655</v>
      </c>
      <c r="I35" s="10" t="s">
        <v>656</v>
      </c>
      <c r="J35" s="10"/>
      <c r="K35" s="10"/>
      <c r="L35" s="10"/>
      <c r="M35" s="10" t="s">
        <v>659</v>
      </c>
      <c r="N35" s="30">
        <v>43617.0</v>
      </c>
      <c r="O35" s="10">
        <f t="shared" si="1"/>
        <v>6</v>
      </c>
      <c r="P35" s="14"/>
      <c r="Q35" s="31">
        <f t="array" ref="Q35">XLOOKUP(C35,fichas_pdf[ap],fichas_pdf[tiene],"no tiene en pdf",0,1)</f>
        <v>1</v>
      </c>
      <c r="R35" s="4"/>
      <c r="S35" s="4"/>
      <c r="T35" s="4"/>
      <c r="U35" s="4"/>
      <c r="V35" s="4"/>
      <c r="W35" s="4"/>
    </row>
    <row r="36" ht="15.75" customHeight="1">
      <c r="A36" s="5">
        <v>37.0</v>
      </c>
      <c r="B36" s="6">
        <v>3.929475E7</v>
      </c>
      <c r="C36" s="6">
        <v>211.0</v>
      </c>
      <c r="D36" s="6">
        <v>3.4999032089E10</v>
      </c>
      <c r="E36" s="6"/>
      <c r="F36" s="6"/>
      <c r="G36" s="6"/>
      <c r="H36" s="6" t="s">
        <v>655</v>
      </c>
      <c r="I36" s="6" t="s">
        <v>656</v>
      </c>
      <c r="J36" s="6"/>
      <c r="K36" s="6"/>
      <c r="L36" s="6"/>
      <c r="M36" s="6" t="s">
        <v>663</v>
      </c>
      <c r="N36" s="28">
        <v>42795.0</v>
      </c>
      <c r="O36" s="6">
        <f t="shared" si="1"/>
        <v>8</v>
      </c>
      <c r="P36" s="7"/>
      <c r="Q36" s="29" t="str">
        <f t="array" ref="Q36">XLOOKUP(C36,fichas_pdf[ap],fichas_pdf[tiene],"no tiene en pdf",0,1)</f>
        <v>no tiene en pdf</v>
      </c>
      <c r="R36" s="4"/>
      <c r="S36" s="4"/>
      <c r="T36" s="4"/>
      <c r="U36" s="4"/>
      <c r="V36" s="4"/>
      <c r="W36" s="4"/>
    </row>
    <row r="37" ht="15.75" customHeight="1">
      <c r="A37" s="9">
        <v>38.0</v>
      </c>
      <c r="B37" s="10">
        <v>3.7388128E7</v>
      </c>
      <c r="C37" s="10">
        <v>1112.0</v>
      </c>
      <c r="D37" s="10">
        <v>3.4999032089E10</v>
      </c>
      <c r="E37" s="10"/>
      <c r="F37" s="10"/>
      <c r="G37" s="10"/>
      <c r="H37" s="10" t="s">
        <v>655</v>
      </c>
      <c r="I37" s="10" t="s">
        <v>656</v>
      </c>
      <c r="J37" s="10"/>
      <c r="K37" s="10"/>
      <c r="L37" s="10"/>
      <c r="M37" s="10" t="s">
        <v>664</v>
      </c>
      <c r="N37" s="30">
        <v>42948.0</v>
      </c>
      <c r="O37" s="10">
        <f t="shared" si="1"/>
        <v>8</v>
      </c>
      <c r="P37" s="14"/>
      <c r="Q37" s="31" t="str">
        <f t="array" ref="Q37">XLOOKUP(C37,fichas_pdf[ap],fichas_pdf[tiene],"no tiene en pdf",0,1)</f>
        <v>no tiene en pdf</v>
      </c>
      <c r="R37" s="4"/>
      <c r="S37" s="4"/>
      <c r="T37" s="4"/>
      <c r="U37" s="4"/>
      <c r="V37" s="4"/>
      <c r="W37" s="4"/>
    </row>
    <row r="38" ht="15.75" customHeight="1">
      <c r="A38" s="5">
        <v>39.0</v>
      </c>
      <c r="B38" s="6">
        <v>3.6848082E7</v>
      </c>
      <c r="C38" s="6">
        <v>1679.0</v>
      </c>
      <c r="D38" s="6">
        <v>3.4999032089E10</v>
      </c>
      <c r="E38" s="6"/>
      <c r="F38" s="6"/>
      <c r="G38" s="6"/>
      <c r="H38" s="6" t="s">
        <v>655</v>
      </c>
      <c r="I38" s="6" t="s">
        <v>656</v>
      </c>
      <c r="J38" s="6"/>
      <c r="K38" s="6"/>
      <c r="L38" s="6"/>
      <c r="M38" s="6" t="s">
        <v>664</v>
      </c>
      <c r="N38" s="28">
        <v>41598.0</v>
      </c>
      <c r="O38" s="6">
        <f t="shared" si="1"/>
        <v>12</v>
      </c>
      <c r="P38" s="7">
        <v>1.0</v>
      </c>
      <c r="Q38" s="34" t="str">
        <f t="array" ref="Q38">XLOOKUP(C38,fichas_pdf[ap],fichas_pdf[tiene],"no tiene en pdf",0,1)</f>
        <v>no tiene en pdf</v>
      </c>
      <c r="R38" s="4"/>
      <c r="S38" s="4"/>
      <c r="T38" s="4"/>
      <c r="U38" s="4"/>
      <c r="V38" s="4"/>
      <c r="W38" s="4"/>
    </row>
    <row r="39" ht="15.75" customHeight="1">
      <c r="A39" s="9">
        <v>40.0</v>
      </c>
      <c r="B39" s="10">
        <v>3.140378E7</v>
      </c>
      <c r="C39" s="10">
        <v>729.0</v>
      </c>
      <c r="D39" s="10">
        <v>3.4999032089E10</v>
      </c>
      <c r="E39" s="10"/>
      <c r="F39" s="10"/>
      <c r="G39" s="10"/>
      <c r="H39" s="10" t="s">
        <v>655</v>
      </c>
      <c r="I39" s="10" t="s">
        <v>656</v>
      </c>
      <c r="J39" s="10"/>
      <c r="K39" s="10"/>
      <c r="L39" s="10"/>
      <c r="M39" s="10" t="s">
        <v>664</v>
      </c>
      <c r="N39" s="30">
        <v>42948.0</v>
      </c>
      <c r="O39" s="10">
        <f t="shared" si="1"/>
        <v>8</v>
      </c>
      <c r="P39" s="14"/>
      <c r="Q39" s="31" t="str">
        <f t="array" ref="Q39">XLOOKUP(C39,fichas_pdf[ap],fichas_pdf[tiene],"no tiene en pdf",0,1)</f>
        <v>no tiene en pdf</v>
      </c>
      <c r="R39" s="4"/>
      <c r="S39" s="4"/>
      <c r="T39" s="4"/>
      <c r="U39" s="4"/>
      <c r="V39" s="4"/>
      <c r="W39" s="4"/>
    </row>
    <row r="40" ht="15.75" customHeight="1">
      <c r="A40" s="5">
        <v>41.0</v>
      </c>
      <c r="B40" s="6">
        <v>4.1917769E7</v>
      </c>
      <c r="C40" s="6">
        <v>1923.0</v>
      </c>
      <c r="D40" s="6">
        <v>3.4999032089E10</v>
      </c>
      <c r="E40" s="6"/>
      <c r="F40" s="6"/>
      <c r="G40" s="6"/>
      <c r="H40" s="6" t="s">
        <v>655</v>
      </c>
      <c r="I40" s="6" t="s">
        <v>656</v>
      </c>
      <c r="J40" s="6"/>
      <c r="K40" s="6"/>
      <c r="L40" s="6"/>
      <c r="M40" s="6" t="s">
        <v>664</v>
      </c>
      <c r="N40" s="28">
        <v>44713.0</v>
      </c>
      <c r="O40" s="6">
        <f t="shared" si="1"/>
        <v>3</v>
      </c>
      <c r="P40" s="7"/>
      <c r="Q40" s="29">
        <f t="array" ref="Q40">XLOOKUP(C40,fichas_pdf[ap],fichas_pdf[tiene],"no tiene en pdf",0,1)</f>
        <v>1</v>
      </c>
      <c r="R40" s="4"/>
      <c r="S40" s="4"/>
      <c r="T40" s="4"/>
      <c r="U40" s="4"/>
      <c r="V40" s="4"/>
      <c r="W40" s="4"/>
    </row>
    <row r="41" ht="15.75" customHeight="1">
      <c r="A41" s="9">
        <v>42.0</v>
      </c>
      <c r="B41" s="10">
        <v>2.2826482E7</v>
      </c>
      <c r="C41" s="10">
        <v>130.0</v>
      </c>
      <c r="D41" s="10">
        <v>3.4999032089E10</v>
      </c>
      <c r="E41" s="10"/>
      <c r="F41" s="10"/>
      <c r="G41" s="10"/>
      <c r="H41" s="10" t="s">
        <v>655</v>
      </c>
      <c r="I41" s="10" t="s">
        <v>656</v>
      </c>
      <c r="J41" s="10"/>
      <c r="K41" s="10"/>
      <c r="L41" s="10"/>
      <c r="M41" s="10" t="s">
        <v>663</v>
      </c>
      <c r="N41" s="30">
        <v>42675.0</v>
      </c>
      <c r="O41" s="10">
        <f t="shared" si="1"/>
        <v>9</v>
      </c>
      <c r="P41" s="14"/>
      <c r="Q41" s="31" t="str">
        <f t="array" ref="Q41">XLOOKUP(C41,fichas_pdf[ap],fichas_pdf[tiene],"no tiene en pdf",0,1)</f>
        <v>no tiene en pdf</v>
      </c>
      <c r="R41" s="4"/>
      <c r="S41" s="4"/>
      <c r="T41" s="4"/>
      <c r="U41" s="4"/>
      <c r="V41" s="4"/>
      <c r="W41" s="4"/>
    </row>
    <row r="42" ht="15.75" customHeight="1">
      <c r="A42" s="5">
        <v>43.0</v>
      </c>
      <c r="B42" s="6">
        <v>3.7060301E7</v>
      </c>
      <c r="C42" s="6">
        <v>2883.0</v>
      </c>
      <c r="D42" s="6">
        <v>3.4999032089E10</v>
      </c>
      <c r="E42" s="6"/>
      <c r="F42" s="6"/>
      <c r="G42" s="6"/>
      <c r="H42" s="6" t="s">
        <v>655</v>
      </c>
      <c r="I42" s="6" t="s">
        <v>656</v>
      </c>
      <c r="J42" s="6"/>
      <c r="K42" s="6"/>
      <c r="L42" s="6"/>
      <c r="M42" s="6" t="s">
        <v>664</v>
      </c>
      <c r="N42" s="28"/>
      <c r="O42" s="6">
        <f t="shared" si="1"/>
        <v>126</v>
      </c>
      <c r="P42" s="7"/>
      <c r="Q42" s="29">
        <f t="array" ref="Q42">XLOOKUP(C42,fichas_pdf[ap],fichas_pdf[tiene],"no tiene en pdf",0,1)</f>
        <v>1</v>
      </c>
      <c r="R42" s="4"/>
      <c r="S42" s="4"/>
      <c r="T42" s="4"/>
      <c r="U42" s="4"/>
      <c r="V42" s="4"/>
      <c r="W42" s="4"/>
    </row>
    <row r="43" ht="15.75" customHeight="1">
      <c r="A43" s="9">
        <v>44.0</v>
      </c>
      <c r="B43" s="10">
        <v>2.1130792E7</v>
      </c>
      <c r="C43" s="10">
        <v>1579.0</v>
      </c>
      <c r="D43" s="10">
        <v>3.4999032089E10</v>
      </c>
      <c r="E43" s="10"/>
      <c r="F43" s="10"/>
      <c r="G43" s="10"/>
      <c r="H43" s="10" t="s">
        <v>655</v>
      </c>
      <c r="I43" s="10" t="s">
        <v>656</v>
      </c>
      <c r="J43" s="10"/>
      <c r="K43" s="10"/>
      <c r="L43" s="10"/>
      <c r="M43" s="10" t="s">
        <v>664</v>
      </c>
      <c r="N43" s="30">
        <v>43497.0</v>
      </c>
      <c r="O43" s="10">
        <f t="shared" si="1"/>
        <v>6</v>
      </c>
      <c r="P43" s="14"/>
      <c r="Q43" s="31" t="str">
        <f t="array" ref="Q43">XLOOKUP(C43,fichas_pdf[ap],fichas_pdf[tiene],"no tiene en pdf",0,1)</f>
        <v>no tiene en pdf</v>
      </c>
      <c r="R43" s="4"/>
      <c r="S43" s="4"/>
      <c r="T43" s="4"/>
      <c r="U43" s="4"/>
      <c r="V43" s="4"/>
      <c r="W43" s="4"/>
    </row>
    <row r="44" ht="15.75" customHeight="1">
      <c r="A44" s="5">
        <v>45.0</v>
      </c>
      <c r="B44" s="6">
        <v>2.4033237E7</v>
      </c>
      <c r="C44" s="6">
        <v>303.0</v>
      </c>
      <c r="D44" s="6">
        <v>3.4999032089E10</v>
      </c>
      <c r="E44" s="6"/>
      <c r="F44" s="6"/>
      <c r="G44" s="6"/>
      <c r="H44" s="6" t="s">
        <v>655</v>
      </c>
      <c r="I44" s="6" t="s">
        <v>656</v>
      </c>
      <c r="J44" s="6"/>
      <c r="K44" s="6"/>
      <c r="L44" s="6"/>
      <c r="M44" s="6" t="s">
        <v>665</v>
      </c>
      <c r="N44" s="28">
        <v>42983.0</v>
      </c>
      <c r="O44" s="6">
        <f t="shared" si="1"/>
        <v>8</v>
      </c>
      <c r="P44" s="7"/>
      <c r="Q44" s="29" t="str">
        <f t="array" ref="Q44">XLOOKUP(C44,fichas_pdf[ap],fichas_pdf[tiene],"no tiene en pdf",0,1)</f>
        <v>no tiene en pdf</v>
      </c>
      <c r="R44" s="4"/>
      <c r="S44" s="4"/>
      <c r="T44" s="4"/>
      <c r="U44" s="4"/>
      <c r="V44" s="4"/>
      <c r="W44" s="4"/>
    </row>
    <row r="45" ht="15.75" customHeight="1">
      <c r="A45" s="9">
        <v>46.0</v>
      </c>
      <c r="B45" s="10">
        <v>2.2656778E7</v>
      </c>
      <c r="C45" s="10">
        <v>1116.0</v>
      </c>
      <c r="D45" s="10">
        <v>3.4999032089E10</v>
      </c>
      <c r="E45" s="10"/>
      <c r="F45" s="10"/>
      <c r="G45" s="10"/>
      <c r="H45" s="10" t="s">
        <v>655</v>
      </c>
      <c r="I45" s="10" t="s">
        <v>656</v>
      </c>
      <c r="J45" s="10"/>
      <c r="K45" s="10"/>
      <c r="L45" s="10"/>
      <c r="M45" s="10" t="s">
        <v>664</v>
      </c>
      <c r="N45" s="30">
        <v>42954.0</v>
      </c>
      <c r="O45" s="10">
        <f t="shared" si="1"/>
        <v>8</v>
      </c>
      <c r="P45" s="14"/>
      <c r="Q45" s="31">
        <f t="array" ref="Q45">XLOOKUP(C45,fichas_pdf[ap],fichas_pdf[tiene],"no tiene en pdf",0,1)</f>
        <v>1</v>
      </c>
      <c r="R45" s="4"/>
      <c r="S45" s="4"/>
      <c r="T45" s="4"/>
      <c r="U45" s="4"/>
      <c r="V45" s="4"/>
      <c r="W45" s="4"/>
    </row>
    <row r="46" ht="15.75" customHeight="1">
      <c r="A46" s="5">
        <v>47.0</v>
      </c>
      <c r="B46" s="6">
        <v>3.5353668E7</v>
      </c>
      <c r="C46" s="6">
        <v>1640.0</v>
      </c>
      <c r="D46" s="6">
        <v>3.4999032089E10</v>
      </c>
      <c r="E46" s="6"/>
      <c r="F46" s="6"/>
      <c r="G46" s="6"/>
      <c r="H46" s="6" t="s">
        <v>655</v>
      </c>
      <c r="I46" s="6" t="s">
        <v>656</v>
      </c>
      <c r="J46" s="6"/>
      <c r="K46" s="6"/>
      <c r="L46" s="6"/>
      <c r="M46" s="6" t="s">
        <v>664</v>
      </c>
      <c r="N46" s="28">
        <v>43525.0</v>
      </c>
      <c r="O46" s="6">
        <f t="shared" si="1"/>
        <v>6</v>
      </c>
      <c r="P46" s="7">
        <v>1.0</v>
      </c>
      <c r="Q46" s="34" t="str">
        <f t="array" ref="Q46">XLOOKUP(C46,fichas_pdf[ap],fichas_pdf[tiene],"no tiene en pdf",0,1)</f>
        <v>no tiene en pdf</v>
      </c>
      <c r="R46" s="4"/>
      <c r="S46" s="4"/>
      <c r="T46" s="4"/>
      <c r="U46" s="4"/>
      <c r="V46" s="4"/>
      <c r="W46" s="4"/>
    </row>
    <row r="47" ht="15.75" customHeight="1">
      <c r="A47" s="9">
        <v>48.0</v>
      </c>
      <c r="B47" s="10">
        <v>2.2982124E7</v>
      </c>
      <c r="C47" s="10">
        <v>1849.0</v>
      </c>
      <c r="D47" s="10">
        <v>3.4999032089E10</v>
      </c>
      <c r="E47" s="10"/>
      <c r="F47" s="10"/>
      <c r="G47" s="10"/>
      <c r="H47" s="10" t="s">
        <v>655</v>
      </c>
      <c r="I47" s="10" t="s">
        <v>656</v>
      </c>
      <c r="J47" s="10"/>
      <c r="K47" s="10"/>
      <c r="L47" s="10"/>
      <c r="M47" s="10" t="s">
        <v>664</v>
      </c>
      <c r="N47" s="30">
        <v>44319.0</v>
      </c>
      <c r="O47" s="10">
        <f t="shared" si="1"/>
        <v>4</v>
      </c>
      <c r="P47" s="14"/>
      <c r="Q47" s="31" t="str">
        <f t="array" ref="Q47">XLOOKUP(C47,fichas_pdf[ap],fichas_pdf[tiene],"no tiene en pdf",0,1)</f>
        <v>no tiene en pdf</v>
      </c>
      <c r="R47" s="4"/>
      <c r="S47" s="4"/>
      <c r="T47" s="4"/>
      <c r="U47" s="4"/>
      <c r="V47" s="4"/>
      <c r="W47" s="4"/>
    </row>
    <row r="48" ht="15.75" customHeight="1">
      <c r="A48" s="5">
        <v>50.0</v>
      </c>
      <c r="B48" s="6">
        <v>2.1981832E7</v>
      </c>
      <c r="C48" s="6">
        <v>2447.0</v>
      </c>
      <c r="D48" s="6">
        <v>3.4999032089E10</v>
      </c>
      <c r="E48" s="6"/>
      <c r="F48" s="6"/>
      <c r="G48" s="6"/>
      <c r="H48" s="6" t="s">
        <v>655</v>
      </c>
      <c r="I48" s="6" t="s">
        <v>656</v>
      </c>
      <c r="J48" s="6"/>
      <c r="K48" s="6"/>
      <c r="L48" s="6"/>
      <c r="M48" s="6" t="s">
        <v>664</v>
      </c>
      <c r="N48" s="28"/>
      <c r="O48" s="6">
        <f t="shared" si="1"/>
        <v>126</v>
      </c>
      <c r="P48" s="7"/>
      <c r="Q48" s="29" t="str">
        <f t="array" ref="Q48">XLOOKUP(C48,fichas_pdf[ap],fichas_pdf[tiene],"no tiene en pdf",0,1)</f>
        <v>no tiene en pdf</v>
      </c>
      <c r="R48" s="4"/>
      <c r="S48" s="4"/>
      <c r="T48" s="4"/>
      <c r="U48" s="4"/>
      <c r="V48" s="4"/>
      <c r="W48" s="4"/>
    </row>
    <row r="49" ht="15.75" customHeight="1">
      <c r="A49" s="9">
        <v>51.0</v>
      </c>
      <c r="B49" s="10">
        <v>4.1639943E7</v>
      </c>
      <c r="C49" s="10">
        <v>2449.0</v>
      </c>
      <c r="D49" s="10">
        <v>3.4999032089E10</v>
      </c>
      <c r="E49" s="10"/>
      <c r="F49" s="10"/>
      <c r="G49" s="10"/>
      <c r="H49" s="10" t="s">
        <v>655</v>
      </c>
      <c r="I49" s="10" t="s">
        <v>656</v>
      </c>
      <c r="J49" s="10"/>
      <c r="K49" s="10"/>
      <c r="L49" s="10"/>
      <c r="M49" s="10" t="s">
        <v>664</v>
      </c>
      <c r="N49" s="30"/>
      <c r="O49" s="10">
        <f t="shared" si="1"/>
        <v>126</v>
      </c>
      <c r="P49" s="14"/>
      <c r="Q49" s="31" t="str">
        <f t="array" ref="Q49">XLOOKUP(C49,fichas_pdf[ap],fichas_pdf[tiene],"no tiene en pdf",0,1)</f>
        <v>no tiene en pdf</v>
      </c>
      <c r="R49" s="4"/>
      <c r="S49" s="4"/>
      <c r="T49" s="4"/>
      <c r="U49" s="4"/>
      <c r="V49" s="4"/>
      <c r="W49" s="4"/>
    </row>
    <row r="50" ht="15.75" customHeight="1">
      <c r="A50" s="5">
        <v>52.0</v>
      </c>
      <c r="B50" s="6">
        <v>3.2404463E7</v>
      </c>
      <c r="C50" s="6"/>
      <c r="D50" s="6">
        <v>3.4999032089E10</v>
      </c>
      <c r="E50" s="6"/>
      <c r="F50" s="6"/>
      <c r="G50" s="6"/>
      <c r="H50" s="6" t="s">
        <v>655</v>
      </c>
      <c r="I50" s="6" t="s">
        <v>656</v>
      </c>
      <c r="J50" s="6"/>
      <c r="K50" s="6"/>
      <c r="L50" s="6"/>
      <c r="M50" s="6" t="s">
        <v>666</v>
      </c>
      <c r="N50" s="28"/>
      <c r="O50" s="6">
        <f t="shared" si="1"/>
        <v>126</v>
      </c>
      <c r="P50" s="7"/>
      <c r="Q50" s="29" t="str">
        <f t="array" ref="Q50">XLOOKUP(C50,fichas_pdf[ap],fichas_pdf[tiene],"no tiene en pdf",0,1)</f>
        <v>no tiene en pdf</v>
      </c>
      <c r="R50" s="4"/>
      <c r="S50" s="4"/>
      <c r="T50" s="4"/>
      <c r="U50" s="4"/>
      <c r="V50" s="4"/>
      <c r="W50" s="4"/>
    </row>
    <row r="51" ht="15.75" customHeight="1">
      <c r="A51" s="9">
        <v>53.0</v>
      </c>
      <c r="B51" s="10">
        <v>3.6786519E7</v>
      </c>
      <c r="C51" s="10">
        <v>2776.0</v>
      </c>
      <c r="D51" s="10">
        <v>3.4999032089E10</v>
      </c>
      <c r="E51" s="10"/>
      <c r="F51" s="10"/>
      <c r="G51" s="10"/>
      <c r="H51" s="10" t="s">
        <v>655</v>
      </c>
      <c r="I51" s="10" t="s">
        <v>656</v>
      </c>
      <c r="J51" s="10"/>
      <c r="K51" s="10"/>
      <c r="L51" s="10"/>
      <c r="M51" s="10" t="s">
        <v>666</v>
      </c>
      <c r="N51" s="30"/>
      <c r="O51" s="10">
        <f t="shared" si="1"/>
        <v>126</v>
      </c>
      <c r="P51" s="14"/>
      <c r="Q51" s="31" t="str">
        <f t="array" ref="Q51">XLOOKUP(C51,fichas_pdf[ap],fichas_pdf[tiene],"no tiene en pdf",0,1)</f>
        <v>no tiene en pdf</v>
      </c>
      <c r="R51" s="4"/>
      <c r="S51" s="4"/>
      <c r="T51" s="4"/>
      <c r="U51" s="4"/>
      <c r="V51" s="4"/>
      <c r="W51" s="4"/>
    </row>
    <row r="52" ht="15.75" customHeight="1">
      <c r="A52" s="5">
        <v>54.0</v>
      </c>
      <c r="B52" s="6">
        <v>3.7036332E7</v>
      </c>
      <c r="C52" s="6">
        <v>1644.0</v>
      </c>
      <c r="D52" s="6">
        <v>3.4999032089E10</v>
      </c>
      <c r="E52" s="6"/>
      <c r="F52" s="6"/>
      <c r="G52" s="6"/>
      <c r="H52" s="6" t="s">
        <v>655</v>
      </c>
      <c r="I52" s="6" t="s">
        <v>656</v>
      </c>
      <c r="J52" s="6"/>
      <c r="K52" s="6"/>
      <c r="L52" s="6"/>
      <c r="M52" s="6" t="s">
        <v>664</v>
      </c>
      <c r="N52" s="28">
        <v>43525.0</v>
      </c>
      <c r="O52" s="6">
        <f t="shared" si="1"/>
        <v>6</v>
      </c>
      <c r="P52" s="7"/>
      <c r="Q52" s="29">
        <f t="array" ref="Q52">XLOOKUP(C52,fichas_pdf[ap],fichas_pdf[tiene],"no tiene en pdf",0,1)</f>
        <v>1</v>
      </c>
      <c r="R52" s="4"/>
      <c r="S52" s="4"/>
      <c r="T52" s="4"/>
      <c r="U52" s="4"/>
      <c r="V52" s="4"/>
      <c r="W52" s="4"/>
    </row>
    <row r="53" ht="15.75" customHeight="1">
      <c r="A53" s="9">
        <v>55.0</v>
      </c>
      <c r="B53" s="10">
        <v>4.4364634E7</v>
      </c>
      <c r="C53" s="10">
        <v>2463.0</v>
      </c>
      <c r="D53" s="10">
        <v>3.4999032089E10</v>
      </c>
      <c r="E53" s="10"/>
      <c r="F53" s="10"/>
      <c r="G53" s="10"/>
      <c r="H53" s="10" t="s">
        <v>655</v>
      </c>
      <c r="I53" s="10" t="s">
        <v>656</v>
      </c>
      <c r="J53" s="10"/>
      <c r="K53" s="10"/>
      <c r="L53" s="10"/>
      <c r="M53" s="10" t="s">
        <v>664</v>
      </c>
      <c r="N53" s="30"/>
      <c r="O53" s="10">
        <f t="shared" si="1"/>
        <v>126</v>
      </c>
      <c r="P53" s="14"/>
      <c r="Q53" s="31" t="str">
        <f t="array" ref="Q53">XLOOKUP(C53,fichas_pdf[ap],fichas_pdf[tiene],"no tiene en pdf",0,1)</f>
        <v>no tiene en pdf</v>
      </c>
      <c r="R53" s="4"/>
      <c r="S53" s="4"/>
      <c r="T53" s="4"/>
      <c r="U53" s="4"/>
      <c r="V53" s="4"/>
      <c r="W53" s="4"/>
    </row>
    <row r="54" ht="15.75" customHeight="1">
      <c r="A54" s="5">
        <v>56.0</v>
      </c>
      <c r="B54" s="6">
        <v>4.1263312E7</v>
      </c>
      <c r="C54" s="6">
        <v>2267.0</v>
      </c>
      <c r="D54" s="6">
        <v>3.4999032089E10</v>
      </c>
      <c r="E54" s="6"/>
      <c r="F54" s="6"/>
      <c r="G54" s="6"/>
      <c r="H54" s="6" t="s">
        <v>655</v>
      </c>
      <c r="I54" s="6" t="s">
        <v>656</v>
      </c>
      <c r="J54" s="6"/>
      <c r="K54" s="6"/>
      <c r="L54" s="6"/>
      <c r="M54" s="6" t="s">
        <v>664</v>
      </c>
      <c r="N54" s="28"/>
      <c r="O54" s="6">
        <f t="shared" si="1"/>
        <v>126</v>
      </c>
      <c r="P54" s="7"/>
      <c r="Q54" s="29">
        <f t="array" ref="Q54">XLOOKUP(C54,fichas_pdf[ap],fichas_pdf[tiene],"no tiene en pdf",0,1)</f>
        <v>1</v>
      </c>
      <c r="R54" s="4"/>
      <c r="S54" s="4"/>
      <c r="T54" s="4"/>
      <c r="U54" s="4"/>
      <c r="V54" s="4"/>
      <c r="W54" s="4"/>
    </row>
    <row r="55" ht="15.75" customHeight="1">
      <c r="A55" s="9">
        <v>57.0</v>
      </c>
      <c r="B55" s="10">
        <v>4.258637E7</v>
      </c>
      <c r="C55" s="10">
        <v>1645.0</v>
      </c>
      <c r="D55" s="10">
        <v>3.4999032089E10</v>
      </c>
      <c r="E55" s="10"/>
      <c r="F55" s="10"/>
      <c r="G55" s="10"/>
      <c r="H55" s="10" t="s">
        <v>655</v>
      </c>
      <c r="I55" s="10" t="s">
        <v>656</v>
      </c>
      <c r="J55" s="10"/>
      <c r="K55" s="10"/>
      <c r="L55" s="10"/>
      <c r="M55" s="10" t="s">
        <v>664</v>
      </c>
      <c r="N55" s="33">
        <v>43556.0</v>
      </c>
      <c r="O55" s="10">
        <f t="shared" si="1"/>
        <v>6</v>
      </c>
      <c r="P55" s="14"/>
      <c r="Q55" s="31">
        <f t="array" ref="Q55">XLOOKUP(C55,fichas_pdf[ap],fichas_pdf[tiene],"no tiene en pdf",0,1)</f>
        <v>1</v>
      </c>
      <c r="R55" s="4"/>
      <c r="S55" s="4"/>
      <c r="T55" s="4"/>
      <c r="U55" s="4"/>
      <c r="V55" s="4"/>
      <c r="W55" s="4"/>
    </row>
    <row r="56" ht="15.75" customHeight="1">
      <c r="A56" s="5">
        <v>58.0</v>
      </c>
      <c r="B56" s="6">
        <v>4.0748856E7</v>
      </c>
      <c r="C56" s="6">
        <v>1241.0</v>
      </c>
      <c r="D56" s="6">
        <v>3.4999032089E10</v>
      </c>
      <c r="E56" s="6"/>
      <c r="F56" s="6"/>
      <c r="G56" s="6"/>
      <c r="H56" s="6" t="s">
        <v>655</v>
      </c>
      <c r="I56" s="6" t="s">
        <v>656</v>
      </c>
      <c r="J56" s="6"/>
      <c r="K56" s="6"/>
      <c r="L56" s="6"/>
      <c r="M56" s="6" t="s">
        <v>664</v>
      </c>
      <c r="N56" s="28">
        <v>43110.0</v>
      </c>
      <c r="O56" s="6">
        <f t="shared" si="1"/>
        <v>7</v>
      </c>
      <c r="P56" s="7">
        <v>1.0</v>
      </c>
      <c r="Q56" s="34" t="str">
        <f t="array" ref="Q56">XLOOKUP(C56,fichas_pdf[ap],fichas_pdf[tiene],"no tiene en pdf",0,1)</f>
        <v>no tiene en pdf</v>
      </c>
      <c r="R56" s="4"/>
      <c r="S56" s="4"/>
      <c r="T56" s="4"/>
      <c r="U56" s="4"/>
      <c r="V56" s="4"/>
      <c r="W56" s="4"/>
    </row>
    <row r="57" ht="15.75" customHeight="1">
      <c r="A57" s="9">
        <v>59.0</v>
      </c>
      <c r="B57" s="10">
        <v>1.8205196E7</v>
      </c>
      <c r="C57" s="10">
        <v>111.0</v>
      </c>
      <c r="D57" s="10">
        <v>3.4999032089E10</v>
      </c>
      <c r="E57" s="10"/>
      <c r="F57" s="10"/>
      <c r="G57" s="10"/>
      <c r="H57" s="10" t="s">
        <v>655</v>
      </c>
      <c r="I57" s="10" t="s">
        <v>656</v>
      </c>
      <c r="J57" s="10"/>
      <c r="K57" s="10"/>
      <c r="L57" s="10"/>
      <c r="M57" s="10" t="s">
        <v>663</v>
      </c>
      <c r="N57" s="30">
        <v>41122.0</v>
      </c>
      <c r="O57" s="10">
        <f t="shared" si="1"/>
        <v>13</v>
      </c>
      <c r="P57" s="14">
        <v>1.0</v>
      </c>
      <c r="Q57" s="31" t="str">
        <f t="array" ref="Q57">XLOOKUP(C57,fichas_pdf[ap],fichas_pdf[tiene],"no tiene en pdf",0,1)</f>
        <v>no tiene en pdf</v>
      </c>
      <c r="R57" s="4"/>
      <c r="S57" s="4"/>
      <c r="T57" s="4"/>
      <c r="U57" s="4"/>
      <c r="V57" s="4"/>
      <c r="W57" s="4"/>
    </row>
    <row r="58" ht="15.75" customHeight="1">
      <c r="A58" s="5">
        <v>60.0</v>
      </c>
      <c r="B58" s="6">
        <v>3.4871654E7</v>
      </c>
      <c r="C58" s="6">
        <v>2785.0</v>
      </c>
      <c r="D58" s="6">
        <v>3.4999032089E10</v>
      </c>
      <c r="E58" s="6"/>
      <c r="F58" s="6"/>
      <c r="G58" s="6"/>
      <c r="H58" s="6" t="s">
        <v>655</v>
      </c>
      <c r="I58" s="6" t="s">
        <v>656</v>
      </c>
      <c r="J58" s="6"/>
      <c r="K58" s="6"/>
      <c r="L58" s="6"/>
      <c r="M58" s="6" t="s">
        <v>664</v>
      </c>
      <c r="N58" s="28">
        <v>45111.0</v>
      </c>
      <c r="O58" s="6">
        <f t="shared" si="1"/>
        <v>2</v>
      </c>
      <c r="P58" s="7"/>
      <c r="Q58" s="29" t="str">
        <f t="array" ref="Q58">XLOOKUP(C58,fichas_pdf[ap],fichas_pdf[tiene],"no tiene en pdf",0,1)</f>
        <v>no tiene en pdf</v>
      </c>
      <c r="R58" s="4"/>
      <c r="S58" s="4"/>
      <c r="T58" s="4"/>
      <c r="U58" s="4"/>
      <c r="V58" s="4"/>
      <c r="W58" s="4"/>
    </row>
    <row r="59" ht="15.75" customHeight="1">
      <c r="A59" s="9">
        <v>61.0</v>
      </c>
      <c r="B59" s="10">
        <v>3.92755E7</v>
      </c>
      <c r="C59" s="10">
        <v>3150.0</v>
      </c>
      <c r="D59" s="10">
        <v>3.4999032089E10</v>
      </c>
      <c r="E59" s="10"/>
      <c r="F59" s="10"/>
      <c r="G59" s="10"/>
      <c r="H59" s="10" t="s">
        <v>655</v>
      </c>
      <c r="I59" s="10" t="s">
        <v>656</v>
      </c>
      <c r="J59" s="10"/>
      <c r="K59" s="10"/>
      <c r="L59" s="10"/>
      <c r="M59" s="10" t="s">
        <v>664</v>
      </c>
      <c r="N59" s="30"/>
      <c r="O59" s="10">
        <f t="shared" si="1"/>
        <v>126</v>
      </c>
      <c r="P59" s="14"/>
      <c r="Q59" s="31" t="str">
        <f t="array" ref="Q59">XLOOKUP(C59,fichas_pdf[ap],fichas_pdf[tiene],"no tiene en pdf",0,1)</f>
        <v>no tiene en pdf</v>
      </c>
      <c r="R59" s="4"/>
      <c r="S59" s="4"/>
      <c r="T59" s="4"/>
      <c r="U59" s="4"/>
      <c r="V59" s="4"/>
      <c r="W59" s="4"/>
    </row>
    <row r="60" ht="15.75" customHeight="1">
      <c r="A60" s="5">
        <v>62.0</v>
      </c>
      <c r="B60" s="6">
        <v>4.0133136E7</v>
      </c>
      <c r="C60" s="6">
        <v>2275.0</v>
      </c>
      <c r="D60" s="6">
        <v>3.4999032089E10</v>
      </c>
      <c r="E60" s="6"/>
      <c r="F60" s="6"/>
      <c r="G60" s="6"/>
      <c r="H60" s="6" t="s">
        <v>655</v>
      </c>
      <c r="I60" s="6" t="s">
        <v>656</v>
      </c>
      <c r="J60" s="6"/>
      <c r="K60" s="6"/>
      <c r="L60" s="6"/>
      <c r="M60" s="6" t="s">
        <v>666</v>
      </c>
      <c r="N60" s="32">
        <v>45291.0</v>
      </c>
      <c r="O60" s="6">
        <f t="shared" si="1"/>
        <v>2</v>
      </c>
      <c r="P60" s="7">
        <v>0.0</v>
      </c>
      <c r="Q60" s="29" t="str">
        <f t="array" ref="Q60">XLOOKUP(C60,fichas_pdf[ap],fichas_pdf[tiene],"no tiene en pdf",0,1)</f>
        <v>no tiene en pdf</v>
      </c>
      <c r="R60" s="4"/>
      <c r="S60" s="4"/>
      <c r="T60" s="4"/>
      <c r="U60" s="4"/>
      <c r="V60" s="4"/>
      <c r="W60" s="4"/>
    </row>
    <row r="61" ht="15.75" customHeight="1">
      <c r="A61" s="9">
        <v>63.0</v>
      </c>
      <c r="B61" s="10">
        <v>3.8710314E7</v>
      </c>
      <c r="C61" s="10">
        <v>1984.0</v>
      </c>
      <c r="D61" s="10">
        <v>3.4999032089E10</v>
      </c>
      <c r="E61" s="10"/>
      <c r="F61" s="10"/>
      <c r="G61" s="10"/>
      <c r="H61" s="10" t="s">
        <v>655</v>
      </c>
      <c r="I61" s="10" t="s">
        <v>656</v>
      </c>
      <c r="J61" s="10"/>
      <c r="K61" s="10"/>
      <c r="L61" s="10"/>
      <c r="M61" s="10" t="s">
        <v>664</v>
      </c>
      <c r="N61" s="30">
        <v>44958.0</v>
      </c>
      <c r="O61" s="10">
        <f t="shared" si="1"/>
        <v>2</v>
      </c>
      <c r="P61" s="14"/>
      <c r="Q61" s="31">
        <f t="array" ref="Q61">XLOOKUP(C61,fichas_pdf[ap],fichas_pdf[tiene],"no tiene en pdf",0,1)</f>
        <v>1</v>
      </c>
      <c r="R61" s="4"/>
      <c r="S61" s="4"/>
      <c r="T61" s="4"/>
      <c r="U61" s="4"/>
      <c r="V61" s="4"/>
      <c r="W61" s="4"/>
    </row>
    <row r="62" ht="15.75" customHeight="1">
      <c r="A62" s="5">
        <v>64.0</v>
      </c>
      <c r="B62" s="6">
        <v>4.3916827E7</v>
      </c>
      <c r="C62" s="6">
        <v>2636.0</v>
      </c>
      <c r="D62" s="6">
        <v>3.4999032089E10</v>
      </c>
      <c r="E62" s="6"/>
      <c r="F62" s="6"/>
      <c r="G62" s="6"/>
      <c r="H62" s="6" t="s">
        <v>655</v>
      </c>
      <c r="I62" s="6" t="s">
        <v>656</v>
      </c>
      <c r="J62" s="6"/>
      <c r="K62" s="6"/>
      <c r="L62" s="6"/>
      <c r="M62" s="6" t="s">
        <v>664</v>
      </c>
      <c r="N62" s="28"/>
      <c r="O62" s="6">
        <f t="shared" si="1"/>
        <v>126</v>
      </c>
      <c r="P62" s="7"/>
      <c r="Q62" s="29" t="str">
        <f t="array" ref="Q62">XLOOKUP(C62,fichas_pdf[ap],fichas_pdf[tiene],"no tiene en pdf",0,1)</f>
        <v>no tiene en pdf</v>
      </c>
      <c r="R62" s="4"/>
      <c r="S62" s="4"/>
      <c r="T62" s="4"/>
      <c r="U62" s="4"/>
      <c r="V62" s="4"/>
      <c r="W62" s="4"/>
    </row>
    <row r="63" ht="15.75" customHeight="1">
      <c r="A63" s="9">
        <v>65.0</v>
      </c>
      <c r="B63" s="10">
        <v>3.6297487E7</v>
      </c>
      <c r="C63" s="10">
        <v>769.0</v>
      </c>
      <c r="D63" s="10">
        <v>3.4999032089E10</v>
      </c>
      <c r="E63" s="10"/>
      <c r="F63" s="10"/>
      <c r="G63" s="10"/>
      <c r="H63" s="10" t="s">
        <v>655</v>
      </c>
      <c r="I63" s="10" t="s">
        <v>656</v>
      </c>
      <c r="J63" s="10"/>
      <c r="K63" s="10"/>
      <c r="L63" s="10"/>
      <c r="M63" s="10" t="s">
        <v>664</v>
      </c>
      <c r="N63" s="30">
        <v>42948.0</v>
      </c>
      <c r="O63" s="10">
        <f t="shared" si="1"/>
        <v>8</v>
      </c>
      <c r="P63" s="14"/>
      <c r="Q63" s="31">
        <f t="array" ref="Q63">XLOOKUP(C63,fichas_pdf[ap],fichas_pdf[tiene],"no tiene en pdf",0,1)</f>
        <v>1</v>
      </c>
      <c r="R63" s="4"/>
      <c r="S63" s="4"/>
      <c r="T63" s="4"/>
      <c r="U63" s="4"/>
      <c r="V63" s="4"/>
      <c r="W63" s="4"/>
    </row>
    <row r="64" ht="15.75" customHeight="1">
      <c r="A64" s="5">
        <v>66.0</v>
      </c>
      <c r="B64" s="6">
        <v>3.9665127E7</v>
      </c>
      <c r="C64" s="6">
        <v>2793.0</v>
      </c>
      <c r="D64" s="6">
        <v>3.4999032089E10</v>
      </c>
      <c r="E64" s="6"/>
      <c r="F64" s="6"/>
      <c r="G64" s="6"/>
      <c r="H64" s="6" t="s">
        <v>655</v>
      </c>
      <c r="I64" s="6" t="s">
        <v>656</v>
      </c>
      <c r="J64" s="6"/>
      <c r="K64" s="6"/>
      <c r="L64" s="6"/>
      <c r="M64" s="6" t="s">
        <v>664</v>
      </c>
      <c r="N64" s="28"/>
      <c r="O64" s="6">
        <f t="shared" si="1"/>
        <v>126</v>
      </c>
      <c r="P64" s="7"/>
      <c r="Q64" s="29" t="str">
        <f t="array" ref="Q64">XLOOKUP(C64,fichas_pdf[ap],fichas_pdf[tiene],"no tiene en pdf",0,1)</f>
        <v>no tiene en pdf</v>
      </c>
      <c r="R64" s="4"/>
      <c r="S64" s="4"/>
      <c r="T64" s="4"/>
      <c r="U64" s="4"/>
      <c r="V64" s="4"/>
      <c r="W64" s="4"/>
    </row>
    <row r="65" ht="15.75" customHeight="1">
      <c r="A65" s="9">
        <v>67.0</v>
      </c>
      <c r="B65" s="10">
        <v>3.9646253E7</v>
      </c>
      <c r="C65" s="10">
        <v>2473.0</v>
      </c>
      <c r="D65" s="10">
        <v>3.4999032089E10</v>
      </c>
      <c r="E65" s="10"/>
      <c r="F65" s="10"/>
      <c r="G65" s="10"/>
      <c r="H65" s="10" t="s">
        <v>655</v>
      </c>
      <c r="I65" s="10" t="s">
        <v>656</v>
      </c>
      <c r="J65" s="10"/>
      <c r="K65" s="10"/>
      <c r="L65" s="10"/>
      <c r="M65" s="10" t="s">
        <v>664</v>
      </c>
      <c r="N65" s="30"/>
      <c r="O65" s="10">
        <f t="shared" si="1"/>
        <v>126</v>
      </c>
      <c r="P65" s="14"/>
      <c r="Q65" s="31">
        <f t="array" ref="Q65">XLOOKUP(C65,fichas_pdf[ap],fichas_pdf[tiene],"no tiene en pdf",0,1)</f>
        <v>1</v>
      </c>
      <c r="R65" s="4"/>
      <c r="S65" s="4"/>
      <c r="T65" s="4"/>
      <c r="U65" s="4"/>
      <c r="V65" s="4"/>
      <c r="W65" s="4"/>
    </row>
    <row r="66" ht="15.75" customHeight="1">
      <c r="A66" s="5">
        <v>68.0</v>
      </c>
      <c r="B66" s="6">
        <v>2.8054001E7</v>
      </c>
      <c r="C66" s="6">
        <v>494.0</v>
      </c>
      <c r="D66" s="6">
        <v>3.4999032089E10</v>
      </c>
      <c r="E66" s="6"/>
      <c r="F66" s="6"/>
      <c r="G66" s="6"/>
      <c r="H66" s="6" t="s">
        <v>655</v>
      </c>
      <c r="I66" s="6" t="s">
        <v>656</v>
      </c>
      <c r="J66" s="6"/>
      <c r="K66" s="6"/>
      <c r="L66" s="6"/>
      <c r="M66" s="6" t="s">
        <v>664</v>
      </c>
      <c r="N66" s="28">
        <v>42919.0</v>
      </c>
      <c r="O66" s="6">
        <f t="shared" si="1"/>
        <v>8</v>
      </c>
      <c r="P66" s="7"/>
      <c r="Q66" s="29" t="str">
        <f t="array" ref="Q66">XLOOKUP(C66,fichas_pdf[ap],fichas_pdf[tiene],"no tiene en pdf",0,1)</f>
        <v>no tiene en pdf</v>
      </c>
      <c r="R66" s="4"/>
      <c r="S66" s="4"/>
      <c r="T66" s="4"/>
      <c r="U66" s="4"/>
      <c r="V66" s="4"/>
      <c r="W66" s="4"/>
    </row>
    <row r="67" ht="15.75" customHeight="1">
      <c r="A67" s="9">
        <v>69.0</v>
      </c>
      <c r="B67" s="10">
        <v>3.6162205E7</v>
      </c>
      <c r="C67" s="10">
        <v>2184.0</v>
      </c>
      <c r="D67" s="10">
        <v>3.4999032089E10</v>
      </c>
      <c r="E67" s="10"/>
      <c r="F67" s="10"/>
      <c r="G67" s="10"/>
      <c r="H67" s="10" t="s">
        <v>655</v>
      </c>
      <c r="I67" s="10" t="s">
        <v>656</v>
      </c>
      <c r="J67" s="10"/>
      <c r="K67" s="10"/>
      <c r="L67" s="10"/>
      <c r="M67" s="10" t="s">
        <v>664</v>
      </c>
      <c r="N67" s="30"/>
      <c r="O67" s="10">
        <f t="shared" si="1"/>
        <v>126</v>
      </c>
      <c r="P67" s="14"/>
      <c r="Q67" s="31" t="str">
        <f t="array" ref="Q67">XLOOKUP(C67,fichas_pdf[ap],fichas_pdf[tiene],"no tiene en pdf",0,1)</f>
        <v>no tiene en pdf</v>
      </c>
      <c r="R67" s="4"/>
      <c r="S67" s="4"/>
      <c r="T67" s="4"/>
      <c r="U67" s="4"/>
      <c r="V67" s="4"/>
      <c r="W67" s="4"/>
    </row>
    <row r="68" ht="15.75" customHeight="1">
      <c r="A68" s="5">
        <v>72.0</v>
      </c>
      <c r="B68" s="6">
        <v>2.7930531E7</v>
      </c>
      <c r="C68" s="6">
        <v>576.0</v>
      </c>
      <c r="D68" s="6">
        <v>3.4999032089E10</v>
      </c>
      <c r="E68" s="6"/>
      <c r="F68" s="6"/>
      <c r="G68" s="6"/>
      <c r="H68" s="6" t="s">
        <v>655</v>
      </c>
      <c r="I68" s="6" t="s">
        <v>656</v>
      </c>
      <c r="J68" s="6"/>
      <c r="K68" s="6"/>
      <c r="L68" s="6"/>
      <c r="M68" s="6" t="s">
        <v>664</v>
      </c>
      <c r="N68" s="32">
        <v>42917.0</v>
      </c>
      <c r="O68" s="6">
        <f t="shared" si="1"/>
        <v>8</v>
      </c>
      <c r="P68" s="7"/>
      <c r="Q68" s="29" t="str">
        <f t="array" ref="Q68">XLOOKUP(C68,fichas_pdf[ap],fichas_pdf[tiene],"no tiene en pdf",0,1)</f>
        <v>no tiene en pdf</v>
      </c>
      <c r="R68" s="4"/>
      <c r="S68" s="4"/>
      <c r="T68" s="4"/>
      <c r="U68" s="4"/>
      <c r="V68" s="4"/>
      <c r="W68" s="4"/>
    </row>
    <row r="69" ht="15.75" customHeight="1">
      <c r="A69" s="9">
        <v>73.0</v>
      </c>
      <c r="B69" s="10">
        <v>2.2447579E7</v>
      </c>
      <c r="C69" s="10">
        <v>1608.0</v>
      </c>
      <c r="D69" s="10">
        <v>3.4999032089E10</v>
      </c>
      <c r="E69" s="10"/>
      <c r="F69" s="10"/>
      <c r="G69" s="10"/>
      <c r="H69" s="10" t="s">
        <v>655</v>
      </c>
      <c r="I69" s="10" t="s">
        <v>656</v>
      </c>
      <c r="J69" s="10"/>
      <c r="K69" s="10"/>
      <c r="L69" s="10"/>
      <c r="M69" s="10" t="s">
        <v>664</v>
      </c>
      <c r="N69" s="30">
        <v>43497.0</v>
      </c>
      <c r="O69" s="10">
        <f t="shared" si="1"/>
        <v>6</v>
      </c>
      <c r="P69" s="14"/>
      <c r="Q69" s="31" t="str">
        <f t="array" ref="Q69">XLOOKUP(C69,fichas_pdf[ap],fichas_pdf[tiene],"no tiene en pdf",0,1)</f>
        <v>no tiene en pdf</v>
      </c>
      <c r="R69" s="4"/>
      <c r="S69" s="4"/>
      <c r="T69" s="4"/>
      <c r="U69" s="4"/>
      <c r="V69" s="4"/>
      <c r="W69" s="4"/>
    </row>
    <row r="70" ht="15.75" customHeight="1">
      <c r="A70" s="5">
        <v>75.0</v>
      </c>
      <c r="B70" s="6">
        <v>2.873501E7</v>
      </c>
      <c r="C70" s="6">
        <v>1410.0</v>
      </c>
      <c r="D70" s="6">
        <v>3.4999032089E10</v>
      </c>
      <c r="E70" s="6"/>
      <c r="F70" s="6"/>
      <c r="G70" s="6"/>
      <c r="H70" s="6" t="s">
        <v>655</v>
      </c>
      <c r="I70" s="6" t="s">
        <v>656</v>
      </c>
      <c r="J70" s="6"/>
      <c r="K70" s="6"/>
      <c r="L70" s="6"/>
      <c r="M70" s="6" t="s">
        <v>664</v>
      </c>
      <c r="N70" s="32">
        <v>41640.0</v>
      </c>
      <c r="O70" s="6">
        <f t="shared" si="1"/>
        <v>11</v>
      </c>
      <c r="P70" s="7"/>
      <c r="Q70" s="29">
        <f t="array" ref="Q70">XLOOKUP(C70,fichas_pdf[ap],fichas_pdf[tiene],"no tiene en pdf",0,1)</f>
        <v>1</v>
      </c>
      <c r="R70" s="4"/>
      <c r="S70" s="4"/>
      <c r="T70" s="4"/>
      <c r="U70" s="4"/>
      <c r="V70" s="4"/>
      <c r="W70" s="4"/>
    </row>
    <row r="71" ht="15.75" customHeight="1">
      <c r="A71" s="9">
        <v>76.0</v>
      </c>
      <c r="B71" s="10">
        <v>3.5973296E7</v>
      </c>
      <c r="C71" s="10">
        <v>1683.0</v>
      </c>
      <c r="D71" s="10">
        <v>3.4999032089E10</v>
      </c>
      <c r="E71" s="10"/>
      <c r="F71" s="10"/>
      <c r="G71" s="10"/>
      <c r="H71" s="10" t="s">
        <v>655</v>
      </c>
      <c r="I71" s="10" t="s">
        <v>656</v>
      </c>
      <c r="J71" s="10"/>
      <c r="K71" s="10"/>
      <c r="L71" s="10"/>
      <c r="M71" s="10" t="s">
        <v>664</v>
      </c>
      <c r="N71" s="30">
        <v>43556.0</v>
      </c>
      <c r="O71" s="10">
        <f t="shared" si="1"/>
        <v>6</v>
      </c>
      <c r="P71" s="14"/>
      <c r="Q71" s="31" t="str">
        <f t="array" ref="Q71">XLOOKUP(C71,fichas_pdf[ap],fichas_pdf[tiene],"no tiene en pdf",0,1)</f>
        <v>no tiene en pdf</v>
      </c>
      <c r="R71" s="4"/>
      <c r="S71" s="4"/>
      <c r="T71" s="4"/>
      <c r="U71" s="4"/>
      <c r="V71" s="4"/>
      <c r="W71" s="4"/>
    </row>
    <row r="72" ht="15.75" customHeight="1">
      <c r="A72" s="5">
        <v>77.0</v>
      </c>
      <c r="B72" s="6">
        <v>9.4521109E7</v>
      </c>
      <c r="C72" s="6">
        <v>577.0</v>
      </c>
      <c r="D72" s="6">
        <v>3.4999032089E10</v>
      </c>
      <c r="E72" s="6"/>
      <c r="F72" s="6"/>
      <c r="G72" s="6"/>
      <c r="H72" s="6" t="s">
        <v>655</v>
      </c>
      <c r="I72" s="6" t="s">
        <v>656</v>
      </c>
      <c r="J72" s="6"/>
      <c r="K72" s="6"/>
      <c r="L72" s="6"/>
      <c r="M72" s="6" t="s">
        <v>664</v>
      </c>
      <c r="N72" s="28">
        <v>42919.0</v>
      </c>
      <c r="O72" s="6">
        <f t="shared" si="1"/>
        <v>8</v>
      </c>
      <c r="P72" s="7">
        <v>1.0</v>
      </c>
      <c r="Q72" s="34" t="str">
        <f t="array" ref="Q72">XLOOKUP(C72,fichas_pdf[ap],fichas_pdf[tiene],"no tiene en pdf",0,1)</f>
        <v>no tiene en pdf</v>
      </c>
      <c r="R72" s="4"/>
      <c r="S72" s="4"/>
      <c r="T72" s="4"/>
      <c r="U72" s="4"/>
      <c r="V72" s="4"/>
      <c r="W72" s="4"/>
    </row>
    <row r="73" ht="15.75" customHeight="1">
      <c r="A73" s="9">
        <v>78.0</v>
      </c>
      <c r="B73" s="10">
        <v>9.4290896E7</v>
      </c>
      <c r="C73" s="10">
        <v>1326.0</v>
      </c>
      <c r="D73" s="10">
        <v>3.4999032089E10</v>
      </c>
      <c r="E73" s="10"/>
      <c r="F73" s="10"/>
      <c r="G73" s="10"/>
      <c r="H73" s="10" t="s">
        <v>655</v>
      </c>
      <c r="I73" s="10" t="s">
        <v>656</v>
      </c>
      <c r="J73" s="10"/>
      <c r="K73" s="10"/>
      <c r="L73" s="10"/>
      <c r="M73" s="10" t="s">
        <v>664</v>
      </c>
      <c r="N73" s="30">
        <v>43132.0</v>
      </c>
      <c r="O73" s="10">
        <f t="shared" si="1"/>
        <v>7</v>
      </c>
      <c r="P73" s="14"/>
      <c r="Q73" s="31" t="str">
        <f t="array" ref="Q73">XLOOKUP(C73,fichas_pdf[ap],fichas_pdf[tiene],"no tiene en pdf",0,1)</f>
        <v>no tiene en pdf</v>
      </c>
      <c r="R73" s="4"/>
      <c r="S73" s="4"/>
      <c r="T73" s="4"/>
      <c r="U73" s="4"/>
      <c r="V73" s="4"/>
      <c r="W73" s="4"/>
    </row>
    <row r="74" ht="15.75" customHeight="1">
      <c r="A74" s="5">
        <v>79.0</v>
      </c>
      <c r="B74" s="6">
        <v>2.9319005E7</v>
      </c>
      <c r="C74" s="6">
        <v>343.0</v>
      </c>
      <c r="D74" s="6">
        <v>3.4999032089E10</v>
      </c>
      <c r="E74" s="6"/>
      <c r="F74" s="6"/>
      <c r="G74" s="6"/>
      <c r="H74" s="6" t="s">
        <v>655</v>
      </c>
      <c r="I74" s="6" t="s">
        <v>656</v>
      </c>
      <c r="J74" s="6"/>
      <c r="K74" s="6"/>
      <c r="L74" s="6"/>
      <c r="M74" s="6" t="s">
        <v>664</v>
      </c>
      <c r="N74" s="28">
        <v>42856.0</v>
      </c>
      <c r="O74" s="6">
        <f t="shared" si="1"/>
        <v>8</v>
      </c>
      <c r="P74" s="7"/>
      <c r="Q74" s="29" t="str">
        <f t="array" ref="Q74">XLOOKUP(C74,fichas_pdf[ap],fichas_pdf[tiene],"no tiene en pdf",0,1)</f>
        <v>no tiene en pdf</v>
      </c>
      <c r="R74" s="4"/>
      <c r="S74" s="4"/>
      <c r="T74" s="4"/>
      <c r="U74" s="4"/>
      <c r="V74" s="4"/>
      <c r="W74" s="4"/>
    </row>
    <row r="75" ht="15.75" customHeight="1">
      <c r="A75" s="9">
        <v>80.0</v>
      </c>
      <c r="B75" s="10">
        <v>3.1703988E7</v>
      </c>
      <c r="C75" s="10">
        <v>779.0</v>
      </c>
      <c r="D75" s="10">
        <v>3.4999032089E10</v>
      </c>
      <c r="E75" s="10"/>
      <c r="F75" s="10"/>
      <c r="G75" s="10"/>
      <c r="H75" s="10" t="s">
        <v>655</v>
      </c>
      <c r="I75" s="10" t="s">
        <v>656</v>
      </c>
      <c r="J75" s="10"/>
      <c r="K75" s="10"/>
      <c r="L75" s="10"/>
      <c r="M75" s="10" t="s">
        <v>664</v>
      </c>
      <c r="N75" s="30">
        <v>42948.0</v>
      </c>
      <c r="O75" s="10">
        <f t="shared" si="1"/>
        <v>8</v>
      </c>
      <c r="P75" s="14">
        <v>1.0</v>
      </c>
      <c r="Q75" s="35" t="str">
        <f t="array" ref="Q75">XLOOKUP(C75,fichas_pdf[ap],fichas_pdf[tiene],"no tiene en pdf",0,1)</f>
        <v>no tiene en pdf</v>
      </c>
      <c r="R75" s="4"/>
      <c r="S75" s="4"/>
      <c r="T75" s="4"/>
      <c r="U75" s="4"/>
      <c r="V75" s="4"/>
      <c r="W75" s="4"/>
    </row>
    <row r="76" ht="15.75" customHeight="1">
      <c r="A76" s="5">
        <v>81.0</v>
      </c>
      <c r="B76" s="6">
        <v>3.0455729E7</v>
      </c>
      <c r="C76" s="6">
        <v>129.0</v>
      </c>
      <c r="D76" s="6">
        <v>3.4999032089E10</v>
      </c>
      <c r="E76" s="6"/>
      <c r="F76" s="6"/>
      <c r="G76" s="6"/>
      <c r="H76" s="6" t="s">
        <v>655</v>
      </c>
      <c r="I76" s="6" t="s">
        <v>656</v>
      </c>
      <c r="J76" s="6"/>
      <c r="K76" s="6"/>
      <c r="L76" s="6"/>
      <c r="M76" s="6" t="s">
        <v>665</v>
      </c>
      <c r="N76" s="28">
        <v>41818.0</v>
      </c>
      <c r="O76" s="6">
        <f t="shared" si="1"/>
        <v>11</v>
      </c>
      <c r="P76" s="7"/>
      <c r="Q76" s="29" t="str">
        <f t="array" ref="Q76">XLOOKUP(C76,fichas_pdf[ap],fichas_pdf[tiene],"no tiene en pdf",0,1)</f>
        <v>no tiene en pdf</v>
      </c>
      <c r="R76" s="4"/>
      <c r="S76" s="4"/>
      <c r="T76" s="4"/>
      <c r="U76" s="4"/>
      <c r="V76" s="4"/>
      <c r="W76" s="4"/>
    </row>
    <row r="77" ht="15.75" customHeight="1">
      <c r="A77" s="9">
        <v>82.0</v>
      </c>
      <c r="B77" s="10">
        <v>4.3406398E7</v>
      </c>
      <c r="C77" s="10">
        <v>1969.0</v>
      </c>
      <c r="D77" s="10">
        <v>3.4999032089E10</v>
      </c>
      <c r="E77" s="10"/>
      <c r="F77" s="10"/>
      <c r="G77" s="10"/>
      <c r="H77" s="10" t="s">
        <v>655</v>
      </c>
      <c r="I77" s="10" t="s">
        <v>656</v>
      </c>
      <c r="J77" s="10"/>
      <c r="K77" s="10"/>
      <c r="L77" s="10"/>
      <c r="M77" s="10" t="s">
        <v>664</v>
      </c>
      <c r="N77" s="30"/>
      <c r="O77" s="10">
        <f t="shared" si="1"/>
        <v>126</v>
      </c>
      <c r="P77" s="14"/>
      <c r="Q77" s="31">
        <f t="array" ref="Q77">XLOOKUP(C77,fichas_pdf[ap],fichas_pdf[tiene],"no tiene en pdf",0,1)</f>
        <v>1</v>
      </c>
      <c r="R77" s="4"/>
      <c r="S77" s="4"/>
      <c r="T77" s="4"/>
      <c r="U77" s="4"/>
      <c r="V77" s="4"/>
      <c r="W77" s="4"/>
    </row>
    <row r="78" ht="15.75" customHeight="1">
      <c r="A78" s="5">
        <v>83.0</v>
      </c>
      <c r="B78" s="6">
        <v>3.4583817E7</v>
      </c>
      <c r="C78" s="6">
        <v>166.0</v>
      </c>
      <c r="D78" s="6">
        <v>3.4999032089E10</v>
      </c>
      <c r="E78" s="6"/>
      <c r="F78" s="6"/>
      <c r="G78" s="6"/>
      <c r="H78" s="6" t="s">
        <v>655</v>
      </c>
      <c r="I78" s="6" t="s">
        <v>656</v>
      </c>
      <c r="J78" s="6"/>
      <c r="K78" s="6"/>
      <c r="L78" s="6"/>
      <c r="M78" s="6" t="s">
        <v>665</v>
      </c>
      <c r="N78" s="28">
        <v>41692.0</v>
      </c>
      <c r="O78" s="6">
        <f t="shared" si="1"/>
        <v>11</v>
      </c>
      <c r="P78" s="7"/>
      <c r="Q78" s="29" t="str">
        <f t="array" ref="Q78">XLOOKUP(C78,fichas_pdf[ap],fichas_pdf[tiene],"no tiene en pdf",0,1)</f>
        <v>no tiene en pdf</v>
      </c>
      <c r="R78" s="4"/>
      <c r="S78" s="4"/>
      <c r="T78" s="4"/>
      <c r="U78" s="4"/>
      <c r="V78" s="4"/>
      <c r="W78" s="4"/>
    </row>
    <row r="79" ht="15.75" customHeight="1">
      <c r="A79" s="9">
        <v>84.0</v>
      </c>
      <c r="B79" s="10">
        <v>2.5422284E7</v>
      </c>
      <c r="C79" s="10">
        <v>925.0</v>
      </c>
      <c r="D79" s="10">
        <v>3.4999032089E10</v>
      </c>
      <c r="E79" s="10"/>
      <c r="F79" s="10"/>
      <c r="G79" s="10"/>
      <c r="H79" s="10" t="s">
        <v>655</v>
      </c>
      <c r="I79" s="10" t="s">
        <v>656</v>
      </c>
      <c r="J79" s="10"/>
      <c r="K79" s="10"/>
      <c r="L79" s="10"/>
      <c r="M79" s="10" t="s">
        <v>664</v>
      </c>
      <c r="N79" s="30">
        <v>42954.0</v>
      </c>
      <c r="O79" s="10">
        <f t="shared" si="1"/>
        <v>8</v>
      </c>
      <c r="P79" s="14"/>
      <c r="Q79" s="31" t="str">
        <f t="array" ref="Q79">XLOOKUP(C79,fichas_pdf[ap],fichas_pdf[tiene],"no tiene en pdf",0,1)</f>
        <v>no tiene en pdf</v>
      </c>
      <c r="R79" s="4"/>
      <c r="S79" s="4"/>
      <c r="T79" s="4"/>
      <c r="U79" s="4"/>
      <c r="V79" s="4"/>
      <c r="W79" s="4"/>
    </row>
    <row r="80" ht="15.75" customHeight="1">
      <c r="A80" s="5">
        <v>85.0</v>
      </c>
      <c r="B80" s="6">
        <v>2.7259537E7</v>
      </c>
      <c r="C80" s="6">
        <v>1536.0</v>
      </c>
      <c r="D80" s="6">
        <v>3.4999032089E10</v>
      </c>
      <c r="E80" s="6"/>
      <c r="F80" s="6"/>
      <c r="G80" s="6"/>
      <c r="H80" s="6" t="s">
        <v>655</v>
      </c>
      <c r="I80" s="6" t="s">
        <v>656</v>
      </c>
      <c r="J80" s="6"/>
      <c r="K80" s="6"/>
      <c r="L80" s="6"/>
      <c r="M80" s="6" t="s">
        <v>664</v>
      </c>
      <c r="N80" s="28">
        <v>43405.0</v>
      </c>
      <c r="O80" s="6">
        <f t="shared" si="1"/>
        <v>7</v>
      </c>
      <c r="P80" s="7"/>
      <c r="Q80" s="29" t="str">
        <f t="array" ref="Q80">XLOOKUP(C80,fichas_pdf[ap],fichas_pdf[tiene],"no tiene en pdf",0,1)</f>
        <v>no tiene en pdf</v>
      </c>
      <c r="R80" s="4"/>
      <c r="S80" s="4"/>
      <c r="T80" s="4"/>
      <c r="U80" s="4"/>
      <c r="V80" s="4"/>
      <c r="W80" s="4"/>
    </row>
    <row r="81" ht="15.75" customHeight="1">
      <c r="A81" s="9">
        <v>86.0</v>
      </c>
      <c r="B81" s="10">
        <v>3.8128116E7</v>
      </c>
      <c r="C81" s="10">
        <v>2649.0</v>
      </c>
      <c r="D81" s="10">
        <v>3.4999032089E10</v>
      </c>
      <c r="E81" s="10"/>
      <c r="F81" s="10"/>
      <c r="G81" s="10"/>
      <c r="H81" s="10" t="s">
        <v>655</v>
      </c>
      <c r="I81" s="10" t="s">
        <v>656</v>
      </c>
      <c r="J81" s="10"/>
      <c r="K81" s="10"/>
      <c r="L81" s="10"/>
      <c r="M81" s="10" t="s">
        <v>664</v>
      </c>
      <c r="N81" s="30">
        <v>45048.0</v>
      </c>
      <c r="O81" s="10">
        <f t="shared" si="1"/>
        <v>2</v>
      </c>
      <c r="P81" s="14"/>
      <c r="Q81" s="31" t="str">
        <f t="array" ref="Q81">XLOOKUP(C81,fichas_pdf[ap],fichas_pdf[tiene],"no tiene en pdf",0,1)</f>
        <v>no tiene en pdf</v>
      </c>
      <c r="R81" s="4"/>
      <c r="S81" s="4"/>
      <c r="T81" s="4"/>
      <c r="U81" s="4"/>
      <c r="V81" s="4"/>
      <c r="W81" s="4"/>
    </row>
    <row r="82" ht="15.75" customHeight="1">
      <c r="A82" s="5">
        <v>87.0</v>
      </c>
      <c r="B82" s="6">
        <v>2.9697288E7</v>
      </c>
      <c r="C82" s="6"/>
      <c r="D82" s="6">
        <v>3.4999032089E10</v>
      </c>
      <c r="E82" s="6"/>
      <c r="F82" s="6"/>
      <c r="G82" s="6"/>
      <c r="H82" s="6" t="s">
        <v>655</v>
      </c>
      <c r="I82" s="6" t="s">
        <v>656</v>
      </c>
      <c r="J82" s="6"/>
      <c r="K82" s="6"/>
      <c r="L82" s="6"/>
      <c r="M82" s="6" t="s">
        <v>663</v>
      </c>
      <c r="N82" s="28">
        <v>39874.0</v>
      </c>
      <c r="O82" s="6">
        <f t="shared" si="1"/>
        <v>16</v>
      </c>
      <c r="P82" s="7"/>
      <c r="Q82" s="29" t="str">
        <f t="array" ref="Q82">XLOOKUP(C82,fichas_pdf[ap],fichas_pdf[tiene],"no tiene en pdf",0,1)</f>
        <v>no tiene en pdf</v>
      </c>
      <c r="R82" s="4"/>
      <c r="S82" s="4"/>
      <c r="T82" s="4"/>
      <c r="U82" s="4"/>
      <c r="V82" s="4"/>
      <c r="W82" s="4"/>
    </row>
    <row r="83" ht="15.75" customHeight="1">
      <c r="A83" s="9">
        <v>88.0</v>
      </c>
      <c r="B83" s="10">
        <v>3.816591E7</v>
      </c>
      <c r="C83" s="10">
        <v>1873.0</v>
      </c>
      <c r="D83" s="10">
        <v>3.4999032089E10</v>
      </c>
      <c r="E83" s="10"/>
      <c r="F83" s="10"/>
      <c r="G83" s="10"/>
      <c r="H83" s="10" t="s">
        <v>655</v>
      </c>
      <c r="I83" s="10" t="s">
        <v>656</v>
      </c>
      <c r="J83" s="10"/>
      <c r="K83" s="10"/>
      <c r="L83" s="10"/>
      <c r="M83" s="10" t="s">
        <v>664</v>
      </c>
      <c r="N83" s="33">
        <v>44256.0</v>
      </c>
      <c r="O83" s="10">
        <f t="shared" si="1"/>
        <v>4</v>
      </c>
      <c r="P83" s="14"/>
      <c r="Q83" s="31">
        <f t="array" ref="Q83">XLOOKUP(C83,fichas_pdf[ap],fichas_pdf[tiene],"no tiene en pdf",0,1)</f>
        <v>1</v>
      </c>
      <c r="R83" s="4"/>
      <c r="S83" s="4"/>
      <c r="T83" s="4"/>
      <c r="U83" s="4"/>
      <c r="V83" s="4"/>
      <c r="W83" s="4"/>
    </row>
    <row r="84" ht="15.75" customHeight="1">
      <c r="A84" s="5">
        <v>89.0</v>
      </c>
      <c r="B84" s="6">
        <v>3.7782026E7</v>
      </c>
      <c r="C84" s="6">
        <v>1989.0</v>
      </c>
      <c r="D84" s="6">
        <v>3.4999032089E10</v>
      </c>
      <c r="E84" s="6"/>
      <c r="F84" s="6"/>
      <c r="G84" s="6"/>
      <c r="H84" s="6" t="s">
        <v>655</v>
      </c>
      <c r="I84" s="6" t="s">
        <v>656</v>
      </c>
      <c r="J84" s="6"/>
      <c r="K84" s="6"/>
      <c r="L84" s="6"/>
      <c r="M84" s="6" t="s">
        <v>664</v>
      </c>
      <c r="N84" s="28"/>
      <c r="O84" s="6">
        <f t="shared" si="1"/>
        <v>126</v>
      </c>
      <c r="P84" s="7"/>
      <c r="Q84" s="29">
        <f t="array" ref="Q84">XLOOKUP(C84,fichas_pdf[ap],fichas_pdf[tiene],"no tiene en pdf",0,1)</f>
        <v>1</v>
      </c>
      <c r="R84" s="4"/>
      <c r="S84" s="4"/>
      <c r="T84" s="4"/>
      <c r="U84" s="4"/>
      <c r="V84" s="4"/>
      <c r="W84" s="4"/>
    </row>
    <row r="85" ht="15.75" customHeight="1">
      <c r="A85" s="9">
        <v>90.0</v>
      </c>
      <c r="B85" s="10">
        <v>3.5979324E7</v>
      </c>
      <c r="C85" s="10">
        <v>932.0</v>
      </c>
      <c r="D85" s="10">
        <v>3.4999032089E10</v>
      </c>
      <c r="E85" s="10"/>
      <c r="F85" s="10"/>
      <c r="G85" s="10"/>
      <c r="H85" s="10" t="s">
        <v>655</v>
      </c>
      <c r="I85" s="10" t="s">
        <v>656</v>
      </c>
      <c r="J85" s="10"/>
      <c r="K85" s="10"/>
      <c r="L85" s="10"/>
      <c r="M85" s="10" t="s">
        <v>664</v>
      </c>
      <c r="N85" s="30">
        <v>42948.0</v>
      </c>
      <c r="O85" s="10">
        <f t="shared" si="1"/>
        <v>8</v>
      </c>
      <c r="P85" s="14"/>
      <c r="Q85" s="31" t="str">
        <f t="array" ref="Q85">XLOOKUP(C85,fichas_pdf[ap],fichas_pdf[tiene],"no tiene en pdf",0,1)</f>
        <v>no tiene en pdf</v>
      </c>
      <c r="R85" s="4"/>
      <c r="S85" s="4"/>
      <c r="T85" s="4"/>
      <c r="U85" s="4"/>
      <c r="V85" s="4"/>
      <c r="W85" s="4"/>
    </row>
    <row r="86" ht="15.75" customHeight="1">
      <c r="A86" s="5">
        <v>91.0</v>
      </c>
      <c r="B86" s="6">
        <v>3.9075526E7</v>
      </c>
      <c r="C86" s="6">
        <v>2813.0</v>
      </c>
      <c r="D86" s="6">
        <v>3.4999032089E10</v>
      </c>
      <c r="E86" s="6"/>
      <c r="F86" s="6"/>
      <c r="G86" s="6"/>
      <c r="H86" s="6" t="s">
        <v>655</v>
      </c>
      <c r="I86" s="6" t="s">
        <v>656</v>
      </c>
      <c r="J86" s="6"/>
      <c r="K86" s="6"/>
      <c r="L86" s="6"/>
      <c r="M86" s="6" t="s">
        <v>664</v>
      </c>
      <c r="N86" s="28"/>
      <c r="O86" s="6">
        <f t="shared" si="1"/>
        <v>126</v>
      </c>
      <c r="P86" s="7"/>
      <c r="Q86" s="29" t="str">
        <f t="array" ref="Q86">XLOOKUP(C86,fichas_pdf[ap],fichas_pdf[tiene],"no tiene en pdf",0,1)</f>
        <v>no tiene en pdf</v>
      </c>
      <c r="R86" s="4"/>
      <c r="S86" s="4"/>
      <c r="T86" s="4"/>
      <c r="U86" s="4"/>
      <c r="V86" s="4"/>
      <c r="W86" s="4"/>
    </row>
    <row r="87" ht="15.75" customHeight="1">
      <c r="A87" s="9">
        <v>92.0</v>
      </c>
      <c r="B87" s="10">
        <v>3.8672137E7</v>
      </c>
      <c r="C87" s="10">
        <v>2657.0</v>
      </c>
      <c r="D87" s="10">
        <v>3.4999032089E10</v>
      </c>
      <c r="E87" s="10"/>
      <c r="F87" s="10"/>
      <c r="G87" s="10"/>
      <c r="H87" s="10" t="s">
        <v>655</v>
      </c>
      <c r="I87" s="10" t="s">
        <v>656</v>
      </c>
      <c r="J87" s="10"/>
      <c r="K87" s="10"/>
      <c r="L87" s="10"/>
      <c r="M87" s="10" t="s">
        <v>664</v>
      </c>
      <c r="N87" s="30"/>
      <c r="O87" s="10">
        <f t="shared" si="1"/>
        <v>126</v>
      </c>
      <c r="P87" s="14"/>
      <c r="Q87" s="31" t="str">
        <f t="array" ref="Q87">XLOOKUP(C87,fichas_pdf[ap],fichas_pdf[tiene],"no tiene en pdf",0,1)</f>
        <v>no tiene en pdf</v>
      </c>
      <c r="R87" s="4"/>
      <c r="S87" s="4"/>
      <c r="T87" s="4"/>
      <c r="U87" s="4"/>
      <c r="V87" s="4"/>
      <c r="W87" s="4"/>
    </row>
    <row r="88" ht="15.75" customHeight="1">
      <c r="A88" s="5">
        <v>94.0</v>
      </c>
      <c r="B88" s="6">
        <v>3.8026805E7</v>
      </c>
      <c r="C88" s="6">
        <v>1657.0</v>
      </c>
      <c r="D88" s="6">
        <v>3.4999032089E10</v>
      </c>
      <c r="E88" s="6"/>
      <c r="F88" s="6"/>
      <c r="G88" s="6"/>
      <c r="H88" s="6" t="s">
        <v>655</v>
      </c>
      <c r="I88" s="6" t="s">
        <v>656</v>
      </c>
      <c r="J88" s="6"/>
      <c r="K88" s="6"/>
      <c r="L88" s="6"/>
      <c r="M88" s="6" t="s">
        <v>664</v>
      </c>
      <c r="N88" s="28">
        <v>43525.0</v>
      </c>
      <c r="O88" s="6">
        <f t="shared" si="1"/>
        <v>6</v>
      </c>
      <c r="P88" s="7"/>
      <c r="Q88" s="29" t="str">
        <f t="array" ref="Q88">XLOOKUP(C88,fichas_pdf[ap],fichas_pdf[tiene],"no tiene en pdf",0,1)</f>
        <v>no tiene en pdf</v>
      </c>
      <c r="R88" s="4"/>
      <c r="S88" s="4"/>
      <c r="T88" s="4"/>
      <c r="U88" s="4"/>
      <c r="V88" s="4"/>
      <c r="W88" s="4"/>
    </row>
    <row r="89" ht="15.75" customHeight="1">
      <c r="A89" s="9">
        <v>95.0</v>
      </c>
      <c r="B89" s="10">
        <v>2.2986617E7</v>
      </c>
      <c r="C89" s="10">
        <v>941.0</v>
      </c>
      <c r="D89" s="10">
        <v>3.4999032089E10</v>
      </c>
      <c r="E89" s="10"/>
      <c r="F89" s="10"/>
      <c r="G89" s="10"/>
      <c r="H89" s="10" t="s">
        <v>655</v>
      </c>
      <c r="I89" s="10" t="s">
        <v>656</v>
      </c>
      <c r="J89" s="10"/>
      <c r="K89" s="10"/>
      <c r="L89" s="10"/>
      <c r="M89" s="10" t="s">
        <v>664</v>
      </c>
      <c r="N89" s="33">
        <v>42948.0</v>
      </c>
      <c r="O89" s="10">
        <f t="shared" si="1"/>
        <v>8</v>
      </c>
      <c r="P89" s="14"/>
      <c r="Q89" s="31">
        <f t="array" ref="Q89">XLOOKUP(C89,fichas_pdf[ap],fichas_pdf[tiene],"no tiene en pdf",0,1)</f>
        <v>1</v>
      </c>
      <c r="R89" s="4"/>
      <c r="S89" s="4"/>
      <c r="T89" s="4"/>
      <c r="U89" s="4"/>
      <c r="V89" s="4"/>
      <c r="W89" s="4"/>
    </row>
    <row r="90" ht="15.75" customHeight="1">
      <c r="A90" s="5">
        <v>96.0</v>
      </c>
      <c r="B90" s="6">
        <v>3.4849125E7</v>
      </c>
      <c r="C90" s="6"/>
      <c r="D90" s="6">
        <v>3.4999032089E10</v>
      </c>
      <c r="E90" s="6"/>
      <c r="F90" s="6"/>
      <c r="G90" s="6"/>
      <c r="H90" s="6" t="s">
        <v>655</v>
      </c>
      <c r="I90" s="6" t="s">
        <v>656</v>
      </c>
      <c r="J90" s="6"/>
      <c r="K90" s="6"/>
      <c r="L90" s="6"/>
      <c r="M90" s="6" t="s">
        <v>664</v>
      </c>
      <c r="N90" s="28"/>
      <c r="O90" s="6">
        <f t="shared" si="1"/>
        <v>126</v>
      </c>
      <c r="P90" s="7"/>
      <c r="Q90" s="29" t="str">
        <f t="array" ref="Q90">XLOOKUP(C90,fichas_pdf[ap],fichas_pdf[tiene],"no tiene en pdf",0,1)</f>
        <v>no tiene en pdf</v>
      </c>
      <c r="R90" s="4"/>
      <c r="S90" s="4"/>
      <c r="T90" s="4"/>
      <c r="U90" s="4"/>
      <c r="V90" s="4"/>
      <c r="W90" s="4"/>
    </row>
    <row r="91" ht="15.75" customHeight="1">
      <c r="A91" s="9">
        <v>97.0</v>
      </c>
      <c r="B91" s="10">
        <v>3.6471269E7</v>
      </c>
      <c r="C91" s="10">
        <v>2499.0</v>
      </c>
      <c r="D91" s="10">
        <v>3.4999032089E10</v>
      </c>
      <c r="E91" s="10"/>
      <c r="F91" s="10"/>
      <c r="G91" s="10"/>
      <c r="H91" s="10" t="s">
        <v>655</v>
      </c>
      <c r="I91" s="10" t="s">
        <v>656</v>
      </c>
      <c r="J91" s="10"/>
      <c r="K91" s="10"/>
      <c r="L91" s="10"/>
      <c r="M91" s="10" t="s">
        <v>664</v>
      </c>
      <c r="N91" s="30"/>
      <c r="O91" s="10">
        <f t="shared" si="1"/>
        <v>126</v>
      </c>
      <c r="P91" s="14"/>
      <c r="Q91" s="31" t="str">
        <f t="array" ref="Q91">XLOOKUP(C91,fichas_pdf[ap],fichas_pdf[tiene],"no tiene en pdf",0,1)</f>
        <v>no tiene en pdf</v>
      </c>
      <c r="R91" s="4"/>
      <c r="S91" s="4"/>
      <c r="T91" s="4"/>
      <c r="U91" s="4"/>
      <c r="V91" s="4"/>
      <c r="W91" s="4"/>
    </row>
    <row r="92" ht="15.75" customHeight="1">
      <c r="A92" s="5">
        <v>98.0</v>
      </c>
      <c r="B92" s="6">
        <v>3.9962767E7</v>
      </c>
      <c r="C92" s="6">
        <v>1944.0</v>
      </c>
      <c r="D92" s="6">
        <v>3.4999032089E10</v>
      </c>
      <c r="E92" s="6"/>
      <c r="F92" s="6"/>
      <c r="G92" s="6"/>
      <c r="H92" s="6" t="s">
        <v>655</v>
      </c>
      <c r="I92" s="6" t="s">
        <v>656</v>
      </c>
      <c r="J92" s="6"/>
      <c r="K92" s="6"/>
      <c r="L92" s="6"/>
      <c r="M92" s="6" t="s">
        <v>664</v>
      </c>
      <c r="N92" s="28"/>
      <c r="O92" s="6">
        <f t="shared" si="1"/>
        <v>126</v>
      </c>
      <c r="P92" s="7"/>
      <c r="Q92" s="29">
        <f t="array" ref="Q92">XLOOKUP(C92,fichas_pdf[ap],fichas_pdf[tiene],"no tiene en pdf",0,1)</f>
        <v>1</v>
      </c>
      <c r="R92" s="4"/>
      <c r="S92" s="4"/>
      <c r="T92" s="4"/>
      <c r="U92" s="4"/>
      <c r="V92" s="4"/>
      <c r="W92" s="4"/>
    </row>
    <row r="93" ht="15.75" customHeight="1">
      <c r="A93" s="9">
        <v>99.0</v>
      </c>
      <c r="B93" s="10">
        <v>2.9332369E7</v>
      </c>
      <c r="C93" s="10">
        <v>523.0</v>
      </c>
      <c r="D93" s="10">
        <v>3.4999032089E10</v>
      </c>
      <c r="E93" s="10"/>
      <c r="F93" s="10"/>
      <c r="G93" s="10"/>
      <c r="H93" s="10" t="s">
        <v>655</v>
      </c>
      <c r="I93" s="10" t="s">
        <v>656</v>
      </c>
      <c r="J93" s="10"/>
      <c r="K93" s="10"/>
      <c r="L93" s="10"/>
      <c r="M93" s="10" t="s">
        <v>666</v>
      </c>
      <c r="N93" s="30">
        <v>42884.0</v>
      </c>
      <c r="O93" s="10">
        <f t="shared" si="1"/>
        <v>8</v>
      </c>
      <c r="P93" s="14"/>
      <c r="Q93" s="31" t="str">
        <f t="array" ref="Q93">XLOOKUP(C93,fichas_pdf[ap],fichas_pdf[tiene],"no tiene en pdf",0,1)</f>
        <v>no tiene en pdf</v>
      </c>
      <c r="R93" s="4"/>
      <c r="S93" s="4"/>
      <c r="T93" s="4"/>
      <c r="U93" s="4"/>
      <c r="V93" s="4"/>
      <c r="W93" s="4"/>
    </row>
    <row r="94" ht="15.75" customHeight="1">
      <c r="A94" s="5">
        <v>100.0</v>
      </c>
      <c r="B94" s="6">
        <v>4.1556999E7</v>
      </c>
      <c r="C94" s="6">
        <v>3018.0</v>
      </c>
      <c r="D94" s="6">
        <v>3.4999032089E10</v>
      </c>
      <c r="E94" s="6"/>
      <c r="F94" s="6"/>
      <c r="G94" s="6"/>
      <c r="H94" s="6" t="s">
        <v>655</v>
      </c>
      <c r="I94" s="6" t="s">
        <v>656</v>
      </c>
      <c r="J94" s="6"/>
      <c r="K94" s="6"/>
      <c r="L94" s="6"/>
      <c r="M94" s="6" t="s">
        <v>664</v>
      </c>
      <c r="N94" s="28">
        <v>45140.0</v>
      </c>
      <c r="O94" s="6">
        <f t="shared" si="1"/>
        <v>2</v>
      </c>
      <c r="P94" s="7"/>
      <c r="Q94" s="29" t="str">
        <f t="array" ref="Q94">XLOOKUP(C94,fichas_pdf[ap],fichas_pdf[tiene],"no tiene en pdf",0,1)</f>
        <v>no tiene en pdf</v>
      </c>
      <c r="R94" s="4"/>
      <c r="S94" s="4"/>
      <c r="T94" s="4"/>
      <c r="U94" s="4"/>
      <c r="V94" s="4"/>
      <c r="W94" s="4"/>
    </row>
    <row r="95" ht="15.75" customHeight="1">
      <c r="A95" s="9">
        <v>101.0</v>
      </c>
      <c r="B95" s="10">
        <v>2.2650822E7</v>
      </c>
      <c r="C95" s="10">
        <v>114.0</v>
      </c>
      <c r="D95" s="10">
        <v>3.4999032089E10</v>
      </c>
      <c r="E95" s="10"/>
      <c r="F95" s="10"/>
      <c r="G95" s="10"/>
      <c r="H95" s="10" t="s">
        <v>655</v>
      </c>
      <c r="I95" s="10" t="s">
        <v>656</v>
      </c>
      <c r="J95" s="10"/>
      <c r="K95" s="10"/>
      <c r="L95" s="10"/>
      <c r="M95" s="10"/>
      <c r="N95" s="33">
        <v>42186.0</v>
      </c>
      <c r="O95" s="10">
        <f t="shared" si="1"/>
        <v>10</v>
      </c>
      <c r="P95" s="14"/>
      <c r="Q95" s="31" t="str">
        <f t="array" ref="Q95">XLOOKUP(C95,fichas_pdf[ap],fichas_pdf[tiene],"no tiene en pdf",0,1)</f>
        <v>no tiene en pdf</v>
      </c>
      <c r="R95" s="4"/>
      <c r="S95" s="4"/>
      <c r="T95" s="4"/>
      <c r="U95" s="4"/>
      <c r="V95" s="4"/>
      <c r="W95" s="4"/>
    </row>
    <row r="96" ht="15.75" customHeight="1">
      <c r="A96" s="5">
        <v>103.0</v>
      </c>
      <c r="B96" s="6">
        <v>3.5959231E7</v>
      </c>
      <c r="C96" s="6">
        <v>376.0</v>
      </c>
      <c r="D96" s="6">
        <v>3.4999032089E10</v>
      </c>
      <c r="E96" s="6"/>
      <c r="F96" s="6"/>
      <c r="G96" s="6"/>
      <c r="H96" s="6" t="s">
        <v>655</v>
      </c>
      <c r="I96" s="6" t="s">
        <v>656</v>
      </c>
      <c r="J96" s="6"/>
      <c r="K96" s="6"/>
      <c r="L96" s="6"/>
      <c r="M96" s="6" t="s">
        <v>664</v>
      </c>
      <c r="N96" s="28">
        <v>42884.0</v>
      </c>
      <c r="O96" s="6">
        <f t="shared" si="1"/>
        <v>8</v>
      </c>
      <c r="P96" s="7"/>
      <c r="Q96" s="29" t="str">
        <f t="array" ref="Q96">XLOOKUP(C96,fichas_pdf[ap],fichas_pdf[tiene],"no tiene en pdf",0,1)</f>
        <v>no tiene en pdf</v>
      </c>
      <c r="R96" s="4"/>
      <c r="S96" s="4"/>
      <c r="T96" s="4"/>
      <c r="U96" s="4"/>
      <c r="V96" s="4"/>
      <c r="W96" s="4"/>
    </row>
    <row r="97" ht="15.75" customHeight="1">
      <c r="A97" s="9">
        <v>104.0</v>
      </c>
      <c r="B97" s="10">
        <v>2.8418896E7</v>
      </c>
      <c r="C97" s="10">
        <v>1978.0</v>
      </c>
      <c r="D97" s="10">
        <v>3.4999032089E10</v>
      </c>
      <c r="E97" s="10"/>
      <c r="F97" s="10"/>
      <c r="G97" s="10"/>
      <c r="H97" s="10" t="s">
        <v>655</v>
      </c>
      <c r="I97" s="10" t="s">
        <v>656</v>
      </c>
      <c r="J97" s="10"/>
      <c r="K97" s="10"/>
      <c r="L97" s="10"/>
      <c r="M97" s="10" t="s">
        <v>664</v>
      </c>
      <c r="N97" s="30"/>
      <c r="O97" s="10">
        <f t="shared" si="1"/>
        <v>126</v>
      </c>
      <c r="P97" s="14"/>
      <c r="Q97" s="31">
        <f t="array" ref="Q97">XLOOKUP(C97,fichas_pdf[ap],fichas_pdf[tiene],"no tiene en pdf",0,1)</f>
        <v>1</v>
      </c>
      <c r="R97" s="4"/>
      <c r="S97" s="4"/>
      <c r="T97" s="4"/>
      <c r="U97" s="4"/>
      <c r="V97" s="4"/>
      <c r="W97" s="4"/>
    </row>
    <row r="98" ht="15.75" customHeight="1">
      <c r="A98" s="5">
        <v>105.0</v>
      </c>
      <c r="B98" s="6">
        <v>4.0137655E7</v>
      </c>
      <c r="C98" s="6">
        <v>2324.0</v>
      </c>
      <c r="D98" s="6">
        <v>3.4999032089E10</v>
      </c>
      <c r="E98" s="6"/>
      <c r="F98" s="6"/>
      <c r="G98" s="6"/>
      <c r="H98" s="6" t="s">
        <v>655</v>
      </c>
      <c r="I98" s="6" t="s">
        <v>656</v>
      </c>
      <c r="J98" s="6"/>
      <c r="K98" s="6"/>
      <c r="L98" s="6"/>
      <c r="M98" s="6" t="s">
        <v>664</v>
      </c>
      <c r="N98" s="28"/>
      <c r="O98" s="6">
        <f t="shared" si="1"/>
        <v>126</v>
      </c>
      <c r="P98" s="7"/>
      <c r="Q98" s="29">
        <f t="array" ref="Q98">XLOOKUP(C98,fichas_pdf[ap],fichas_pdf[tiene],"no tiene en pdf",0,1)</f>
        <v>1</v>
      </c>
      <c r="R98" s="4"/>
      <c r="S98" s="4"/>
      <c r="T98" s="4"/>
      <c r="U98" s="4"/>
      <c r="V98" s="4"/>
      <c r="W98" s="4"/>
    </row>
    <row r="99" ht="15.75" customHeight="1">
      <c r="A99" s="9">
        <v>106.0</v>
      </c>
      <c r="B99" s="10">
        <v>4.0390933E7</v>
      </c>
      <c r="C99" s="10">
        <v>1543.0</v>
      </c>
      <c r="D99" s="10">
        <v>3.4999032089E10</v>
      </c>
      <c r="E99" s="10"/>
      <c r="F99" s="10"/>
      <c r="G99" s="10"/>
      <c r="H99" s="10" t="s">
        <v>655</v>
      </c>
      <c r="I99" s="10" t="s">
        <v>656</v>
      </c>
      <c r="J99" s="10"/>
      <c r="K99" s="10"/>
      <c r="L99" s="10"/>
      <c r="M99" s="10" t="s">
        <v>664</v>
      </c>
      <c r="N99" s="33">
        <v>43405.0</v>
      </c>
      <c r="O99" s="10">
        <f t="shared" si="1"/>
        <v>7</v>
      </c>
      <c r="P99" s="14"/>
      <c r="Q99" s="31" t="str">
        <f t="array" ref="Q99">XLOOKUP(C99,fichas_pdf[ap],fichas_pdf[tiene],"no tiene en pdf",0,1)</f>
        <v>no tiene en pdf</v>
      </c>
      <c r="R99" s="4"/>
      <c r="S99" s="4"/>
      <c r="T99" s="4"/>
      <c r="U99" s="4"/>
      <c r="V99" s="4"/>
      <c r="W99" s="4"/>
    </row>
    <row r="100" ht="15.75" customHeight="1">
      <c r="A100" s="5">
        <v>107.0</v>
      </c>
      <c r="B100" s="6">
        <v>4.0239878E7</v>
      </c>
      <c r="C100" s="6">
        <v>1739.0</v>
      </c>
      <c r="D100" s="6">
        <v>3.4999032089E10</v>
      </c>
      <c r="E100" s="6"/>
      <c r="F100" s="6"/>
      <c r="G100" s="6"/>
      <c r="H100" s="6" t="s">
        <v>655</v>
      </c>
      <c r="I100" s="6" t="s">
        <v>656</v>
      </c>
      <c r="J100" s="6"/>
      <c r="K100" s="6"/>
      <c r="L100" s="6"/>
      <c r="M100" s="6" t="s">
        <v>664</v>
      </c>
      <c r="N100" s="28">
        <v>43710.0</v>
      </c>
      <c r="O100" s="6">
        <f t="shared" si="1"/>
        <v>6</v>
      </c>
      <c r="P100" s="7"/>
      <c r="Q100" s="29" t="str">
        <f t="array" ref="Q100">XLOOKUP(C100,fichas_pdf[ap],fichas_pdf[tiene],"no tiene en pdf",0,1)</f>
        <v>no tiene en pdf</v>
      </c>
      <c r="R100" s="4"/>
      <c r="S100" s="4"/>
      <c r="T100" s="4"/>
      <c r="U100" s="4"/>
      <c r="V100" s="4"/>
      <c r="W100" s="4"/>
    </row>
    <row r="101" ht="15.75" customHeight="1">
      <c r="A101" s="9">
        <v>108.0</v>
      </c>
      <c r="B101" s="10">
        <v>9.499782E7</v>
      </c>
      <c r="C101" s="10"/>
      <c r="D101" s="10">
        <v>3.4999032089E10</v>
      </c>
      <c r="E101" s="10"/>
      <c r="F101" s="10"/>
      <c r="G101" s="10"/>
      <c r="H101" s="10" t="s">
        <v>655</v>
      </c>
      <c r="I101" s="10" t="s">
        <v>656</v>
      </c>
      <c r="J101" s="10"/>
      <c r="K101" s="10"/>
      <c r="L101" s="10"/>
      <c r="M101" s="10" t="s">
        <v>664</v>
      </c>
      <c r="N101" s="30">
        <v>44510.0</v>
      </c>
      <c r="O101" s="10">
        <f t="shared" si="1"/>
        <v>4</v>
      </c>
      <c r="P101" s="14"/>
      <c r="Q101" s="31" t="str">
        <f t="array" ref="Q101">XLOOKUP(C101,fichas_pdf[ap],fichas_pdf[tiene],"no tiene en pdf",0,1)</f>
        <v>no tiene en pdf</v>
      </c>
      <c r="R101" s="4"/>
      <c r="S101" s="4"/>
      <c r="T101" s="4"/>
      <c r="U101" s="4"/>
      <c r="V101" s="4"/>
      <c r="W101" s="4"/>
    </row>
    <row r="102" ht="15.75" customHeight="1">
      <c r="A102" s="5">
        <v>109.0</v>
      </c>
      <c r="B102" s="6">
        <v>2.5847688E7</v>
      </c>
      <c r="C102" s="6">
        <v>3199.0</v>
      </c>
      <c r="D102" s="6">
        <v>3.4999032089E10</v>
      </c>
      <c r="E102" s="6"/>
      <c r="F102" s="6"/>
      <c r="G102" s="6"/>
      <c r="H102" s="6" t="s">
        <v>655</v>
      </c>
      <c r="I102" s="6" t="s">
        <v>656</v>
      </c>
      <c r="J102" s="6"/>
      <c r="K102" s="6"/>
      <c r="L102" s="6"/>
      <c r="M102" s="6" t="s">
        <v>664</v>
      </c>
      <c r="N102" s="28"/>
      <c r="O102" s="6">
        <f t="shared" si="1"/>
        <v>126</v>
      </c>
      <c r="P102" s="7"/>
      <c r="Q102" s="29" t="str">
        <f t="array" ref="Q102">XLOOKUP(C102,fichas_pdf[ap],fichas_pdf[tiene],"no tiene en pdf",0,1)</f>
        <v>no tiene en pdf</v>
      </c>
      <c r="R102" s="4"/>
      <c r="S102" s="4"/>
      <c r="T102" s="4"/>
      <c r="U102" s="4"/>
      <c r="V102" s="4"/>
      <c r="W102" s="4"/>
    </row>
    <row r="103" ht="15.75" customHeight="1">
      <c r="A103" s="9">
        <v>110.0</v>
      </c>
      <c r="B103" s="10">
        <v>3.8152098E7</v>
      </c>
      <c r="C103" s="10">
        <v>1594.0</v>
      </c>
      <c r="D103" s="10">
        <v>3.4999032089E10</v>
      </c>
      <c r="E103" s="10"/>
      <c r="F103" s="10"/>
      <c r="G103" s="10"/>
      <c r="H103" s="10" t="s">
        <v>655</v>
      </c>
      <c r="I103" s="10" t="s">
        <v>656</v>
      </c>
      <c r="J103" s="10"/>
      <c r="K103" s="10"/>
      <c r="L103" s="10"/>
      <c r="M103" s="10" t="s">
        <v>664</v>
      </c>
      <c r="N103" s="30">
        <v>43497.0</v>
      </c>
      <c r="O103" s="10">
        <f t="shared" si="1"/>
        <v>6</v>
      </c>
      <c r="P103" s="14">
        <v>1.0</v>
      </c>
      <c r="Q103" s="35" t="str">
        <f t="array" ref="Q103">XLOOKUP(C103,fichas_pdf[ap],fichas_pdf[tiene],"no tiene en pdf",0,1)</f>
        <v>no tiene en pdf</v>
      </c>
      <c r="R103" s="4"/>
      <c r="S103" s="4"/>
      <c r="T103" s="4"/>
      <c r="U103" s="4"/>
      <c r="V103" s="4"/>
      <c r="W103" s="4"/>
    </row>
    <row r="104" ht="15.75" customHeight="1">
      <c r="A104" s="5">
        <v>111.0</v>
      </c>
      <c r="B104" s="6">
        <v>4.0698496E7</v>
      </c>
      <c r="C104" s="6">
        <v>2830.0</v>
      </c>
      <c r="D104" s="6">
        <v>3.4999032089E10</v>
      </c>
      <c r="E104" s="6"/>
      <c r="F104" s="6"/>
      <c r="G104" s="6"/>
      <c r="H104" s="6" t="s">
        <v>655</v>
      </c>
      <c r="I104" s="6" t="s">
        <v>656</v>
      </c>
      <c r="J104" s="6"/>
      <c r="K104" s="6"/>
      <c r="L104" s="6"/>
      <c r="M104" s="6" t="s">
        <v>664</v>
      </c>
      <c r="N104" s="28"/>
      <c r="O104" s="6">
        <f t="shared" si="1"/>
        <v>126</v>
      </c>
      <c r="P104" s="7"/>
      <c r="Q104" s="29" t="str">
        <f t="array" ref="Q104">XLOOKUP(C104,fichas_pdf[ap],fichas_pdf[tiene],"no tiene en pdf",0,1)</f>
        <v>no tiene en pdf</v>
      </c>
      <c r="R104" s="4"/>
      <c r="S104" s="4"/>
      <c r="T104" s="4"/>
      <c r="U104" s="4"/>
      <c r="V104" s="4"/>
      <c r="W104" s="4"/>
    </row>
    <row r="105" ht="15.75" customHeight="1">
      <c r="A105" s="9">
        <v>112.0</v>
      </c>
      <c r="B105" s="10">
        <v>3.0465419E7</v>
      </c>
      <c r="C105" s="10">
        <v>1124.0</v>
      </c>
      <c r="D105" s="10">
        <v>3.4999032089E10</v>
      </c>
      <c r="E105" s="10"/>
      <c r="F105" s="10"/>
      <c r="G105" s="10"/>
      <c r="H105" s="10" t="s">
        <v>655</v>
      </c>
      <c r="I105" s="10" t="s">
        <v>656</v>
      </c>
      <c r="J105" s="10"/>
      <c r="K105" s="10"/>
      <c r="L105" s="10"/>
      <c r="M105" s="10" t="s">
        <v>664</v>
      </c>
      <c r="N105" s="33">
        <v>43009.0</v>
      </c>
      <c r="O105" s="10">
        <f t="shared" si="1"/>
        <v>8</v>
      </c>
      <c r="P105" s="14"/>
      <c r="Q105" s="31">
        <f t="array" ref="Q105">XLOOKUP(C105,fichas_pdf[ap],fichas_pdf[tiene],"no tiene en pdf",0,1)</f>
        <v>1</v>
      </c>
      <c r="R105" s="4"/>
      <c r="S105" s="4"/>
      <c r="T105" s="4"/>
      <c r="U105" s="4"/>
      <c r="V105" s="4"/>
      <c r="W105" s="4"/>
    </row>
    <row r="106" ht="15.75" customHeight="1">
      <c r="A106" s="5">
        <v>113.0</v>
      </c>
      <c r="B106" s="6">
        <v>4.5285264E7</v>
      </c>
      <c r="C106" s="7">
        <v>2518.0</v>
      </c>
      <c r="D106" s="6">
        <v>3.4999032089E10</v>
      </c>
      <c r="E106" s="6"/>
      <c r="F106" s="6"/>
      <c r="G106" s="6"/>
      <c r="H106" s="6" t="s">
        <v>655</v>
      </c>
      <c r="I106" s="6" t="s">
        <v>656</v>
      </c>
      <c r="J106" s="6"/>
      <c r="K106" s="6"/>
      <c r="L106" s="6"/>
      <c r="M106" s="6" t="s">
        <v>664</v>
      </c>
      <c r="N106" s="28"/>
      <c r="O106" s="6">
        <f t="shared" si="1"/>
        <v>126</v>
      </c>
      <c r="P106" s="7"/>
      <c r="Q106" s="29">
        <f t="array" ref="Q106">XLOOKUP(C106,fichas_pdf[ap],fichas_pdf[tiene],"no tiene en pdf",0,1)</f>
        <v>1</v>
      </c>
      <c r="R106" s="4"/>
      <c r="S106" s="4"/>
      <c r="T106" s="4"/>
      <c r="U106" s="4"/>
      <c r="V106" s="4"/>
      <c r="W106" s="4"/>
    </row>
    <row r="107" ht="15.75" customHeight="1">
      <c r="A107" s="9">
        <v>114.0</v>
      </c>
      <c r="B107" s="10">
        <v>4.0850341E7</v>
      </c>
      <c r="C107" s="10">
        <v>1693.0</v>
      </c>
      <c r="D107" s="10">
        <v>3.4999032089E10</v>
      </c>
      <c r="E107" s="10"/>
      <c r="F107" s="10"/>
      <c r="G107" s="10"/>
      <c r="H107" s="10" t="s">
        <v>655</v>
      </c>
      <c r="I107" s="10" t="s">
        <v>656</v>
      </c>
      <c r="J107" s="10"/>
      <c r="K107" s="10"/>
      <c r="L107" s="10"/>
      <c r="M107" s="10" t="s">
        <v>664</v>
      </c>
      <c r="N107" s="30">
        <v>43234.0</v>
      </c>
      <c r="O107" s="10">
        <f t="shared" si="1"/>
        <v>7</v>
      </c>
      <c r="P107" s="14">
        <v>1.0</v>
      </c>
      <c r="Q107" s="35" t="str">
        <f t="array" ref="Q107">XLOOKUP(C107,fichas_pdf[ap],fichas_pdf[tiene],"no tiene en pdf",0,1)</f>
        <v>no tiene en pdf</v>
      </c>
      <c r="R107" s="4"/>
      <c r="S107" s="4"/>
      <c r="T107" s="4"/>
      <c r="U107" s="4"/>
      <c r="V107" s="4"/>
      <c r="W107" s="4"/>
    </row>
    <row r="108" ht="15.75" customHeight="1">
      <c r="A108" s="5">
        <v>115.0</v>
      </c>
      <c r="B108" s="6">
        <v>2.5681364E7</v>
      </c>
      <c r="C108" s="6">
        <v>1953.0</v>
      </c>
      <c r="D108" s="6">
        <v>3.4999032089E10</v>
      </c>
      <c r="E108" s="6"/>
      <c r="F108" s="6"/>
      <c r="G108" s="6"/>
      <c r="H108" s="6" t="s">
        <v>655</v>
      </c>
      <c r="I108" s="6" t="s">
        <v>656</v>
      </c>
      <c r="J108" s="6"/>
      <c r="K108" s="6"/>
      <c r="L108" s="6"/>
      <c r="M108" s="6" t="s">
        <v>664</v>
      </c>
      <c r="N108" s="28">
        <v>44627.0</v>
      </c>
      <c r="O108" s="6">
        <f t="shared" si="1"/>
        <v>3</v>
      </c>
      <c r="P108" s="7"/>
      <c r="Q108" s="29">
        <f t="array" ref="Q108">XLOOKUP(C108,fichas_pdf[ap],fichas_pdf[tiene],"no tiene en pdf",0,1)</f>
        <v>1</v>
      </c>
      <c r="R108" s="4"/>
      <c r="S108" s="4"/>
      <c r="T108" s="4"/>
      <c r="U108" s="4"/>
      <c r="V108" s="4"/>
      <c r="W108" s="4"/>
    </row>
    <row r="109" ht="15.75" customHeight="1">
      <c r="A109" s="9">
        <v>116.0</v>
      </c>
      <c r="B109" s="10">
        <v>3.7099313E7</v>
      </c>
      <c r="C109" s="10">
        <v>1862.0</v>
      </c>
      <c r="D109" s="10">
        <v>3.4999032089E10</v>
      </c>
      <c r="E109" s="10"/>
      <c r="F109" s="10"/>
      <c r="G109" s="10"/>
      <c r="H109" s="10" t="s">
        <v>655</v>
      </c>
      <c r="I109" s="10" t="s">
        <v>656</v>
      </c>
      <c r="J109" s="10"/>
      <c r="K109" s="10"/>
      <c r="L109" s="10"/>
      <c r="M109" s="10" t="s">
        <v>664</v>
      </c>
      <c r="N109" s="30">
        <v>44256.0</v>
      </c>
      <c r="O109" s="10">
        <f t="shared" si="1"/>
        <v>4</v>
      </c>
      <c r="P109" s="14"/>
      <c r="Q109" s="31" t="str">
        <f t="array" ref="Q109">XLOOKUP(C109,fichas_pdf[ap],fichas_pdf[tiene],"no tiene en pdf",0,1)</f>
        <v>no tiene en pdf</v>
      </c>
      <c r="R109" s="4"/>
      <c r="S109" s="4"/>
      <c r="T109" s="4"/>
      <c r="U109" s="4"/>
      <c r="V109" s="4"/>
      <c r="W109" s="4"/>
    </row>
    <row r="110" ht="15.75" customHeight="1">
      <c r="A110" s="5">
        <v>118.0</v>
      </c>
      <c r="B110" s="6">
        <v>4.49638E7</v>
      </c>
      <c r="C110" s="6">
        <v>2680.0</v>
      </c>
      <c r="D110" s="6">
        <v>3.4999032089E10</v>
      </c>
      <c r="E110" s="6"/>
      <c r="F110" s="6"/>
      <c r="G110" s="6"/>
      <c r="H110" s="6" t="s">
        <v>655</v>
      </c>
      <c r="I110" s="6" t="s">
        <v>656</v>
      </c>
      <c r="J110" s="6"/>
      <c r="K110" s="6"/>
      <c r="L110" s="6"/>
      <c r="M110" s="6" t="s">
        <v>664</v>
      </c>
      <c r="N110" s="28"/>
      <c r="O110" s="6">
        <f t="shared" si="1"/>
        <v>126</v>
      </c>
      <c r="P110" s="7"/>
      <c r="Q110" s="29">
        <f t="array" ref="Q110">XLOOKUP(C110,fichas_pdf[ap],fichas_pdf[tiene],"no tiene en pdf",0,1)</f>
        <v>1</v>
      </c>
      <c r="R110" s="4"/>
      <c r="S110" s="4"/>
      <c r="T110" s="4"/>
      <c r="U110" s="4"/>
      <c r="V110" s="4"/>
      <c r="W110" s="4"/>
    </row>
    <row r="111" ht="15.75" customHeight="1">
      <c r="A111" s="9">
        <v>119.0</v>
      </c>
      <c r="B111" s="10">
        <v>1.906315E7</v>
      </c>
      <c r="C111" s="10">
        <v>996.0</v>
      </c>
      <c r="D111" s="10">
        <v>3.4999032089E10</v>
      </c>
      <c r="E111" s="10"/>
      <c r="F111" s="10"/>
      <c r="G111" s="10"/>
      <c r="H111" s="10" t="s">
        <v>655</v>
      </c>
      <c r="I111" s="10" t="s">
        <v>656</v>
      </c>
      <c r="J111" s="10"/>
      <c r="K111" s="10"/>
      <c r="L111" s="10"/>
      <c r="M111" s="10" t="s">
        <v>664</v>
      </c>
      <c r="N111" s="30">
        <v>42948.0</v>
      </c>
      <c r="O111" s="10">
        <f t="shared" si="1"/>
        <v>8</v>
      </c>
      <c r="P111" s="14"/>
      <c r="Q111" s="31" t="str">
        <f t="array" ref="Q111">XLOOKUP(C111,fichas_pdf[ap],fichas_pdf[tiene],"no tiene en pdf",0,1)</f>
        <v>no tiene en pdf</v>
      </c>
      <c r="R111" s="4"/>
      <c r="S111" s="4"/>
      <c r="T111" s="4"/>
      <c r="U111" s="4"/>
      <c r="V111" s="4"/>
      <c r="W111" s="4"/>
    </row>
    <row r="112" ht="15.75" customHeight="1">
      <c r="A112" s="5">
        <v>121.0</v>
      </c>
      <c r="B112" s="6">
        <v>3.8838668E7</v>
      </c>
      <c r="C112" s="6">
        <v>1970.0</v>
      </c>
      <c r="D112" s="6">
        <v>3.4999032089E10</v>
      </c>
      <c r="E112" s="6"/>
      <c r="F112" s="6"/>
      <c r="G112" s="6"/>
      <c r="H112" s="6" t="s">
        <v>655</v>
      </c>
      <c r="I112" s="6" t="s">
        <v>656</v>
      </c>
      <c r="J112" s="6"/>
      <c r="K112" s="6"/>
      <c r="L112" s="6"/>
      <c r="M112" s="6" t="s">
        <v>664</v>
      </c>
      <c r="N112" s="28">
        <v>44774.0</v>
      </c>
      <c r="O112" s="6">
        <f t="shared" si="1"/>
        <v>3</v>
      </c>
      <c r="P112" s="7"/>
      <c r="Q112" s="29">
        <f t="array" ref="Q112">XLOOKUP(C112,fichas_pdf[ap],fichas_pdf[tiene],"no tiene en pdf",0,1)</f>
        <v>1</v>
      </c>
      <c r="R112" s="4"/>
      <c r="S112" s="4"/>
      <c r="T112" s="4"/>
      <c r="U112" s="4"/>
      <c r="V112" s="4"/>
      <c r="W112" s="4"/>
    </row>
    <row r="113" ht="15.75" customHeight="1">
      <c r="A113" s="9">
        <v>122.0</v>
      </c>
      <c r="B113" s="10">
        <v>3.1624543E7</v>
      </c>
      <c r="C113" s="14">
        <v>1365.0</v>
      </c>
      <c r="D113" s="10">
        <v>3.4999032089E10</v>
      </c>
      <c r="E113" s="10"/>
      <c r="F113" s="10"/>
      <c r="G113" s="10"/>
      <c r="H113" s="10" t="s">
        <v>655</v>
      </c>
      <c r="I113" s="10" t="s">
        <v>656</v>
      </c>
      <c r="J113" s="10"/>
      <c r="K113" s="10"/>
      <c r="L113" s="10"/>
      <c r="M113" s="10" t="s">
        <v>664</v>
      </c>
      <c r="N113" s="33">
        <v>43100.0</v>
      </c>
      <c r="O113" s="10">
        <f t="shared" si="1"/>
        <v>8</v>
      </c>
      <c r="P113" s="14">
        <v>0.0</v>
      </c>
      <c r="Q113" s="31">
        <f t="array" ref="Q113">XLOOKUP(C113,fichas_pdf[ap],fichas_pdf[tiene],"no tiene en pdf",0,1)</f>
        <v>1</v>
      </c>
      <c r="R113" s="4"/>
      <c r="S113" s="4"/>
      <c r="T113" s="4"/>
      <c r="U113" s="4"/>
      <c r="V113" s="4"/>
      <c r="W113" s="4"/>
    </row>
    <row r="114" ht="15.75" customHeight="1">
      <c r="A114" s="5">
        <v>123.0</v>
      </c>
      <c r="B114" s="6">
        <v>2.9400848E7</v>
      </c>
      <c r="C114" s="6">
        <v>2340.0</v>
      </c>
      <c r="D114" s="6">
        <v>3.4999032089E10</v>
      </c>
      <c r="E114" s="6"/>
      <c r="F114" s="6"/>
      <c r="G114" s="6"/>
      <c r="H114" s="6" t="s">
        <v>655</v>
      </c>
      <c r="I114" s="6" t="s">
        <v>656</v>
      </c>
      <c r="J114" s="6"/>
      <c r="K114" s="6"/>
      <c r="L114" s="6"/>
      <c r="M114" s="6" t="s">
        <v>664</v>
      </c>
      <c r="N114" s="28"/>
      <c r="O114" s="6">
        <f t="shared" si="1"/>
        <v>126</v>
      </c>
      <c r="P114" s="7"/>
      <c r="Q114" s="29">
        <f t="array" ref="Q114">XLOOKUP(C114,fichas_pdf[ap],fichas_pdf[tiene],"no tiene en pdf",0,1)</f>
        <v>1</v>
      </c>
      <c r="R114" s="4"/>
      <c r="S114" s="4"/>
      <c r="T114" s="4"/>
      <c r="U114" s="4"/>
      <c r="V114" s="4"/>
      <c r="W114" s="4"/>
    </row>
    <row r="115" ht="15.75" customHeight="1">
      <c r="A115" s="9">
        <v>124.0</v>
      </c>
      <c r="B115" s="10">
        <v>3.1575604E7</v>
      </c>
      <c r="C115" s="10">
        <v>1004.0</v>
      </c>
      <c r="D115" s="10">
        <v>3.4999032089E10</v>
      </c>
      <c r="E115" s="10"/>
      <c r="F115" s="10"/>
      <c r="G115" s="10"/>
      <c r="H115" s="10" t="s">
        <v>655</v>
      </c>
      <c r="I115" s="10" t="s">
        <v>656</v>
      </c>
      <c r="J115" s="10"/>
      <c r="K115" s="10"/>
      <c r="L115" s="10"/>
      <c r="M115" s="10" t="s">
        <v>664</v>
      </c>
      <c r="N115" s="30">
        <v>43009.0</v>
      </c>
      <c r="O115" s="10">
        <f t="shared" si="1"/>
        <v>8</v>
      </c>
      <c r="P115" s="14"/>
      <c r="Q115" s="31">
        <f t="array" ref="Q115">XLOOKUP(C115,fichas_pdf[ap],fichas_pdf[tiene],"no tiene en pdf",0,1)</f>
        <v>1</v>
      </c>
      <c r="R115" s="4"/>
      <c r="S115" s="4"/>
      <c r="T115" s="4"/>
      <c r="U115" s="4"/>
      <c r="V115" s="4"/>
      <c r="W115" s="4"/>
    </row>
    <row r="116" ht="15.75" customHeight="1">
      <c r="A116" s="5">
        <v>125.0</v>
      </c>
      <c r="B116" s="6">
        <v>9.5040589E7</v>
      </c>
      <c r="C116" s="6">
        <v>180.0</v>
      </c>
      <c r="D116" s="6">
        <v>3.4999032089E10</v>
      </c>
      <c r="E116" s="6"/>
      <c r="F116" s="6"/>
      <c r="G116" s="6"/>
      <c r="H116" s="6" t="s">
        <v>655</v>
      </c>
      <c r="I116" s="6" t="s">
        <v>656</v>
      </c>
      <c r="J116" s="6"/>
      <c r="K116" s="6"/>
      <c r="L116" s="6"/>
      <c r="M116" s="6" t="s">
        <v>664</v>
      </c>
      <c r="N116" s="28">
        <v>42615.0</v>
      </c>
      <c r="O116" s="6">
        <f t="shared" si="1"/>
        <v>9</v>
      </c>
      <c r="P116" s="7"/>
      <c r="Q116" s="29" t="str">
        <f t="array" ref="Q116">XLOOKUP(C116,fichas_pdf[ap],fichas_pdf[tiene],"no tiene en pdf",0,1)</f>
        <v>no tiene en pdf</v>
      </c>
      <c r="R116" s="4"/>
      <c r="S116" s="4"/>
      <c r="T116" s="4"/>
      <c r="U116" s="4"/>
      <c r="V116" s="4"/>
      <c r="W116" s="4"/>
    </row>
    <row r="117" ht="15.75" customHeight="1">
      <c r="A117" s="9">
        <v>126.0</v>
      </c>
      <c r="B117" s="10">
        <v>4.3624266E7</v>
      </c>
      <c r="C117" s="10">
        <v>3033.0</v>
      </c>
      <c r="D117" s="10">
        <v>3.4999032089E10</v>
      </c>
      <c r="E117" s="10"/>
      <c r="F117" s="10"/>
      <c r="G117" s="10"/>
      <c r="H117" s="10" t="s">
        <v>655</v>
      </c>
      <c r="I117" s="10" t="s">
        <v>656</v>
      </c>
      <c r="J117" s="10"/>
      <c r="K117" s="10"/>
      <c r="L117" s="10"/>
      <c r="M117" s="10" t="s">
        <v>664</v>
      </c>
      <c r="N117" s="30"/>
      <c r="O117" s="10">
        <f t="shared" si="1"/>
        <v>126</v>
      </c>
      <c r="P117" s="14"/>
      <c r="Q117" s="31" t="str">
        <f t="array" ref="Q117">XLOOKUP(C117,fichas_pdf[ap],fichas_pdf[tiene],"no tiene en pdf",0,1)</f>
        <v>no tiene en pdf</v>
      </c>
      <c r="R117" s="4"/>
      <c r="S117" s="4"/>
      <c r="T117" s="4"/>
      <c r="U117" s="4"/>
      <c r="V117" s="4"/>
      <c r="W117" s="4"/>
    </row>
    <row r="118" ht="15.75" customHeight="1">
      <c r="A118" s="5">
        <v>128.0</v>
      </c>
      <c r="B118" s="6">
        <v>4.3318554E7</v>
      </c>
      <c r="C118" s="7">
        <v>2351.0</v>
      </c>
      <c r="D118" s="6">
        <v>3.4999032089E10</v>
      </c>
      <c r="E118" s="6"/>
      <c r="F118" s="6"/>
      <c r="G118" s="6"/>
      <c r="H118" s="6" t="s">
        <v>655</v>
      </c>
      <c r="I118" s="6" t="s">
        <v>656</v>
      </c>
      <c r="J118" s="6"/>
      <c r="K118" s="6"/>
      <c r="L118" s="6"/>
      <c r="M118" s="6" t="s">
        <v>664</v>
      </c>
      <c r="N118" s="32">
        <v>44927.0</v>
      </c>
      <c r="O118" s="6">
        <f t="shared" si="1"/>
        <v>2</v>
      </c>
      <c r="P118" s="7"/>
      <c r="Q118" s="29">
        <f t="array" ref="Q118">XLOOKUP(C118,fichas_pdf[ap],fichas_pdf[tiene],"no tiene en pdf",0,1)</f>
        <v>1</v>
      </c>
      <c r="R118" s="4"/>
      <c r="S118" s="4"/>
      <c r="T118" s="4"/>
      <c r="U118" s="4"/>
      <c r="V118" s="4"/>
      <c r="W118" s="4"/>
    </row>
    <row r="119" ht="15.75" customHeight="1">
      <c r="A119" s="9">
        <v>130.0</v>
      </c>
      <c r="B119" s="10">
        <v>3.4436156E7</v>
      </c>
      <c r="C119" s="10">
        <v>1917.0</v>
      </c>
      <c r="D119" s="10">
        <v>3.4999032089E10</v>
      </c>
      <c r="E119" s="10"/>
      <c r="F119" s="10"/>
      <c r="G119" s="10"/>
      <c r="H119" s="10" t="s">
        <v>655</v>
      </c>
      <c r="I119" s="10" t="s">
        <v>656</v>
      </c>
      <c r="J119" s="10"/>
      <c r="K119" s="10"/>
      <c r="L119" s="10"/>
      <c r="M119" s="10" t="s">
        <v>664</v>
      </c>
      <c r="N119" s="30"/>
      <c r="O119" s="10">
        <f t="shared" si="1"/>
        <v>126</v>
      </c>
      <c r="P119" s="14"/>
      <c r="Q119" s="31" t="str">
        <f t="array" ref="Q119">XLOOKUP(C119,fichas_pdf[ap],fichas_pdf[tiene],"no tiene en pdf",0,1)</f>
        <v>no tiene en pdf</v>
      </c>
      <c r="R119" s="4"/>
      <c r="S119" s="4"/>
      <c r="T119" s="4"/>
      <c r="U119" s="4"/>
      <c r="V119" s="4"/>
      <c r="W119" s="4"/>
    </row>
    <row r="120" ht="15.75" customHeight="1">
      <c r="A120" s="5">
        <v>131.0</v>
      </c>
      <c r="B120" s="6">
        <v>3.9200084E7</v>
      </c>
      <c r="C120" s="6">
        <v>1662.0</v>
      </c>
      <c r="D120" s="6">
        <v>3.4999032089E10</v>
      </c>
      <c r="E120" s="6"/>
      <c r="F120" s="6"/>
      <c r="G120" s="6"/>
      <c r="H120" s="6" t="s">
        <v>655</v>
      </c>
      <c r="I120" s="6" t="s">
        <v>656</v>
      </c>
      <c r="J120" s="6"/>
      <c r="K120" s="6"/>
      <c r="L120" s="6"/>
      <c r="M120" s="6" t="s">
        <v>664</v>
      </c>
      <c r="N120" s="28">
        <v>43556.0</v>
      </c>
      <c r="O120" s="6">
        <f t="shared" si="1"/>
        <v>6</v>
      </c>
      <c r="P120" s="7">
        <v>1.0</v>
      </c>
      <c r="Q120" s="34" t="str">
        <f t="array" ref="Q120">XLOOKUP(C120,fichas_pdf[ap],fichas_pdf[tiene],"no tiene en pdf",0,1)</f>
        <v>no tiene en pdf</v>
      </c>
      <c r="R120" s="4"/>
      <c r="S120" s="4"/>
      <c r="T120" s="4"/>
      <c r="U120" s="4"/>
      <c r="V120" s="4"/>
      <c r="W120" s="4"/>
    </row>
    <row r="121" ht="15.75" customHeight="1">
      <c r="A121" s="9">
        <v>133.0</v>
      </c>
      <c r="B121" s="10">
        <v>3.1137587E7</v>
      </c>
      <c r="C121" s="10">
        <v>543.0</v>
      </c>
      <c r="D121" s="10">
        <v>3.4999032089E10</v>
      </c>
      <c r="E121" s="10"/>
      <c r="F121" s="10"/>
      <c r="G121" s="10"/>
      <c r="H121" s="10" t="s">
        <v>655</v>
      </c>
      <c r="I121" s="10" t="s">
        <v>656</v>
      </c>
      <c r="J121" s="10"/>
      <c r="K121" s="10"/>
      <c r="L121" s="10"/>
      <c r="M121" s="10" t="s">
        <v>664</v>
      </c>
      <c r="N121" s="30">
        <v>42917.0</v>
      </c>
      <c r="O121" s="10">
        <f t="shared" si="1"/>
        <v>8</v>
      </c>
      <c r="P121" s="14"/>
      <c r="Q121" s="31">
        <f t="array" ref="Q121">XLOOKUP(C121,fichas_pdf[ap],fichas_pdf[tiene],"no tiene en pdf",0,1)</f>
        <v>1</v>
      </c>
      <c r="R121" s="4"/>
      <c r="S121" s="4"/>
      <c r="T121" s="4"/>
      <c r="U121" s="4"/>
      <c r="V121" s="4"/>
      <c r="W121" s="4"/>
    </row>
    <row r="122" ht="15.75" customHeight="1">
      <c r="A122" s="5">
        <v>134.0</v>
      </c>
      <c r="B122" s="6">
        <v>3.8070572E7</v>
      </c>
      <c r="C122" s="6">
        <v>1775.0</v>
      </c>
      <c r="D122" s="6">
        <v>3.4999032089E10</v>
      </c>
      <c r="E122" s="6"/>
      <c r="F122" s="6"/>
      <c r="G122" s="6"/>
      <c r="H122" s="6" t="s">
        <v>655</v>
      </c>
      <c r="I122" s="6" t="s">
        <v>656</v>
      </c>
      <c r="J122" s="6"/>
      <c r="K122" s="6"/>
      <c r="L122" s="6"/>
      <c r="M122" s="6" t="s">
        <v>664</v>
      </c>
      <c r="N122" s="32">
        <v>43739.0</v>
      </c>
      <c r="O122" s="6">
        <f t="shared" si="1"/>
        <v>6</v>
      </c>
      <c r="P122" s="7"/>
      <c r="Q122" s="29">
        <f t="array" ref="Q122">XLOOKUP(C122,fichas_pdf[ap],fichas_pdf[tiene],"no tiene en pdf",0,1)</f>
        <v>1</v>
      </c>
      <c r="R122" s="4"/>
      <c r="S122" s="4"/>
      <c r="T122" s="4"/>
      <c r="U122" s="4"/>
      <c r="V122" s="4"/>
      <c r="W122" s="4"/>
    </row>
    <row r="123" ht="15.75" customHeight="1">
      <c r="A123" s="36">
        <v>135.0</v>
      </c>
      <c r="B123" s="10">
        <v>2.3839922E7</v>
      </c>
      <c r="C123" s="10">
        <v>1133.0</v>
      </c>
      <c r="D123" s="10">
        <v>3.4999032089E10</v>
      </c>
      <c r="E123" s="10"/>
      <c r="F123" s="10"/>
      <c r="G123" s="10"/>
      <c r="H123" s="10" t="s">
        <v>655</v>
      </c>
      <c r="I123" s="10" t="s">
        <v>656</v>
      </c>
      <c r="J123" s="10"/>
      <c r="K123" s="10"/>
      <c r="L123" s="10"/>
      <c r="M123" s="10" t="s">
        <v>664</v>
      </c>
      <c r="N123" s="30">
        <v>42957.0</v>
      </c>
      <c r="O123" s="10">
        <f t="shared" si="1"/>
        <v>8</v>
      </c>
      <c r="P123" s="14"/>
      <c r="Q123" s="31" t="str">
        <f t="array" ref="Q123">XLOOKUP(C123,fichas_pdf[ap],fichas_pdf[tiene],"no tiene en pdf",0,1)</f>
        <v>no tiene en pdf</v>
      </c>
      <c r="R123" s="4"/>
      <c r="S123" s="4"/>
      <c r="T123" s="4"/>
      <c r="U123" s="4"/>
      <c r="V123" s="4"/>
      <c r="W123" s="4"/>
    </row>
    <row r="124" ht="15.75" customHeight="1">
      <c r="A124" s="5">
        <v>137.0</v>
      </c>
      <c r="B124" s="6">
        <v>2.1365112E7</v>
      </c>
      <c r="C124" s="6">
        <v>1429.0</v>
      </c>
      <c r="D124" s="6">
        <v>3.4999032089E10</v>
      </c>
      <c r="E124" s="6"/>
      <c r="F124" s="6"/>
      <c r="G124" s="6"/>
      <c r="H124" s="6" t="s">
        <v>655</v>
      </c>
      <c r="I124" s="6" t="s">
        <v>656</v>
      </c>
      <c r="J124" s="6"/>
      <c r="K124" s="6"/>
      <c r="L124" s="6"/>
      <c r="M124" s="7" t="s">
        <v>665</v>
      </c>
      <c r="N124" s="28">
        <v>43344.0</v>
      </c>
      <c r="O124" s="6">
        <f t="shared" si="1"/>
        <v>7</v>
      </c>
      <c r="P124" s="7"/>
      <c r="Q124" s="29" t="str">
        <f t="array" ref="Q124">XLOOKUP(C124,fichas_pdf[ap],fichas_pdf[tiene],"no tiene en pdf",0,1)</f>
        <v>no tiene en pdf</v>
      </c>
      <c r="R124" s="4"/>
      <c r="S124" s="4"/>
      <c r="T124" s="4"/>
      <c r="U124" s="4"/>
      <c r="V124" s="4"/>
      <c r="W124" s="4"/>
    </row>
    <row r="125" ht="15.75" customHeight="1">
      <c r="A125" s="9">
        <v>138.0</v>
      </c>
      <c r="B125" s="10">
        <v>2.5530864E7</v>
      </c>
      <c r="C125" s="10">
        <v>1407.0</v>
      </c>
      <c r="D125" s="10">
        <v>3.4999032089E10</v>
      </c>
      <c r="E125" s="10"/>
      <c r="F125" s="10"/>
      <c r="G125" s="10"/>
      <c r="H125" s="10" t="s">
        <v>655</v>
      </c>
      <c r="I125" s="10" t="s">
        <v>656</v>
      </c>
      <c r="J125" s="10"/>
      <c r="K125" s="10"/>
      <c r="L125" s="10"/>
      <c r="M125" s="10" t="s">
        <v>664</v>
      </c>
      <c r="N125" s="30">
        <v>42278.0</v>
      </c>
      <c r="O125" s="10">
        <f t="shared" si="1"/>
        <v>10</v>
      </c>
      <c r="P125" s="14">
        <v>1.0</v>
      </c>
      <c r="Q125" s="35" t="str">
        <f t="array" ref="Q125">XLOOKUP(C125,fichas_pdf[ap],fichas_pdf[tiene],"no tiene en pdf",0,1)</f>
        <v>no tiene en pdf</v>
      </c>
      <c r="R125" s="4"/>
      <c r="S125" s="4"/>
      <c r="T125" s="4"/>
      <c r="U125" s="4"/>
      <c r="V125" s="4"/>
      <c r="W125" s="4"/>
    </row>
    <row r="126" ht="15.75" customHeight="1">
      <c r="A126" s="5">
        <v>139.0</v>
      </c>
      <c r="B126" s="6">
        <v>2.8168835E7</v>
      </c>
      <c r="C126" s="6">
        <v>1484.0</v>
      </c>
      <c r="D126" s="6">
        <v>3.4999032089E10</v>
      </c>
      <c r="E126" s="6"/>
      <c r="F126" s="6"/>
      <c r="G126" s="6"/>
      <c r="H126" s="6" t="s">
        <v>655</v>
      </c>
      <c r="I126" s="6" t="s">
        <v>656</v>
      </c>
      <c r="J126" s="6"/>
      <c r="K126" s="6"/>
      <c r="L126" s="6"/>
      <c r="M126" s="6" t="s">
        <v>664</v>
      </c>
      <c r="N126" s="28">
        <v>43395.0</v>
      </c>
      <c r="O126" s="6">
        <f t="shared" si="1"/>
        <v>7</v>
      </c>
      <c r="P126" s="7">
        <v>1.0</v>
      </c>
      <c r="Q126" s="34" t="str">
        <f t="array" ref="Q126">XLOOKUP(C126,fichas_pdf[ap],fichas_pdf[tiene],"no tiene en pdf",0,1)</f>
        <v>no tiene en pdf</v>
      </c>
      <c r="R126" s="4"/>
      <c r="S126" s="4"/>
      <c r="T126" s="4"/>
      <c r="U126" s="4"/>
      <c r="V126" s="4"/>
      <c r="W126" s="4"/>
    </row>
    <row r="127" ht="15.75" customHeight="1">
      <c r="A127" s="9">
        <v>140.0</v>
      </c>
      <c r="B127" s="10">
        <v>3.8625889E7</v>
      </c>
      <c r="C127" s="10">
        <v>2849.0</v>
      </c>
      <c r="D127" s="10">
        <v>3.4999032089E10</v>
      </c>
      <c r="E127" s="10"/>
      <c r="F127" s="10"/>
      <c r="G127" s="10"/>
      <c r="H127" s="10" t="s">
        <v>655</v>
      </c>
      <c r="I127" s="10" t="s">
        <v>656</v>
      </c>
      <c r="J127" s="10"/>
      <c r="K127" s="10"/>
      <c r="L127" s="10"/>
      <c r="M127" s="10" t="s">
        <v>664</v>
      </c>
      <c r="N127" s="30"/>
      <c r="O127" s="10">
        <f t="shared" si="1"/>
        <v>126</v>
      </c>
      <c r="P127" s="14"/>
      <c r="Q127" s="31" t="str">
        <f t="array" ref="Q127">XLOOKUP(C127,fichas_pdf[ap],fichas_pdf[tiene],"no tiene en pdf",0,1)</f>
        <v>no tiene en pdf</v>
      </c>
      <c r="R127" s="4"/>
      <c r="S127" s="4"/>
      <c r="T127" s="4"/>
      <c r="U127" s="4"/>
      <c r="V127" s="4"/>
      <c r="W127" s="4"/>
    </row>
    <row r="128" ht="15.75" customHeight="1">
      <c r="A128" s="5">
        <v>141.0</v>
      </c>
      <c r="B128" s="6">
        <v>3.9464452E7</v>
      </c>
      <c r="C128" s="6">
        <v>2537.0</v>
      </c>
      <c r="D128" s="6">
        <v>3.4999032089E10</v>
      </c>
      <c r="E128" s="6"/>
      <c r="F128" s="6"/>
      <c r="G128" s="6"/>
      <c r="H128" s="6" t="s">
        <v>655</v>
      </c>
      <c r="I128" s="6" t="s">
        <v>656</v>
      </c>
      <c r="J128" s="6"/>
      <c r="K128" s="6"/>
      <c r="L128" s="6"/>
      <c r="M128" s="6" t="s">
        <v>666</v>
      </c>
      <c r="N128" s="28"/>
      <c r="O128" s="6">
        <f t="shared" si="1"/>
        <v>126</v>
      </c>
      <c r="P128" s="7"/>
      <c r="Q128" s="29">
        <f t="array" ref="Q128">XLOOKUP(C128,fichas_pdf[ap],fichas_pdf[tiene],"no tiene en pdf",0,1)</f>
        <v>1</v>
      </c>
      <c r="R128" s="4"/>
      <c r="S128" s="4"/>
      <c r="T128" s="4"/>
      <c r="U128" s="4"/>
      <c r="V128" s="4"/>
      <c r="W128" s="4"/>
    </row>
    <row r="129" ht="15.75" customHeight="1">
      <c r="A129" s="9">
        <v>142.0</v>
      </c>
      <c r="B129" s="10">
        <v>9.5159988E7</v>
      </c>
      <c r="C129" s="10">
        <v>1776.0</v>
      </c>
      <c r="D129" s="10">
        <v>3.4999032089E10</v>
      </c>
      <c r="E129" s="10"/>
      <c r="F129" s="10"/>
      <c r="G129" s="10"/>
      <c r="H129" s="10" t="s">
        <v>655</v>
      </c>
      <c r="I129" s="10" t="s">
        <v>656</v>
      </c>
      <c r="J129" s="10"/>
      <c r="K129" s="10"/>
      <c r="L129" s="10"/>
      <c r="M129" s="10" t="s">
        <v>664</v>
      </c>
      <c r="N129" s="30">
        <v>43739.0</v>
      </c>
      <c r="O129" s="10">
        <f t="shared" si="1"/>
        <v>6</v>
      </c>
      <c r="P129" s="14"/>
      <c r="Q129" s="31" t="str">
        <f t="array" ref="Q129">XLOOKUP(C129,fichas_pdf[ap],fichas_pdf[tiene],"no tiene en pdf",0,1)</f>
        <v>no tiene en pdf</v>
      </c>
      <c r="R129" s="4"/>
      <c r="S129" s="4"/>
      <c r="T129" s="4"/>
      <c r="U129" s="4"/>
      <c r="V129" s="4"/>
      <c r="W129" s="4"/>
    </row>
    <row r="130" ht="15.75" customHeight="1">
      <c r="A130" s="5">
        <v>143.0</v>
      </c>
      <c r="B130" s="6">
        <v>3.3059642E7</v>
      </c>
      <c r="C130" s="6">
        <v>2856.0</v>
      </c>
      <c r="D130" s="6">
        <v>3.4999032089E10</v>
      </c>
      <c r="E130" s="6"/>
      <c r="F130" s="6"/>
      <c r="G130" s="6"/>
      <c r="H130" s="6" t="s">
        <v>655</v>
      </c>
      <c r="I130" s="6" t="s">
        <v>656</v>
      </c>
      <c r="J130" s="6"/>
      <c r="K130" s="6"/>
      <c r="L130" s="6"/>
      <c r="M130" s="6" t="s">
        <v>664</v>
      </c>
      <c r="N130" s="28"/>
      <c r="O130" s="6">
        <f t="shared" si="1"/>
        <v>126</v>
      </c>
      <c r="P130" s="7"/>
      <c r="Q130" s="29" t="str">
        <f t="array" ref="Q130">XLOOKUP(C130,fichas_pdf[ap],fichas_pdf[tiene],"no tiene en pdf",0,1)</f>
        <v>no tiene en pdf</v>
      </c>
      <c r="R130" s="4"/>
      <c r="S130" s="4"/>
      <c r="T130" s="4"/>
      <c r="U130" s="4"/>
      <c r="V130" s="4"/>
      <c r="W130" s="4"/>
    </row>
    <row r="131" ht="15.75" customHeight="1">
      <c r="A131" s="9">
        <v>144.0</v>
      </c>
      <c r="B131" s="10">
        <v>3.0161994E7</v>
      </c>
      <c r="C131" s="10">
        <v>2001.0</v>
      </c>
      <c r="D131" s="10">
        <v>3.4999032089E10</v>
      </c>
      <c r="E131" s="10"/>
      <c r="F131" s="10"/>
      <c r="G131" s="10"/>
      <c r="H131" s="10" t="s">
        <v>655</v>
      </c>
      <c r="I131" s="10" t="s">
        <v>656</v>
      </c>
      <c r="J131" s="10"/>
      <c r="K131" s="10"/>
      <c r="L131" s="10"/>
      <c r="M131" s="10" t="s">
        <v>664</v>
      </c>
      <c r="N131" s="30">
        <v>44791.0</v>
      </c>
      <c r="O131" s="10">
        <f t="shared" si="1"/>
        <v>3</v>
      </c>
      <c r="P131" s="14"/>
      <c r="Q131" s="31">
        <f t="array" ref="Q131">XLOOKUP(C131,fichas_pdf[ap],fichas_pdf[tiene],"no tiene en pdf",0,1)</f>
        <v>1</v>
      </c>
      <c r="R131" s="4"/>
      <c r="S131" s="4"/>
      <c r="T131" s="4"/>
      <c r="U131" s="4"/>
      <c r="V131" s="4"/>
      <c r="W131" s="4"/>
    </row>
    <row r="132" ht="15.75" customHeight="1">
      <c r="A132" s="5">
        <v>146.0</v>
      </c>
      <c r="B132" s="6">
        <v>3.6375804E7</v>
      </c>
      <c r="C132" s="6">
        <v>1234.0</v>
      </c>
      <c r="D132" s="6">
        <v>3.4999032089E10</v>
      </c>
      <c r="E132" s="6"/>
      <c r="F132" s="6"/>
      <c r="G132" s="6"/>
      <c r="H132" s="6" t="s">
        <v>655</v>
      </c>
      <c r="I132" s="6" t="s">
        <v>656</v>
      </c>
      <c r="J132" s="6"/>
      <c r="K132" s="6"/>
      <c r="L132" s="6"/>
      <c r="M132" s="6" t="s">
        <v>664</v>
      </c>
      <c r="N132" s="28">
        <v>43164.0</v>
      </c>
      <c r="O132" s="6">
        <f t="shared" si="1"/>
        <v>7</v>
      </c>
      <c r="P132" s="7"/>
      <c r="Q132" s="29" t="str">
        <f t="array" ref="Q132">XLOOKUP(C132,fichas_pdf[ap],fichas_pdf[tiene],"no tiene en pdf",0,1)</f>
        <v>no tiene en pdf</v>
      </c>
      <c r="R132" s="4"/>
      <c r="S132" s="4"/>
      <c r="T132" s="4"/>
      <c r="U132" s="4"/>
      <c r="V132" s="4"/>
      <c r="W132" s="4"/>
    </row>
    <row r="133" ht="15.75" customHeight="1">
      <c r="A133" s="9">
        <v>147.0</v>
      </c>
      <c r="B133" s="10">
        <v>2.3506497E7</v>
      </c>
      <c r="C133" s="10">
        <v>1674.0</v>
      </c>
      <c r="D133" s="10">
        <v>3.4999032089E10</v>
      </c>
      <c r="E133" s="10"/>
      <c r="F133" s="10"/>
      <c r="G133" s="10"/>
      <c r="H133" s="10" t="s">
        <v>655</v>
      </c>
      <c r="I133" s="10" t="s">
        <v>656</v>
      </c>
      <c r="J133" s="10"/>
      <c r="K133" s="10"/>
      <c r="L133" s="10"/>
      <c r="M133" s="10" t="s">
        <v>664</v>
      </c>
      <c r="N133" s="30">
        <v>43581.0</v>
      </c>
      <c r="O133" s="10">
        <f t="shared" si="1"/>
        <v>6</v>
      </c>
      <c r="P133" s="14"/>
      <c r="Q133" s="31">
        <f t="array" ref="Q133">XLOOKUP(C133,fichas_pdf[ap],fichas_pdf[tiene],"no tiene en pdf",0,1)</f>
        <v>1</v>
      </c>
      <c r="R133" s="4"/>
      <c r="S133" s="4"/>
      <c r="T133" s="4"/>
      <c r="U133" s="4"/>
      <c r="V133" s="4"/>
      <c r="W133" s="4"/>
    </row>
    <row r="134" ht="15.75" customHeight="1">
      <c r="A134" s="5">
        <v>149.0</v>
      </c>
      <c r="B134" s="6">
        <v>2.7621398E7</v>
      </c>
      <c r="C134" s="6">
        <v>1665.0</v>
      </c>
      <c r="D134" s="6">
        <v>3.4999032089E10</v>
      </c>
      <c r="E134" s="6"/>
      <c r="F134" s="6"/>
      <c r="G134" s="6"/>
      <c r="H134" s="6" t="s">
        <v>655</v>
      </c>
      <c r="I134" s="6" t="s">
        <v>656</v>
      </c>
      <c r="J134" s="6"/>
      <c r="K134" s="6"/>
      <c r="L134" s="6"/>
      <c r="M134" s="6" t="s">
        <v>664</v>
      </c>
      <c r="N134" s="28">
        <v>43570.0</v>
      </c>
      <c r="O134" s="6">
        <f t="shared" si="1"/>
        <v>6</v>
      </c>
      <c r="P134" s="7"/>
      <c r="Q134" s="29" t="str">
        <f t="array" ref="Q134">XLOOKUP(C134,fichas_pdf[ap],fichas_pdf[tiene],"no tiene en pdf",0,1)</f>
        <v>no tiene en pdf</v>
      </c>
      <c r="R134" s="4"/>
      <c r="S134" s="4"/>
      <c r="T134" s="4"/>
      <c r="U134" s="4"/>
      <c r="V134" s="4"/>
      <c r="W134" s="4"/>
    </row>
    <row r="135" ht="15.75" customHeight="1">
      <c r="A135" s="9">
        <v>150.0</v>
      </c>
      <c r="B135" s="10">
        <v>3.1164406E7</v>
      </c>
      <c r="C135" s="10">
        <v>1746.0</v>
      </c>
      <c r="D135" s="10">
        <v>3.4999032089E10</v>
      </c>
      <c r="E135" s="10"/>
      <c r="F135" s="10"/>
      <c r="G135" s="10"/>
      <c r="H135" s="10" t="s">
        <v>655</v>
      </c>
      <c r="I135" s="10" t="s">
        <v>656</v>
      </c>
      <c r="J135" s="10"/>
      <c r="K135" s="10"/>
      <c r="L135" s="10"/>
      <c r="M135" s="10" t="s">
        <v>664</v>
      </c>
      <c r="N135" s="30">
        <v>43678.0</v>
      </c>
      <c r="O135" s="10">
        <f t="shared" si="1"/>
        <v>6</v>
      </c>
      <c r="P135" s="14"/>
      <c r="Q135" s="31">
        <f t="array" ref="Q135">XLOOKUP(C135,fichas_pdf[ap],fichas_pdf[tiene],"no tiene en pdf",0,1)</f>
        <v>1</v>
      </c>
      <c r="R135" s="4"/>
      <c r="S135" s="4"/>
      <c r="T135" s="4"/>
      <c r="U135" s="4"/>
      <c r="V135" s="4"/>
      <c r="W135" s="4"/>
    </row>
    <row r="136" ht="15.75" customHeight="1">
      <c r="A136" s="5">
        <v>151.0</v>
      </c>
      <c r="B136" s="6">
        <v>2.7767903E7</v>
      </c>
      <c r="C136" s="6">
        <v>1239.0</v>
      </c>
      <c r="D136" s="6">
        <v>3.4999032089E10</v>
      </c>
      <c r="E136" s="6"/>
      <c r="F136" s="6"/>
      <c r="G136" s="6"/>
      <c r="H136" s="6" t="s">
        <v>655</v>
      </c>
      <c r="I136" s="6" t="s">
        <v>656</v>
      </c>
      <c r="J136" s="6"/>
      <c r="K136" s="6"/>
      <c r="L136" s="6"/>
      <c r="M136" s="6" t="s">
        <v>664</v>
      </c>
      <c r="N136" s="28">
        <v>43136.0</v>
      </c>
      <c r="O136" s="6">
        <f t="shared" si="1"/>
        <v>7</v>
      </c>
      <c r="P136" s="7"/>
      <c r="Q136" s="29" t="str">
        <f t="array" ref="Q136">XLOOKUP(C136,fichas_pdf[ap],fichas_pdf[tiene],"no tiene en pdf",0,1)</f>
        <v>no tiene en pdf</v>
      </c>
      <c r="R136" s="4"/>
      <c r="S136" s="4"/>
      <c r="T136" s="4"/>
      <c r="U136" s="4"/>
      <c r="V136" s="4"/>
      <c r="W136" s="4"/>
    </row>
    <row r="137" ht="15.75" customHeight="1">
      <c r="A137" s="9">
        <v>152.0</v>
      </c>
      <c r="B137" s="10">
        <v>9.4087495E7</v>
      </c>
      <c r="C137" s="10">
        <v>1736.0</v>
      </c>
      <c r="D137" s="10">
        <v>3.4999032089E10</v>
      </c>
      <c r="E137" s="10"/>
      <c r="F137" s="10"/>
      <c r="G137" s="10"/>
      <c r="H137" s="10" t="s">
        <v>655</v>
      </c>
      <c r="I137" s="10" t="s">
        <v>656</v>
      </c>
      <c r="J137" s="10"/>
      <c r="K137" s="10"/>
      <c r="L137" s="10"/>
      <c r="M137" s="10" t="s">
        <v>664</v>
      </c>
      <c r="N137" s="30">
        <v>43678.0</v>
      </c>
      <c r="O137" s="10">
        <f t="shared" si="1"/>
        <v>6</v>
      </c>
      <c r="P137" s="14"/>
      <c r="Q137" s="31" t="str">
        <f t="array" ref="Q137">XLOOKUP(C137,fichas_pdf[ap],fichas_pdf[tiene],"no tiene en pdf",0,1)</f>
        <v>no tiene en pdf</v>
      </c>
      <c r="R137" s="4"/>
      <c r="S137" s="4"/>
      <c r="T137" s="4"/>
      <c r="U137" s="4"/>
      <c r="V137" s="4"/>
      <c r="W137" s="4"/>
    </row>
    <row r="138" ht="15.75" customHeight="1">
      <c r="A138" s="5">
        <v>154.0</v>
      </c>
      <c r="B138" s="6">
        <v>2.5641513E7</v>
      </c>
      <c r="C138" s="6">
        <v>189.0</v>
      </c>
      <c r="D138" s="6">
        <v>3.4999032089E10</v>
      </c>
      <c r="E138" s="6"/>
      <c r="F138" s="6"/>
      <c r="G138" s="6"/>
      <c r="H138" s="6" t="s">
        <v>655</v>
      </c>
      <c r="I138" s="6" t="s">
        <v>656</v>
      </c>
      <c r="J138" s="6"/>
      <c r="K138" s="6"/>
      <c r="L138" s="6"/>
      <c r="M138" s="6" t="s">
        <v>664</v>
      </c>
      <c r="N138" s="28">
        <v>42705.0</v>
      </c>
      <c r="O138" s="6">
        <f t="shared" si="1"/>
        <v>9</v>
      </c>
      <c r="P138" s="7"/>
      <c r="Q138" s="29" t="str">
        <f t="array" ref="Q138">XLOOKUP(C138,fichas_pdf[ap],fichas_pdf[tiene],"no tiene en pdf",0,1)</f>
        <v>no tiene en pdf</v>
      </c>
      <c r="R138" s="4"/>
      <c r="S138" s="4"/>
      <c r="T138" s="4"/>
      <c r="U138" s="4"/>
      <c r="V138" s="4"/>
      <c r="W138" s="4"/>
    </row>
    <row r="139" ht="15.75" customHeight="1">
      <c r="A139" s="9">
        <v>155.0</v>
      </c>
      <c r="B139" s="10">
        <v>3.3250656E7</v>
      </c>
      <c r="C139" s="10">
        <v>260.0</v>
      </c>
      <c r="D139" s="10">
        <v>3.4999032089E10</v>
      </c>
      <c r="E139" s="10"/>
      <c r="F139" s="10"/>
      <c r="G139" s="10"/>
      <c r="H139" s="10" t="s">
        <v>655</v>
      </c>
      <c r="I139" s="10" t="s">
        <v>656</v>
      </c>
      <c r="J139" s="10"/>
      <c r="K139" s="10"/>
      <c r="L139" s="10"/>
      <c r="M139" s="10" t="s">
        <v>663</v>
      </c>
      <c r="N139" s="33">
        <v>42795.0</v>
      </c>
      <c r="O139" s="10">
        <f t="shared" si="1"/>
        <v>8</v>
      </c>
      <c r="P139" s="14"/>
      <c r="Q139" s="31" t="str">
        <f t="array" ref="Q139">XLOOKUP(C139,fichas_pdf[ap],fichas_pdf[tiene],"no tiene en pdf",0,1)</f>
        <v>no tiene en pdf</v>
      </c>
      <c r="R139" s="4"/>
      <c r="S139" s="4"/>
      <c r="T139" s="4"/>
      <c r="U139" s="4"/>
      <c r="V139" s="4"/>
      <c r="W139" s="4"/>
    </row>
    <row r="140" ht="15.75" customHeight="1">
      <c r="A140" s="5">
        <v>156.0</v>
      </c>
      <c r="B140" s="6">
        <v>3.7350704E7</v>
      </c>
      <c r="C140" s="6"/>
      <c r="D140" s="6">
        <v>3.4999032089E10</v>
      </c>
      <c r="E140" s="6"/>
      <c r="F140" s="6"/>
      <c r="G140" s="6"/>
      <c r="H140" s="6" t="s">
        <v>655</v>
      </c>
      <c r="I140" s="6" t="s">
        <v>656</v>
      </c>
      <c r="J140" s="6"/>
      <c r="K140" s="6"/>
      <c r="L140" s="6"/>
      <c r="M140" s="6" t="s">
        <v>663</v>
      </c>
      <c r="N140" s="28"/>
      <c r="O140" s="6">
        <f t="shared" si="1"/>
        <v>126</v>
      </c>
      <c r="P140" s="7"/>
      <c r="Q140" s="29" t="str">
        <f t="array" ref="Q140">XLOOKUP(C140,fichas_pdf[ap],fichas_pdf[tiene],"no tiene en pdf",0,1)</f>
        <v>no tiene en pdf</v>
      </c>
      <c r="R140" s="4"/>
      <c r="S140" s="4"/>
      <c r="T140" s="4"/>
      <c r="U140" s="4"/>
      <c r="V140" s="4"/>
      <c r="W140" s="4"/>
    </row>
    <row r="141" ht="15.75" customHeight="1">
      <c r="A141" s="9">
        <v>157.0</v>
      </c>
      <c r="B141" s="10">
        <v>3.862009E7</v>
      </c>
      <c r="C141" s="10"/>
      <c r="D141" s="10">
        <v>3.4999032089E10</v>
      </c>
      <c r="E141" s="10"/>
      <c r="F141" s="10"/>
      <c r="G141" s="10"/>
      <c r="H141" s="10" t="s">
        <v>655</v>
      </c>
      <c r="I141" s="10" t="s">
        <v>656</v>
      </c>
      <c r="J141" s="10"/>
      <c r="K141" s="10"/>
      <c r="L141" s="10"/>
      <c r="M141" s="10" t="s">
        <v>664</v>
      </c>
      <c r="N141" s="30"/>
      <c r="O141" s="10">
        <f t="shared" si="1"/>
        <v>126</v>
      </c>
      <c r="P141" s="14"/>
      <c r="Q141" s="31" t="str">
        <f t="array" ref="Q141">XLOOKUP(C141,fichas_pdf[ap],fichas_pdf[tiene],"no tiene en pdf",0,1)</f>
        <v>no tiene en pdf</v>
      </c>
      <c r="R141" s="4"/>
      <c r="S141" s="4"/>
      <c r="T141" s="4"/>
      <c r="U141" s="4"/>
      <c r="V141" s="4"/>
      <c r="W141" s="4"/>
    </row>
    <row r="142" ht="15.75" customHeight="1">
      <c r="A142" s="5">
        <v>158.0</v>
      </c>
      <c r="B142" s="6">
        <v>2.8683156E7</v>
      </c>
      <c r="C142" s="6">
        <v>1065.0</v>
      </c>
      <c r="D142" s="6">
        <v>3.4999032089E10</v>
      </c>
      <c r="E142" s="6"/>
      <c r="F142" s="6"/>
      <c r="G142" s="6"/>
      <c r="H142" s="6" t="s">
        <v>655</v>
      </c>
      <c r="I142" s="6" t="s">
        <v>656</v>
      </c>
      <c r="J142" s="6"/>
      <c r="K142" s="6"/>
      <c r="L142" s="6"/>
      <c r="M142" s="6" t="s">
        <v>664</v>
      </c>
      <c r="N142" s="28">
        <v>42948.0</v>
      </c>
      <c r="O142" s="6">
        <f t="shared" si="1"/>
        <v>8</v>
      </c>
      <c r="P142" s="7"/>
      <c r="Q142" s="29">
        <f t="array" ref="Q142">XLOOKUP(C142,fichas_pdf[ap],fichas_pdf[tiene],"no tiene en pdf",0,1)</f>
        <v>1</v>
      </c>
      <c r="R142" s="4"/>
      <c r="S142" s="4"/>
      <c r="T142" s="4"/>
      <c r="U142" s="4"/>
      <c r="V142" s="4"/>
      <c r="W142" s="4"/>
    </row>
    <row r="143" ht="15.75" customHeight="1">
      <c r="A143" s="9">
        <v>159.0</v>
      </c>
      <c r="B143" s="10">
        <v>4.097188E7</v>
      </c>
      <c r="C143" s="10">
        <v>2379.0</v>
      </c>
      <c r="D143" s="10">
        <v>3.4999032089E10</v>
      </c>
      <c r="E143" s="10"/>
      <c r="F143" s="10"/>
      <c r="G143" s="10"/>
      <c r="H143" s="10" t="s">
        <v>655</v>
      </c>
      <c r="I143" s="10" t="s">
        <v>656</v>
      </c>
      <c r="J143" s="10"/>
      <c r="K143" s="10"/>
      <c r="L143" s="10"/>
      <c r="M143" s="10" t="s">
        <v>664</v>
      </c>
      <c r="N143" s="30"/>
      <c r="O143" s="10">
        <f t="shared" si="1"/>
        <v>126</v>
      </c>
      <c r="P143" s="14"/>
      <c r="Q143" s="31">
        <f t="array" ref="Q143">XLOOKUP(C143,fichas_pdf[ap],fichas_pdf[tiene],"no tiene en pdf",0,1)</f>
        <v>1</v>
      </c>
      <c r="R143" s="4"/>
      <c r="S143" s="4"/>
      <c r="T143" s="4"/>
      <c r="U143" s="4"/>
      <c r="V143" s="4"/>
      <c r="W143" s="4"/>
    </row>
    <row r="144" ht="15.75" customHeight="1">
      <c r="A144" s="5">
        <v>160.0</v>
      </c>
      <c r="B144" s="6">
        <v>4.0127613E7</v>
      </c>
      <c r="C144" s="6">
        <v>1698.0</v>
      </c>
      <c r="D144" s="6">
        <v>3.4999032089E10</v>
      </c>
      <c r="E144" s="6"/>
      <c r="F144" s="6"/>
      <c r="G144" s="6"/>
      <c r="H144" s="6" t="s">
        <v>655</v>
      </c>
      <c r="I144" s="6" t="s">
        <v>656</v>
      </c>
      <c r="J144" s="6"/>
      <c r="K144" s="6"/>
      <c r="L144" s="6"/>
      <c r="M144" s="6" t="s">
        <v>664</v>
      </c>
      <c r="N144" s="28">
        <v>43619.0</v>
      </c>
      <c r="O144" s="6">
        <f t="shared" si="1"/>
        <v>6</v>
      </c>
      <c r="P144" s="7"/>
      <c r="Q144" s="29" t="str">
        <f t="array" ref="Q144">XLOOKUP(C144,fichas_pdf[ap],fichas_pdf[tiene],"no tiene en pdf",0,1)</f>
        <v>no tiene en pdf</v>
      </c>
      <c r="R144" s="4"/>
      <c r="S144" s="4"/>
      <c r="T144" s="4"/>
      <c r="U144" s="4"/>
      <c r="V144" s="4"/>
      <c r="W144" s="4"/>
    </row>
    <row r="145" ht="15.75" customHeight="1">
      <c r="A145" s="9">
        <v>161.0</v>
      </c>
      <c r="B145" s="10">
        <v>2.3696368E7</v>
      </c>
      <c r="C145" s="10">
        <v>3240.0</v>
      </c>
      <c r="D145" s="10">
        <v>3.4999032089E10</v>
      </c>
      <c r="E145" s="10"/>
      <c r="F145" s="10"/>
      <c r="G145" s="10"/>
      <c r="H145" s="10" t="s">
        <v>655</v>
      </c>
      <c r="I145" s="10" t="s">
        <v>656</v>
      </c>
      <c r="J145" s="10"/>
      <c r="K145" s="10"/>
      <c r="L145" s="10"/>
      <c r="M145" s="10" t="s">
        <v>664</v>
      </c>
      <c r="N145" s="30">
        <v>45138.0</v>
      </c>
      <c r="O145" s="10">
        <f t="shared" si="1"/>
        <v>2</v>
      </c>
      <c r="P145" s="14"/>
      <c r="Q145" s="31" t="str">
        <f t="array" ref="Q145">XLOOKUP(C145,fichas_pdf[ap],fichas_pdf[tiene],"no tiene en pdf",0,1)</f>
        <v>no tiene en pdf</v>
      </c>
      <c r="R145" s="4"/>
      <c r="S145" s="4"/>
      <c r="T145" s="4"/>
      <c r="U145" s="4"/>
      <c r="V145" s="4"/>
      <c r="W145" s="4"/>
    </row>
    <row r="146" ht="15.75" customHeight="1">
      <c r="A146" s="5">
        <v>162.0</v>
      </c>
      <c r="B146" s="6">
        <v>3.7217593E7</v>
      </c>
      <c r="C146" s="6">
        <v>3242.0</v>
      </c>
      <c r="D146" s="6">
        <v>3.4999032089E10</v>
      </c>
      <c r="E146" s="6"/>
      <c r="F146" s="6"/>
      <c r="G146" s="6"/>
      <c r="H146" s="6" t="s">
        <v>655</v>
      </c>
      <c r="I146" s="6" t="s">
        <v>656</v>
      </c>
      <c r="J146" s="6"/>
      <c r="K146" s="6"/>
      <c r="L146" s="6"/>
      <c r="M146" s="6" t="s">
        <v>664</v>
      </c>
      <c r="N146" s="28"/>
      <c r="O146" s="6">
        <f t="shared" si="1"/>
        <v>126</v>
      </c>
      <c r="P146" s="7"/>
      <c r="Q146" s="29" t="str">
        <f t="array" ref="Q146">XLOOKUP(C146,fichas_pdf[ap],fichas_pdf[tiene],"no tiene en pdf",0,1)</f>
        <v>no tiene en pdf</v>
      </c>
      <c r="R146" s="4"/>
      <c r="S146" s="4"/>
      <c r="T146" s="4"/>
      <c r="U146" s="4"/>
      <c r="V146" s="4"/>
      <c r="W146" s="4"/>
    </row>
    <row r="147" ht="15.75" customHeight="1">
      <c r="A147" s="9">
        <v>163.0</v>
      </c>
      <c r="B147" s="10">
        <v>9.3895929E7</v>
      </c>
      <c r="C147" s="10">
        <v>1150.0</v>
      </c>
      <c r="D147" s="10">
        <v>3.4999032089E10</v>
      </c>
      <c r="E147" s="10"/>
      <c r="F147" s="10"/>
      <c r="G147" s="10"/>
      <c r="H147" s="10" t="s">
        <v>655</v>
      </c>
      <c r="I147" s="10" t="s">
        <v>656</v>
      </c>
      <c r="J147" s="10"/>
      <c r="K147" s="10"/>
      <c r="L147" s="10"/>
      <c r="M147" s="10" t="s">
        <v>664</v>
      </c>
      <c r="N147" s="30">
        <v>42948.0</v>
      </c>
      <c r="O147" s="10">
        <f t="shared" si="1"/>
        <v>8</v>
      </c>
      <c r="P147" s="14"/>
      <c r="Q147" s="31" t="str">
        <f t="array" ref="Q147">XLOOKUP(C147,fichas_pdf[ap],fichas_pdf[tiene],"no tiene en pdf",0,1)</f>
        <v>no tiene en pdf</v>
      </c>
      <c r="R147" s="4"/>
      <c r="S147" s="4"/>
      <c r="T147" s="4"/>
      <c r="U147" s="4"/>
      <c r="V147" s="4"/>
      <c r="W147" s="4"/>
    </row>
    <row r="148" ht="15.75" customHeight="1">
      <c r="A148" s="5">
        <v>164.0</v>
      </c>
      <c r="B148" s="6">
        <v>3.3789655E7</v>
      </c>
      <c r="C148" s="6">
        <v>1793.0</v>
      </c>
      <c r="D148" s="6">
        <v>3.4999032089E10</v>
      </c>
      <c r="E148" s="6"/>
      <c r="F148" s="6"/>
      <c r="G148" s="6"/>
      <c r="H148" s="6" t="s">
        <v>655</v>
      </c>
      <c r="I148" s="6" t="s">
        <v>656</v>
      </c>
      <c r="J148" s="6"/>
      <c r="K148" s="6"/>
      <c r="L148" s="6"/>
      <c r="M148" s="6" t="s">
        <v>664</v>
      </c>
      <c r="N148" s="28">
        <v>43770.0</v>
      </c>
      <c r="O148" s="6">
        <f t="shared" si="1"/>
        <v>6</v>
      </c>
      <c r="P148" s="7"/>
      <c r="Q148" s="29" t="str">
        <f t="array" ref="Q148">XLOOKUP(C148,fichas_pdf[ap],fichas_pdf[tiene],"no tiene en pdf",0,1)</f>
        <v>no tiene en pdf</v>
      </c>
      <c r="R148" s="4"/>
      <c r="S148" s="4"/>
      <c r="T148" s="4"/>
      <c r="U148" s="4"/>
      <c r="V148" s="4"/>
      <c r="W148" s="4"/>
    </row>
    <row r="149" ht="15.75" customHeight="1">
      <c r="A149" s="9">
        <v>165.0</v>
      </c>
      <c r="B149" s="10">
        <v>1.0</v>
      </c>
      <c r="C149" s="10"/>
      <c r="D149" s="10">
        <v>3.4999032089E10</v>
      </c>
      <c r="E149" s="10"/>
      <c r="F149" s="10"/>
      <c r="G149" s="10"/>
      <c r="H149" s="10" t="s">
        <v>655</v>
      </c>
      <c r="I149" s="10" t="s">
        <v>656</v>
      </c>
      <c r="J149" s="10"/>
      <c r="K149" s="10"/>
      <c r="L149" s="10"/>
      <c r="M149" s="10" t="s">
        <v>664</v>
      </c>
      <c r="N149" s="30"/>
      <c r="O149" s="10">
        <f t="shared" si="1"/>
        <v>126</v>
      </c>
      <c r="P149" s="14"/>
      <c r="Q149" s="31" t="str">
        <f t="array" ref="Q149">XLOOKUP(C149,fichas_pdf[ap],fichas_pdf[tiene],"no tiene en pdf",0,1)</f>
        <v>no tiene en pdf</v>
      </c>
      <c r="R149" s="4"/>
      <c r="S149" s="4"/>
      <c r="T149" s="4"/>
      <c r="U149" s="4"/>
      <c r="V149" s="4"/>
      <c r="W149" s="4"/>
    </row>
    <row r="150" ht="15.75" customHeight="1">
      <c r="A150" s="5">
        <v>166.0</v>
      </c>
      <c r="B150" s="6">
        <v>2.0</v>
      </c>
      <c r="C150" s="6"/>
      <c r="D150" s="6">
        <v>3.4999032089E10</v>
      </c>
      <c r="E150" s="6"/>
      <c r="F150" s="6"/>
      <c r="G150" s="6"/>
      <c r="H150" s="6" t="s">
        <v>655</v>
      </c>
      <c r="I150" s="6" t="s">
        <v>656</v>
      </c>
      <c r="J150" s="6"/>
      <c r="K150" s="6"/>
      <c r="L150" s="6"/>
      <c r="M150" s="6" t="s">
        <v>664</v>
      </c>
      <c r="N150" s="28"/>
      <c r="O150" s="6">
        <f t="shared" si="1"/>
        <v>126</v>
      </c>
      <c r="P150" s="7"/>
      <c r="Q150" s="29" t="str">
        <f t="array" ref="Q150">XLOOKUP(C150,fichas_pdf[ap],fichas_pdf[tiene],"no tiene en pdf",0,1)</f>
        <v>no tiene en pdf</v>
      </c>
      <c r="R150" s="4"/>
      <c r="S150" s="4"/>
      <c r="T150" s="4"/>
      <c r="U150" s="4"/>
      <c r="V150" s="4"/>
      <c r="W150" s="4"/>
    </row>
    <row r="151" ht="15.75" customHeight="1">
      <c r="A151" s="9">
        <v>167.0</v>
      </c>
      <c r="B151" s="10">
        <v>3.0</v>
      </c>
      <c r="C151" s="10"/>
      <c r="D151" s="10">
        <v>3.4999032089E10</v>
      </c>
      <c r="E151" s="10"/>
      <c r="F151" s="10"/>
      <c r="G151" s="10"/>
      <c r="H151" s="10" t="s">
        <v>655</v>
      </c>
      <c r="I151" s="10" t="s">
        <v>656</v>
      </c>
      <c r="J151" s="10"/>
      <c r="K151" s="10"/>
      <c r="L151" s="10"/>
      <c r="M151" s="10" t="s">
        <v>664</v>
      </c>
      <c r="N151" s="30"/>
      <c r="O151" s="10">
        <f t="shared" si="1"/>
        <v>126</v>
      </c>
      <c r="P151" s="14"/>
      <c r="Q151" s="31" t="str">
        <f t="array" ref="Q151">XLOOKUP(C151,fichas_pdf[ap],fichas_pdf[tiene],"no tiene en pdf",0,1)</f>
        <v>no tiene en pdf</v>
      </c>
      <c r="R151" s="4"/>
      <c r="S151" s="4"/>
      <c r="T151" s="4"/>
      <c r="U151" s="4"/>
      <c r="V151" s="4"/>
      <c r="W151" s="4"/>
    </row>
    <row r="152" ht="15.75" customHeight="1">
      <c r="A152" s="5">
        <v>169.0</v>
      </c>
      <c r="B152" s="6">
        <v>5.0</v>
      </c>
      <c r="C152" s="6"/>
      <c r="D152" s="6">
        <v>3.4999032089E10</v>
      </c>
      <c r="E152" s="6"/>
      <c r="F152" s="6"/>
      <c r="G152" s="6"/>
      <c r="H152" s="6" t="s">
        <v>655</v>
      </c>
      <c r="I152" s="6" t="s">
        <v>656</v>
      </c>
      <c r="J152" s="6"/>
      <c r="K152" s="6"/>
      <c r="L152" s="6"/>
      <c r="M152" s="6" t="s">
        <v>664</v>
      </c>
      <c r="N152" s="28"/>
      <c r="O152" s="6">
        <f t="shared" si="1"/>
        <v>126</v>
      </c>
      <c r="P152" s="7"/>
      <c r="Q152" s="29" t="str">
        <f t="array" ref="Q152">XLOOKUP(C152,fichas_pdf[ap],fichas_pdf[tiene],"no tiene en pdf",0,1)</f>
        <v>no tiene en pdf</v>
      </c>
      <c r="R152" s="4"/>
      <c r="S152" s="4"/>
      <c r="T152" s="4"/>
      <c r="U152" s="4"/>
      <c r="V152" s="4"/>
      <c r="W152" s="4"/>
    </row>
    <row r="153" ht="15.75" customHeight="1">
      <c r="A153" s="9">
        <v>170.0</v>
      </c>
      <c r="B153" s="10">
        <v>6.0</v>
      </c>
      <c r="C153" s="10"/>
      <c r="D153" s="10">
        <v>3.4999032089E10</v>
      </c>
      <c r="E153" s="10"/>
      <c r="F153" s="10"/>
      <c r="G153" s="10"/>
      <c r="H153" s="10" t="s">
        <v>655</v>
      </c>
      <c r="I153" s="10" t="s">
        <v>656</v>
      </c>
      <c r="J153" s="10"/>
      <c r="K153" s="10"/>
      <c r="L153" s="10"/>
      <c r="M153" s="10" t="s">
        <v>664</v>
      </c>
      <c r="N153" s="30"/>
      <c r="O153" s="10">
        <f t="shared" si="1"/>
        <v>126</v>
      </c>
      <c r="P153" s="14"/>
      <c r="Q153" s="31" t="str">
        <f t="array" ref="Q153">XLOOKUP(C153,fichas_pdf[ap],fichas_pdf[tiene],"no tiene en pdf",0,1)</f>
        <v>no tiene en pdf</v>
      </c>
      <c r="R153" s="4"/>
      <c r="S153" s="4"/>
      <c r="T153" s="4"/>
      <c r="U153" s="4"/>
      <c r="V153" s="4"/>
      <c r="W153" s="4"/>
    </row>
    <row r="154" ht="15.75" customHeight="1">
      <c r="A154" s="5">
        <v>171.0</v>
      </c>
      <c r="B154" s="6">
        <v>7.0</v>
      </c>
      <c r="C154" s="6"/>
      <c r="D154" s="6">
        <v>3.4999032089E10</v>
      </c>
      <c r="E154" s="6"/>
      <c r="F154" s="6"/>
      <c r="G154" s="6"/>
      <c r="H154" s="6" t="s">
        <v>655</v>
      </c>
      <c r="I154" s="6" t="s">
        <v>656</v>
      </c>
      <c r="J154" s="6"/>
      <c r="K154" s="6"/>
      <c r="L154" s="6"/>
      <c r="M154" s="6" t="s">
        <v>664</v>
      </c>
      <c r="N154" s="28"/>
      <c r="O154" s="6">
        <f t="shared" si="1"/>
        <v>126</v>
      </c>
      <c r="P154" s="7"/>
      <c r="Q154" s="29" t="str">
        <f t="array" ref="Q154">XLOOKUP(C154,fichas_pdf[ap],fichas_pdf[tiene],"no tiene en pdf",0,1)</f>
        <v>no tiene en pdf</v>
      </c>
      <c r="R154" s="4"/>
      <c r="S154" s="4"/>
      <c r="T154" s="4"/>
      <c r="U154" s="4"/>
      <c r="V154" s="4"/>
      <c r="W154" s="4"/>
    </row>
    <row r="155" ht="15.75" customHeight="1">
      <c r="A155" s="9">
        <v>172.0</v>
      </c>
      <c r="B155" s="10">
        <v>8.0</v>
      </c>
      <c r="C155" s="10"/>
      <c r="D155" s="10">
        <v>3.4999032089E10</v>
      </c>
      <c r="E155" s="10"/>
      <c r="F155" s="10"/>
      <c r="G155" s="10"/>
      <c r="H155" s="10" t="s">
        <v>655</v>
      </c>
      <c r="I155" s="10" t="s">
        <v>656</v>
      </c>
      <c r="J155" s="10"/>
      <c r="K155" s="10"/>
      <c r="L155" s="10"/>
      <c r="M155" s="10" t="s">
        <v>664</v>
      </c>
      <c r="N155" s="30"/>
      <c r="O155" s="10">
        <f t="shared" si="1"/>
        <v>126</v>
      </c>
      <c r="P155" s="14"/>
      <c r="Q155" s="31" t="str">
        <f t="array" ref="Q155">XLOOKUP(C155,fichas_pdf[ap],fichas_pdf[tiene],"no tiene en pdf",0,1)</f>
        <v>no tiene en pdf</v>
      </c>
      <c r="R155" s="4"/>
      <c r="S155" s="4"/>
      <c r="T155" s="4"/>
      <c r="U155" s="4"/>
      <c r="V155" s="4"/>
      <c r="W155" s="4"/>
    </row>
    <row r="156" ht="15.75" customHeight="1">
      <c r="A156" s="5">
        <v>173.0</v>
      </c>
      <c r="B156" s="6">
        <v>9.0</v>
      </c>
      <c r="C156" s="6"/>
      <c r="D156" s="6">
        <v>3.4999032089E10</v>
      </c>
      <c r="E156" s="6"/>
      <c r="F156" s="6"/>
      <c r="G156" s="6"/>
      <c r="H156" s="6" t="s">
        <v>655</v>
      </c>
      <c r="I156" s="6" t="s">
        <v>656</v>
      </c>
      <c r="J156" s="6"/>
      <c r="K156" s="6"/>
      <c r="L156" s="6"/>
      <c r="M156" s="6" t="s">
        <v>664</v>
      </c>
      <c r="N156" s="28"/>
      <c r="O156" s="6">
        <f t="shared" si="1"/>
        <v>126</v>
      </c>
      <c r="P156" s="7"/>
      <c r="Q156" s="29" t="str">
        <f t="array" ref="Q156">XLOOKUP(C156,fichas_pdf[ap],fichas_pdf[tiene],"no tiene en pdf",0,1)</f>
        <v>no tiene en pdf</v>
      </c>
      <c r="R156" s="4"/>
      <c r="S156" s="4"/>
      <c r="T156" s="4"/>
      <c r="U156" s="4"/>
      <c r="V156" s="4"/>
      <c r="W156" s="4"/>
    </row>
    <row r="157" ht="15.75" customHeight="1">
      <c r="A157" s="9">
        <v>174.0</v>
      </c>
      <c r="B157" s="10">
        <v>10.0</v>
      </c>
      <c r="C157" s="10"/>
      <c r="D157" s="10">
        <v>3.4999032089E10</v>
      </c>
      <c r="E157" s="10"/>
      <c r="F157" s="10"/>
      <c r="G157" s="10"/>
      <c r="H157" s="10" t="s">
        <v>655</v>
      </c>
      <c r="I157" s="10" t="s">
        <v>656</v>
      </c>
      <c r="J157" s="10"/>
      <c r="K157" s="10"/>
      <c r="L157" s="10"/>
      <c r="M157" s="10" t="s">
        <v>664</v>
      </c>
      <c r="N157" s="30"/>
      <c r="O157" s="10">
        <f t="shared" si="1"/>
        <v>126</v>
      </c>
      <c r="P157" s="14"/>
      <c r="Q157" s="31" t="str">
        <f t="array" ref="Q157">XLOOKUP(C157,fichas_pdf[ap],fichas_pdf[tiene],"no tiene en pdf",0,1)</f>
        <v>no tiene en pdf</v>
      </c>
      <c r="R157" s="4"/>
      <c r="S157" s="4"/>
      <c r="T157" s="4"/>
      <c r="U157" s="4"/>
      <c r="V157" s="4"/>
      <c r="W157" s="4"/>
    </row>
    <row r="158" ht="15.75" customHeight="1">
      <c r="A158" s="5">
        <v>175.0</v>
      </c>
      <c r="B158" s="6">
        <v>11.0</v>
      </c>
      <c r="C158" s="6"/>
      <c r="D158" s="6">
        <v>3.4999032089E10</v>
      </c>
      <c r="E158" s="6"/>
      <c r="F158" s="6"/>
      <c r="G158" s="6"/>
      <c r="H158" s="6" t="s">
        <v>655</v>
      </c>
      <c r="I158" s="6" t="s">
        <v>656</v>
      </c>
      <c r="J158" s="6"/>
      <c r="K158" s="6"/>
      <c r="L158" s="6"/>
      <c r="M158" s="6" t="s">
        <v>664</v>
      </c>
      <c r="N158" s="28"/>
      <c r="O158" s="6">
        <f t="shared" si="1"/>
        <v>126</v>
      </c>
      <c r="P158" s="7"/>
      <c r="Q158" s="29" t="str">
        <f t="array" ref="Q158">XLOOKUP(C158,fichas_pdf[ap],fichas_pdf[tiene],"no tiene en pdf",0,1)</f>
        <v>no tiene en pdf</v>
      </c>
      <c r="R158" s="4"/>
      <c r="S158" s="4"/>
      <c r="T158" s="4"/>
      <c r="U158" s="4"/>
      <c r="V158" s="4"/>
      <c r="W158" s="4"/>
    </row>
    <row r="159" ht="15.75" customHeight="1">
      <c r="A159" s="9">
        <v>176.0</v>
      </c>
      <c r="B159" s="10">
        <v>12.0</v>
      </c>
      <c r="C159" s="10"/>
      <c r="D159" s="10">
        <v>3.4999032089E10</v>
      </c>
      <c r="E159" s="10"/>
      <c r="F159" s="10"/>
      <c r="G159" s="10"/>
      <c r="H159" s="10" t="s">
        <v>655</v>
      </c>
      <c r="I159" s="10" t="s">
        <v>656</v>
      </c>
      <c r="J159" s="10"/>
      <c r="K159" s="10"/>
      <c r="L159" s="10"/>
      <c r="M159" s="10" t="s">
        <v>664</v>
      </c>
      <c r="N159" s="30"/>
      <c r="O159" s="10">
        <f t="shared" si="1"/>
        <v>126</v>
      </c>
      <c r="P159" s="14"/>
      <c r="Q159" s="31" t="str">
        <f t="array" ref="Q159">XLOOKUP(C159,fichas_pdf[ap],fichas_pdf[tiene],"no tiene en pdf",0,1)</f>
        <v>no tiene en pdf</v>
      </c>
      <c r="R159" s="4"/>
      <c r="S159" s="4"/>
      <c r="T159" s="4"/>
      <c r="U159" s="4"/>
      <c r="V159" s="4"/>
      <c r="W159" s="4"/>
    </row>
    <row r="160" ht="15.75" customHeight="1">
      <c r="A160" s="5">
        <v>177.0</v>
      </c>
      <c r="B160" s="6">
        <v>13.0</v>
      </c>
      <c r="C160" s="6"/>
      <c r="D160" s="6">
        <v>3.4999032089E10</v>
      </c>
      <c r="E160" s="6"/>
      <c r="F160" s="6"/>
      <c r="G160" s="6"/>
      <c r="H160" s="6" t="s">
        <v>655</v>
      </c>
      <c r="I160" s="6" t="s">
        <v>656</v>
      </c>
      <c r="J160" s="6"/>
      <c r="K160" s="6"/>
      <c r="L160" s="6"/>
      <c r="M160" s="6" t="s">
        <v>664</v>
      </c>
      <c r="N160" s="28"/>
      <c r="O160" s="6">
        <f t="shared" si="1"/>
        <v>126</v>
      </c>
      <c r="P160" s="7"/>
      <c r="Q160" s="29" t="str">
        <f t="array" ref="Q160">XLOOKUP(C160,fichas_pdf[ap],fichas_pdf[tiene],"no tiene en pdf",0,1)</f>
        <v>no tiene en pdf</v>
      </c>
      <c r="R160" s="4"/>
      <c r="S160" s="4"/>
      <c r="T160" s="4"/>
      <c r="U160" s="4"/>
      <c r="V160" s="4"/>
      <c r="W160" s="4"/>
    </row>
    <row r="161" ht="15.75" customHeight="1">
      <c r="A161" s="9">
        <v>178.0</v>
      </c>
      <c r="B161" s="10">
        <v>3.0157917E7</v>
      </c>
      <c r="C161" s="10">
        <v>709.0</v>
      </c>
      <c r="D161" s="10">
        <v>3.4999032089E10</v>
      </c>
      <c r="E161" s="10"/>
      <c r="F161" s="10"/>
      <c r="G161" s="10"/>
      <c r="H161" s="10" t="s">
        <v>655</v>
      </c>
      <c r="I161" s="10" t="s">
        <v>656</v>
      </c>
      <c r="J161" s="10"/>
      <c r="K161" s="10"/>
      <c r="L161" s="10"/>
      <c r="M161" s="10" t="s">
        <v>667</v>
      </c>
      <c r="N161" s="30">
        <v>42948.0</v>
      </c>
      <c r="O161" s="10">
        <f t="shared" si="1"/>
        <v>8</v>
      </c>
      <c r="P161" s="14"/>
      <c r="Q161" s="31" t="str">
        <f t="array" ref="Q161">XLOOKUP(C161,fichas_pdf[ap],fichas_pdf[tiene],"no tiene en pdf",0,1)</f>
        <v>no tiene en pdf</v>
      </c>
      <c r="R161" s="4"/>
      <c r="S161" s="4"/>
      <c r="T161" s="4"/>
      <c r="U161" s="4"/>
      <c r="V161" s="4"/>
      <c r="W161" s="4"/>
    </row>
    <row r="162" ht="15.75" customHeight="1">
      <c r="A162" s="5">
        <v>179.0</v>
      </c>
      <c r="B162" s="6">
        <v>3.4977306E7</v>
      </c>
      <c r="C162" s="6">
        <v>134.0</v>
      </c>
      <c r="D162" s="6">
        <v>3.4999032089E10</v>
      </c>
      <c r="E162" s="6"/>
      <c r="F162" s="6"/>
      <c r="G162" s="6"/>
      <c r="H162" s="6" t="s">
        <v>655</v>
      </c>
      <c r="I162" s="6" t="s">
        <v>656</v>
      </c>
      <c r="J162" s="6"/>
      <c r="K162" s="6"/>
      <c r="L162" s="6"/>
      <c r="M162" s="6" t="s">
        <v>665</v>
      </c>
      <c r="N162" s="28">
        <v>41732.0</v>
      </c>
      <c r="O162" s="6">
        <f t="shared" si="1"/>
        <v>11</v>
      </c>
      <c r="P162" s="7"/>
      <c r="Q162" s="29" t="str">
        <f t="array" ref="Q162">XLOOKUP(C162,fichas_pdf[ap],fichas_pdf[tiene],"no tiene en pdf",0,1)</f>
        <v>no tiene en pdf</v>
      </c>
      <c r="R162" s="4"/>
      <c r="S162" s="4"/>
      <c r="T162" s="4"/>
      <c r="U162" s="4"/>
      <c r="V162" s="4"/>
      <c r="W162" s="4"/>
    </row>
    <row r="163" ht="15.75" customHeight="1">
      <c r="A163" s="9">
        <v>180.0</v>
      </c>
      <c r="B163" s="10">
        <v>4.1062447E7</v>
      </c>
      <c r="C163" s="10">
        <v>207.0</v>
      </c>
      <c r="D163" s="10">
        <v>3.4999032089E10</v>
      </c>
      <c r="E163" s="10"/>
      <c r="F163" s="10"/>
      <c r="G163" s="10"/>
      <c r="H163" s="10" t="s">
        <v>655</v>
      </c>
      <c r="I163" s="10" t="s">
        <v>656</v>
      </c>
      <c r="J163" s="10"/>
      <c r="K163" s="10"/>
      <c r="L163" s="10"/>
      <c r="M163" s="10" t="s">
        <v>664</v>
      </c>
      <c r="N163" s="30">
        <v>42795.0</v>
      </c>
      <c r="O163" s="10">
        <f t="shared" si="1"/>
        <v>8</v>
      </c>
      <c r="P163" s="14"/>
      <c r="Q163" s="31" t="str">
        <f t="array" ref="Q163">XLOOKUP(C163,fichas_pdf[ap],fichas_pdf[tiene],"no tiene en pdf",0,1)</f>
        <v>no tiene en pdf</v>
      </c>
      <c r="R163" s="4"/>
      <c r="S163" s="4"/>
      <c r="T163" s="4"/>
      <c r="U163" s="4"/>
      <c r="V163" s="4"/>
      <c r="W163" s="4"/>
    </row>
    <row r="164" ht="15.75" customHeight="1">
      <c r="A164" s="5">
        <v>181.0</v>
      </c>
      <c r="B164" s="6">
        <v>2.8922058E7</v>
      </c>
      <c r="C164" s="6">
        <v>450.0</v>
      </c>
      <c r="D164" s="6">
        <v>3.4999032089E10</v>
      </c>
      <c r="E164" s="6"/>
      <c r="F164" s="6"/>
      <c r="G164" s="6"/>
      <c r="H164" s="6" t="s">
        <v>655</v>
      </c>
      <c r="I164" s="6" t="s">
        <v>656</v>
      </c>
      <c r="J164" s="6"/>
      <c r="K164" s="6"/>
      <c r="L164" s="6"/>
      <c r="M164" s="6" t="s">
        <v>664</v>
      </c>
      <c r="N164" s="28">
        <v>42917.0</v>
      </c>
      <c r="O164" s="6">
        <f t="shared" si="1"/>
        <v>8</v>
      </c>
      <c r="P164" s="7"/>
      <c r="Q164" s="29" t="str">
        <f t="array" ref="Q164">XLOOKUP(C164,fichas_pdf[ap],fichas_pdf[tiene],"no tiene en pdf",0,1)</f>
        <v>no tiene en pdf</v>
      </c>
      <c r="R164" s="4"/>
      <c r="S164" s="4"/>
      <c r="T164" s="4"/>
      <c r="U164" s="4"/>
      <c r="V164" s="4"/>
      <c r="W164" s="4"/>
    </row>
    <row r="165" ht="15.75" customHeight="1">
      <c r="A165" s="9">
        <v>182.0</v>
      </c>
      <c r="B165" s="10">
        <v>4.1047817E7</v>
      </c>
      <c r="C165" s="10">
        <v>2593.0</v>
      </c>
      <c r="D165" s="10">
        <v>3.4999032089E10</v>
      </c>
      <c r="E165" s="10"/>
      <c r="F165" s="10"/>
      <c r="G165" s="10"/>
      <c r="H165" s="10" t="s">
        <v>655</v>
      </c>
      <c r="I165" s="10" t="s">
        <v>656</v>
      </c>
      <c r="J165" s="10"/>
      <c r="K165" s="10"/>
      <c r="L165" s="10"/>
      <c r="M165" s="10" t="s">
        <v>664</v>
      </c>
      <c r="N165" s="30"/>
      <c r="O165" s="10">
        <f t="shared" si="1"/>
        <v>126</v>
      </c>
      <c r="P165" s="14"/>
      <c r="Q165" s="31" t="str">
        <f t="array" ref="Q165">XLOOKUP(C165,fichas_pdf[ap],fichas_pdf[tiene],"no tiene en pdf",0,1)</f>
        <v>no tiene en pdf</v>
      </c>
      <c r="R165" s="4"/>
      <c r="S165" s="4"/>
      <c r="T165" s="4"/>
      <c r="U165" s="4"/>
      <c r="V165" s="4"/>
      <c r="W165" s="4"/>
    </row>
    <row r="166" ht="15.75" customHeight="1">
      <c r="A166" s="5">
        <v>183.0</v>
      </c>
      <c r="B166" s="6">
        <v>3.9915064E7</v>
      </c>
      <c r="C166" s="6">
        <v>1526.0</v>
      </c>
      <c r="D166" s="6">
        <v>3.4999032089E10</v>
      </c>
      <c r="E166" s="6"/>
      <c r="F166" s="6"/>
      <c r="G166" s="6"/>
      <c r="H166" s="6" t="s">
        <v>655</v>
      </c>
      <c r="I166" s="6" t="s">
        <v>656</v>
      </c>
      <c r="J166" s="6"/>
      <c r="K166" s="6"/>
      <c r="L166" s="6"/>
      <c r="M166" s="6" t="s">
        <v>664</v>
      </c>
      <c r="N166" s="28"/>
      <c r="O166" s="6">
        <f t="shared" si="1"/>
        <v>126</v>
      </c>
      <c r="P166" s="7"/>
      <c r="Q166" s="34" t="str">
        <f t="array" ref="Q166">XLOOKUP(C166,fichas_pdf[ap],fichas_pdf[tiene],"no tiene en pdf",0,1)</f>
        <v>no tiene en pdf</v>
      </c>
      <c r="R166" s="4"/>
      <c r="S166" s="4"/>
      <c r="T166" s="4"/>
      <c r="U166" s="4"/>
      <c r="V166" s="4"/>
      <c r="W166" s="4"/>
    </row>
    <row r="167" ht="15.75" customHeight="1">
      <c r="A167" s="9">
        <v>184.0</v>
      </c>
      <c r="B167" s="10">
        <v>3.4703565E7</v>
      </c>
      <c r="C167" s="10">
        <v>726.0</v>
      </c>
      <c r="D167" s="10">
        <v>3.4999032089E10</v>
      </c>
      <c r="E167" s="10"/>
      <c r="F167" s="10"/>
      <c r="G167" s="10"/>
      <c r="H167" s="10" t="s">
        <v>655</v>
      </c>
      <c r="I167" s="10" t="s">
        <v>656</v>
      </c>
      <c r="J167" s="10"/>
      <c r="K167" s="10"/>
      <c r="L167" s="10"/>
      <c r="M167" s="10" t="s">
        <v>664</v>
      </c>
      <c r="N167" s="30">
        <v>42948.0</v>
      </c>
      <c r="O167" s="10">
        <f t="shared" si="1"/>
        <v>8</v>
      </c>
      <c r="P167" s="14">
        <v>1.0</v>
      </c>
      <c r="Q167" s="35" t="str">
        <f t="array" ref="Q167">XLOOKUP(C167,fichas_pdf[ap],fichas_pdf[tiene],"no tiene en pdf",0,1)</f>
        <v>no tiene en pdf</v>
      </c>
      <c r="R167" s="4"/>
      <c r="S167" s="4"/>
      <c r="T167" s="4"/>
      <c r="U167" s="4"/>
      <c r="V167" s="4"/>
      <c r="W167" s="4"/>
    </row>
    <row r="168" ht="15.75" customHeight="1">
      <c r="A168" s="5">
        <v>185.0</v>
      </c>
      <c r="B168" s="6">
        <v>3.9066896E7</v>
      </c>
      <c r="C168" s="6">
        <v>1577.0</v>
      </c>
      <c r="D168" s="6">
        <v>3.4999032089E10</v>
      </c>
      <c r="E168" s="6"/>
      <c r="F168" s="6"/>
      <c r="G168" s="6"/>
      <c r="H168" s="6" t="s">
        <v>655</v>
      </c>
      <c r="I168" s="6" t="s">
        <v>656</v>
      </c>
      <c r="J168" s="6"/>
      <c r="K168" s="6"/>
      <c r="L168" s="6"/>
      <c r="M168" s="6" t="s">
        <v>664</v>
      </c>
      <c r="N168" s="28">
        <v>43150.0</v>
      </c>
      <c r="O168" s="6">
        <f t="shared" si="1"/>
        <v>7</v>
      </c>
      <c r="P168" s="6"/>
      <c r="Q168" s="29" t="str">
        <f t="array" ref="Q168">XLOOKUP(C168,fichas_pdf[ap],fichas_pdf[tiene],"no tiene en pdf",0,1)</f>
        <v>no tiene en pdf</v>
      </c>
      <c r="R168" s="4"/>
      <c r="S168" s="4"/>
      <c r="T168" s="4"/>
      <c r="U168" s="4"/>
      <c r="V168" s="4"/>
      <c r="W168" s="4"/>
    </row>
    <row r="169" ht="15.75" customHeight="1">
      <c r="A169" s="9">
        <v>186.0</v>
      </c>
      <c r="B169" s="10">
        <v>3.8070151E7</v>
      </c>
      <c r="C169" s="10">
        <v>1183.0</v>
      </c>
      <c r="D169" s="10">
        <v>3.4999032089E10</v>
      </c>
      <c r="E169" s="10"/>
      <c r="F169" s="10"/>
      <c r="G169" s="10"/>
      <c r="H169" s="10" t="s">
        <v>655</v>
      </c>
      <c r="I169" s="10" t="s">
        <v>656</v>
      </c>
      <c r="J169" s="10"/>
      <c r="K169" s="10"/>
      <c r="L169" s="10"/>
      <c r="M169" s="10" t="s">
        <v>664</v>
      </c>
      <c r="N169" s="30">
        <v>43132.0</v>
      </c>
      <c r="O169" s="10">
        <f t="shared" si="1"/>
        <v>7</v>
      </c>
      <c r="P169" s="14">
        <v>1.0</v>
      </c>
      <c r="Q169" s="35" t="str">
        <f t="array" ref="Q169">XLOOKUP(C169,fichas_pdf[ap],fichas_pdf[tiene],"no tiene en pdf",0,1)</f>
        <v>no tiene en pdf</v>
      </c>
      <c r="R169" s="4"/>
      <c r="S169" s="4"/>
      <c r="T169" s="4"/>
      <c r="U169" s="4"/>
      <c r="V169" s="4"/>
      <c r="W169" s="4"/>
    </row>
    <row r="170" ht="15.75" customHeight="1">
      <c r="A170" s="5">
        <v>187.0</v>
      </c>
      <c r="B170" s="6">
        <v>3.6087484E7</v>
      </c>
      <c r="C170" s="6">
        <v>733.0</v>
      </c>
      <c r="D170" s="6">
        <v>3.4999032089E10</v>
      </c>
      <c r="E170" s="6"/>
      <c r="F170" s="6"/>
      <c r="G170" s="6"/>
      <c r="H170" s="6" t="s">
        <v>655</v>
      </c>
      <c r="I170" s="6" t="s">
        <v>656</v>
      </c>
      <c r="J170" s="6"/>
      <c r="K170" s="6"/>
      <c r="L170" s="6"/>
      <c r="M170" s="6" t="s">
        <v>665</v>
      </c>
      <c r="N170" s="28">
        <v>42948.0</v>
      </c>
      <c r="O170" s="6">
        <f t="shared" si="1"/>
        <v>8</v>
      </c>
      <c r="P170" s="7">
        <v>1.0</v>
      </c>
      <c r="Q170" s="34" t="str">
        <f t="array" ref="Q170">XLOOKUP(C170,fichas_pdf[ap],fichas_pdf[tiene],"no tiene en pdf",0,1)</f>
        <v>no tiene en pdf</v>
      </c>
      <c r="R170" s="4"/>
      <c r="S170" s="4"/>
      <c r="T170" s="4"/>
      <c r="U170" s="4"/>
      <c r="V170" s="4"/>
      <c r="W170" s="4"/>
    </row>
    <row r="171" ht="15.75" customHeight="1">
      <c r="A171" s="9">
        <v>189.0</v>
      </c>
      <c r="B171" s="10">
        <v>3.694925E7</v>
      </c>
      <c r="C171" s="10">
        <v>1642.0</v>
      </c>
      <c r="D171" s="10">
        <v>3.4999032089E10</v>
      </c>
      <c r="E171" s="10"/>
      <c r="F171" s="10"/>
      <c r="G171" s="10"/>
      <c r="H171" s="10" t="s">
        <v>655</v>
      </c>
      <c r="I171" s="10" t="s">
        <v>656</v>
      </c>
      <c r="J171" s="10"/>
      <c r="K171" s="10"/>
      <c r="L171" s="10"/>
      <c r="M171" s="10" t="s">
        <v>664</v>
      </c>
      <c r="N171" s="30">
        <v>43535.0</v>
      </c>
      <c r="O171" s="10">
        <f t="shared" si="1"/>
        <v>6</v>
      </c>
      <c r="P171" s="14"/>
      <c r="Q171" s="31" t="str">
        <f t="array" ref="Q171">XLOOKUP(C171,fichas_pdf[ap],fichas_pdf[tiene],"no tiene en pdf",0,1)</f>
        <v>no tiene en pdf</v>
      </c>
      <c r="R171" s="4"/>
      <c r="S171" s="4"/>
      <c r="T171" s="4"/>
      <c r="U171" s="4"/>
      <c r="V171" s="4"/>
      <c r="W171" s="4"/>
    </row>
    <row r="172" ht="15.75" customHeight="1">
      <c r="A172" s="5">
        <v>190.0</v>
      </c>
      <c r="B172" s="6">
        <v>3.8027633E7</v>
      </c>
      <c r="C172" s="6">
        <v>1586.0</v>
      </c>
      <c r="D172" s="6">
        <v>3.4999032089E10</v>
      </c>
      <c r="E172" s="6"/>
      <c r="F172" s="6"/>
      <c r="G172" s="6"/>
      <c r="H172" s="6" t="s">
        <v>655</v>
      </c>
      <c r="I172" s="6" t="s">
        <v>656</v>
      </c>
      <c r="J172" s="6"/>
      <c r="K172" s="6"/>
      <c r="L172" s="6"/>
      <c r="M172" s="6" t="s">
        <v>664</v>
      </c>
      <c r="N172" s="28">
        <v>43498.0</v>
      </c>
      <c r="O172" s="6">
        <f t="shared" si="1"/>
        <v>6</v>
      </c>
      <c r="P172" s="7"/>
      <c r="Q172" s="29" t="str">
        <f t="array" ref="Q172">XLOOKUP(C172,fichas_pdf[ap],fichas_pdf[tiene],"no tiene en pdf",0,1)</f>
        <v>no tiene en pdf</v>
      </c>
      <c r="R172" s="4"/>
      <c r="S172" s="4"/>
      <c r="T172" s="4"/>
      <c r="U172" s="4"/>
      <c r="V172" s="4"/>
      <c r="W172" s="4"/>
    </row>
    <row r="173" ht="15.75" customHeight="1">
      <c r="A173" s="9">
        <v>191.0</v>
      </c>
      <c r="B173" s="10">
        <v>3.6550977E7</v>
      </c>
      <c r="C173" s="10">
        <v>1327.0</v>
      </c>
      <c r="D173" s="10">
        <v>3.4999032089E10</v>
      </c>
      <c r="E173" s="10"/>
      <c r="F173" s="10"/>
      <c r="G173" s="10"/>
      <c r="H173" s="10" t="s">
        <v>655</v>
      </c>
      <c r="I173" s="10" t="s">
        <v>656</v>
      </c>
      <c r="J173" s="10"/>
      <c r="K173" s="10"/>
      <c r="L173" s="10"/>
      <c r="M173" s="10" t="s">
        <v>664</v>
      </c>
      <c r="N173" s="30">
        <v>43132.0</v>
      </c>
      <c r="O173" s="10">
        <f t="shared" si="1"/>
        <v>7</v>
      </c>
      <c r="P173" s="14"/>
      <c r="Q173" s="31" t="str">
        <f t="array" ref="Q173">XLOOKUP(C173,fichas_pdf[ap],fichas_pdf[tiene],"no tiene en pdf",0,1)</f>
        <v>no tiene en pdf</v>
      </c>
      <c r="R173" s="4"/>
      <c r="S173" s="4"/>
      <c r="T173" s="4"/>
      <c r="U173" s="4"/>
      <c r="V173" s="4"/>
      <c r="W173" s="4"/>
    </row>
    <row r="174" ht="15.75" customHeight="1">
      <c r="A174" s="5">
        <v>192.0</v>
      </c>
      <c r="B174" s="6">
        <v>3.5914134E7</v>
      </c>
      <c r="C174" s="6">
        <v>353.0</v>
      </c>
      <c r="D174" s="6">
        <v>3.4999032089E10</v>
      </c>
      <c r="E174" s="6"/>
      <c r="F174" s="6"/>
      <c r="G174" s="6"/>
      <c r="H174" s="6" t="s">
        <v>655</v>
      </c>
      <c r="I174" s="6" t="s">
        <v>656</v>
      </c>
      <c r="J174" s="6"/>
      <c r="K174" s="6"/>
      <c r="L174" s="6"/>
      <c r="M174" s="6" t="s">
        <v>664</v>
      </c>
      <c r="N174" s="28">
        <v>42884.0</v>
      </c>
      <c r="O174" s="6">
        <f t="shared" si="1"/>
        <v>8</v>
      </c>
      <c r="P174" s="7"/>
      <c r="Q174" s="29" t="str">
        <f t="array" ref="Q174">XLOOKUP(C174,fichas_pdf[ap],fichas_pdf[tiene],"no tiene en pdf",0,1)</f>
        <v>no tiene en pdf</v>
      </c>
      <c r="R174" s="4"/>
      <c r="S174" s="4"/>
      <c r="T174" s="4"/>
      <c r="U174" s="4"/>
      <c r="V174" s="4"/>
      <c r="W174" s="4"/>
    </row>
    <row r="175" ht="15.75" customHeight="1">
      <c r="A175" s="9">
        <v>193.0</v>
      </c>
      <c r="B175" s="10">
        <v>9.5695047E7</v>
      </c>
      <c r="C175" s="10">
        <v>509.0</v>
      </c>
      <c r="D175" s="10">
        <v>3.4999032089E10</v>
      </c>
      <c r="E175" s="10"/>
      <c r="F175" s="10"/>
      <c r="G175" s="10"/>
      <c r="H175" s="10" t="s">
        <v>655</v>
      </c>
      <c r="I175" s="10" t="s">
        <v>656</v>
      </c>
      <c r="J175" s="10"/>
      <c r="K175" s="10"/>
      <c r="L175" s="10"/>
      <c r="M175" s="10" t="s">
        <v>665</v>
      </c>
      <c r="N175" s="30">
        <v>42919.0</v>
      </c>
      <c r="O175" s="10">
        <f t="shared" si="1"/>
        <v>8</v>
      </c>
      <c r="P175" s="14"/>
      <c r="Q175" s="31" t="str">
        <f t="array" ref="Q175">XLOOKUP(C175,fichas_pdf[ap],fichas_pdf[tiene],"no tiene en pdf",0,1)</f>
        <v>no tiene en pdf</v>
      </c>
      <c r="R175" s="4"/>
      <c r="S175" s="4"/>
      <c r="T175" s="4"/>
      <c r="U175" s="4"/>
      <c r="V175" s="4"/>
      <c r="W175" s="4"/>
    </row>
    <row r="176" ht="15.75" customHeight="1">
      <c r="A176" s="5">
        <v>194.0</v>
      </c>
      <c r="B176" s="6">
        <v>3.7699248E7</v>
      </c>
      <c r="C176" s="6">
        <v>232.0</v>
      </c>
      <c r="D176" s="6">
        <v>3.4999032089E10</v>
      </c>
      <c r="E176" s="6"/>
      <c r="F176" s="6"/>
      <c r="G176" s="6"/>
      <c r="H176" s="6" t="s">
        <v>655</v>
      </c>
      <c r="I176" s="6" t="s">
        <v>656</v>
      </c>
      <c r="J176" s="6"/>
      <c r="K176" s="6"/>
      <c r="L176" s="6"/>
      <c r="M176" s="6" t="s">
        <v>663</v>
      </c>
      <c r="N176" s="32">
        <v>42795.0</v>
      </c>
      <c r="O176" s="6">
        <f t="shared" si="1"/>
        <v>8</v>
      </c>
      <c r="P176" s="7">
        <v>1.0</v>
      </c>
      <c r="Q176" s="34" t="str">
        <f t="array" ref="Q176">XLOOKUP(C176,fichas_pdf[ap],fichas_pdf[tiene],"no tiene en pdf",0,1)</f>
        <v>no tiene en pdf</v>
      </c>
      <c r="R176" s="4"/>
      <c r="S176" s="4"/>
      <c r="T176" s="4"/>
      <c r="U176" s="4"/>
      <c r="V176" s="4"/>
      <c r="W176" s="4"/>
    </row>
    <row r="177" ht="15.75" customHeight="1">
      <c r="A177" s="9">
        <v>195.0</v>
      </c>
      <c r="B177" s="10">
        <v>2.5044383E7</v>
      </c>
      <c r="C177" s="10">
        <v>1380.0</v>
      </c>
      <c r="D177" s="10">
        <v>3.4999032089E10</v>
      </c>
      <c r="E177" s="10"/>
      <c r="F177" s="10"/>
      <c r="G177" s="10"/>
      <c r="H177" s="10" t="s">
        <v>655</v>
      </c>
      <c r="I177" s="10" t="s">
        <v>656</v>
      </c>
      <c r="J177" s="10"/>
      <c r="K177" s="10"/>
      <c r="L177" s="10"/>
      <c r="M177" s="10" t="s">
        <v>663</v>
      </c>
      <c r="N177" s="30">
        <v>42310.0</v>
      </c>
      <c r="O177" s="10">
        <f t="shared" si="1"/>
        <v>10</v>
      </c>
      <c r="P177" s="14">
        <v>1.0</v>
      </c>
      <c r="Q177" s="31" t="str">
        <f t="array" ref="Q177">XLOOKUP(C177,fichas_pdf[ap],fichas_pdf[tiene],"no tiene en pdf",0,1)</f>
        <v>no tiene en pdf</v>
      </c>
      <c r="R177" s="4"/>
      <c r="S177" s="4"/>
      <c r="T177" s="4"/>
      <c r="U177" s="4"/>
      <c r="V177" s="4"/>
      <c r="W177" s="4"/>
    </row>
    <row r="178" ht="15.75" customHeight="1">
      <c r="A178" s="5">
        <v>196.0</v>
      </c>
      <c r="B178" s="6">
        <v>3.391498E7</v>
      </c>
      <c r="C178" s="6">
        <v>1993.0</v>
      </c>
      <c r="D178" s="6">
        <v>3.4999032089E10</v>
      </c>
      <c r="E178" s="6"/>
      <c r="F178" s="6"/>
      <c r="G178" s="6"/>
      <c r="H178" s="6" t="s">
        <v>655</v>
      </c>
      <c r="I178" s="6" t="s">
        <v>656</v>
      </c>
      <c r="J178" s="6"/>
      <c r="K178" s="6"/>
      <c r="L178" s="6"/>
      <c r="M178" s="6" t="s">
        <v>664</v>
      </c>
      <c r="N178" s="28">
        <v>44789.0</v>
      </c>
      <c r="O178" s="6">
        <f t="shared" si="1"/>
        <v>3</v>
      </c>
      <c r="P178" s="7"/>
      <c r="Q178" s="29" t="str">
        <f t="array" ref="Q178">XLOOKUP(C178,fichas_pdf[ap],fichas_pdf[tiene],"no tiene en pdf",0,1)</f>
        <v>no tiene en pdf</v>
      </c>
      <c r="R178" s="4"/>
      <c r="S178" s="4"/>
      <c r="T178" s="4"/>
      <c r="U178" s="4"/>
      <c r="V178" s="4"/>
      <c r="W178" s="4"/>
    </row>
    <row r="179" ht="15.75" customHeight="1">
      <c r="A179" s="9">
        <v>197.0</v>
      </c>
      <c r="B179" s="10">
        <v>3.3401865E7</v>
      </c>
      <c r="C179" s="10">
        <v>1006.0</v>
      </c>
      <c r="D179" s="10">
        <v>3.4999032089E10</v>
      </c>
      <c r="E179" s="10"/>
      <c r="F179" s="10"/>
      <c r="G179" s="10"/>
      <c r="H179" s="10" t="s">
        <v>655</v>
      </c>
      <c r="I179" s="10" t="s">
        <v>656</v>
      </c>
      <c r="J179" s="10"/>
      <c r="K179" s="10"/>
      <c r="L179" s="10"/>
      <c r="M179" s="10" t="s">
        <v>664</v>
      </c>
      <c r="N179" s="30">
        <v>42948.0</v>
      </c>
      <c r="O179" s="10">
        <f t="shared" si="1"/>
        <v>8</v>
      </c>
      <c r="P179" s="14"/>
      <c r="Q179" s="31" t="str">
        <f t="array" ref="Q179">XLOOKUP(C179,fichas_pdf[ap],fichas_pdf[tiene],"no tiene en pdf",0,1)</f>
        <v>no tiene en pdf</v>
      </c>
      <c r="R179" s="4"/>
      <c r="S179" s="4"/>
      <c r="T179" s="4"/>
      <c r="U179" s="4"/>
      <c r="V179" s="4"/>
      <c r="W179" s="4"/>
    </row>
    <row r="180" ht="15.75" customHeight="1">
      <c r="A180" s="5">
        <v>198.0</v>
      </c>
      <c r="B180" s="6">
        <v>2.9428219E7</v>
      </c>
      <c r="C180" s="6">
        <v>413.0</v>
      </c>
      <c r="D180" s="6">
        <v>3.4999032089E10</v>
      </c>
      <c r="E180" s="6"/>
      <c r="F180" s="6"/>
      <c r="G180" s="6"/>
      <c r="H180" s="6" t="s">
        <v>655</v>
      </c>
      <c r="I180" s="6" t="s">
        <v>656</v>
      </c>
      <c r="J180" s="6"/>
      <c r="K180" s="6"/>
      <c r="L180" s="6"/>
      <c r="M180" s="6" t="s">
        <v>664</v>
      </c>
      <c r="N180" s="28">
        <v>42884.0</v>
      </c>
      <c r="O180" s="6">
        <f t="shared" si="1"/>
        <v>8</v>
      </c>
      <c r="P180" s="7"/>
      <c r="Q180" s="29" t="str">
        <f t="array" ref="Q180">XLOOKUP(C180,fichas_pdf[ap],fichas_pdf[tiene],"no tiene en pdf",0,1)</f>
        <v>no tiene en pdf</v>
      </c>
      <c r="R180" s="4"/>
      <c r="S180" s="4"/>
      <c r="T180" s="4"/>
      <c r="U180" s="4"/>
      <c r="V180" s="4"/>
      <c r="W180" s="4"/>
    </row>
    <row r="181" ht="15.75" customHeight="1">
      <c r="A181" s="9">
        <v>199.0</v>
      </c>
      <c r="B181" s="10">
        <v>2.767463E7</v>
      </c>
      <c r="C181" s="10">
        <v>417.0</v>
      </c>
      <c r="D181" s="10">
        <v>3.4999032089E10</v>
      </c>
      <c r="E181" s="10"/>
      <c r="F181" s="10"/>
      <c r="G181" s="10"/>
      <c r="H181" s="10" t="s">
        <v>655</v>
      </c>
      <c r="I181" s="10" t="s">
        <v>656</v>
      </c>
      <c r="J181" s="10"/>
      <c r="K181" s="10"/>
      <c r="L181" s="10"/>
      <c r="M181" s="10" t="s">
        <v>664</v>
      </c>
      <c r="N181" s="30">
        <v>42891.0</v>
      </c>
      <c r="O181" s="10">
        <f t="shared" si="1"/>
        <v>8</v>
      </c>
      <c r="P181" s="14">
        <v>1.0</v>
      </c>
      <c r="Q181" s="35" t="str">
        <f t="array" ref="Q181">XLOOKUP(C181,fichas_pdf[ap],fichas_pdf[tiene],"no tiene en pdf",0,1)</f>
        <v>no tiene en pdf</v>
      </c>
      <c r="R181" s="4"/>
      <c r="S181" s="4"/>
      <c r="T181" s="4"/>
      <c r="U181" s="4"/>
      <c r="V181" s="4"/>
      <c r="W181" s="4"/>
    </row>
    <row r="182" ht="15.75" customHeight="1">
      <c r="A182" s="5">
        <v>200.0</v>
      </c>
      <c r="B182" s="6">
        <v>3.5728389E7</v>
      </c>
      <c r="C182" s="6">
        <v>267.0</v>
      </c>
      <c r="D182" s="6">
        <v>3.4999032089E10</v>
      </c>
      <c r="E182" s="6"/>
      <c r="F182" s="6"/>
      <c r="G182" s="6"/>
      <c r="H182" s="6" t="s">
        <v>655</v>
      </c>
      <c r="I182" s="6" t="s">
        <v>656</v>
      </c>
      <c r="J182" s="6"/>
      <c r="K182" s="6"/>
      <c r="L182" s="6"/>
      <c r="M182" s="6" t="s">
        <v>663</v>
      </c>
      <c r="N182" s="28">
        <v>42814.0</v>
      </c>
      <c r="O182" s="6">
        <f t="shared" si="1"/>
        <v>8</v>
      </c>
      <c r="P182" s="7"/>
      <c r="Q182" s="29" t="str">
        <f t="array" ref="Q182">XLOOKUP(C182,fichas_pdf[ap],fichas_pdf[tiene],"no tiene en pdf",0,1)</f>
        <v>no tiene en pdf</v>
      </c>
      <c r="R182" s="4"/>
      <c r="S182" s="4"/>
      <c r="T182" s="4"/>
      <c r="U182" s="4"/>
      <c r="V182" s="4"/>
      <c r="W182" s="4"/>
    </row>
    <row r="183" ht="15.75" customHeight="1">
      <c r="A183" s="9">
        <v>201.0</v>
      </c>
      <c r="B183" s="10">
        <v>1.0000016E7</v>
      </c>
      <c r="C183" s="10">
        <v>2920.0</v>
      </c>
      <c r="D183" s="10">
        <v>3.4999032089E10</v>
      </c>
      <c r="E183" s="10"/>
      <c r="F183" s="10"/>
      <c r="G183" s="10"/>
      <c r="H183" s="10" t="s">
        <v>655</v>
      </c>
      <c r="I183" s="10" t="s">
        <v>656</v>
      </c>
      <c r="J183" s="10"/>
      <c r="K183" s="10"/>
      <c r="L183" s="10"/>
      <c r="M183" s="10" t="s">
        <v>664</v>
      </c>
      <c r="N183" s="30"/>
      <c r="O183" s="10">
        <f t="shared" si="1"/>
        <v>126</v>
      </c>
      <c r="P183" s="14"/>
      <c r="Q183" s="31" t="str">
        <f t="array" ref="Q183">XLOOKUP(C183,fichas_pdf[ap],fichas_pdf[tiene],"no tiene en pdf",0,1)</f>
        <v>no tiene en pdf</v>
      </c>
      <c r="R183" s="4"/>
      <c r="S183" s="4"/>
      <c r="T183" s="4"/>
      <c r="U183" s="4"/>
      <c r="V183" s="4"/>
      <c r="W183" s="4"/>
    </row>
    <row r="184" ht="15.75" customHeight="1">
      <c r="A184" s="5">
        <v>202.0</v>
      </c>
      <c r="B184" s="6">
        <v>1.0000017E7</v>
      </c>
      <c r="C184" s="6">
        <v>2924.0</v>
      </c>
      <c r="D184" s="6">
        <v>3.4999032089E10</v>
      </c>
      <c r="E184" s="6"/>
      <c r="F184" s="6"/>
      <c r="G184" s="6"/>
      <c r="H184" s="6" t="s">
        <v>655</v>
      </c>
      <c r="I184" s="6" t="s">
        <v>656</v>
      </c>
      <c r="J184" s="6"/>
      <c r="K184" s="6"/>
      <c r="L184" s="6"/>
      <c r="M184" s="6" t="s">
        <v>664</v>
      </c>
      <c r="N184" s="28"/>
      <c r="O184" s="6">
        <f t="shared" si="1"/>
        <v>126</v>
      </c>
      <c r="P184" s="7"/>
      <c r="Q184" s="29" t="str">
        <f t="array" ref="Q184">XLOOKUP(C184,fichas_pdf[ap],fichas_pdf[tiene],"no tiene en pdf",0,1)</f>
        <v>no tiene en pdf</v>
      </c>
      <c r="R184" s="4"/>
      <c r="S184" s="4"/>
      <c r="T184" s="4"/>
      <c r="U184" s="4"/>
      <c r="V184" s="4"/>
      <c r="W184" s="4"/>
    </row>
    <row r="185" ht="15.75" customHeight="1">
      <c r="A185" s="9">
        <v>203.0</v>
      </c>
      <c r="B185" s="10">
        <v>1.0000018E7</v>
      </c>
      <c r="C185" s="10">
        <v>2406.0</v>
      </c>
      <c r="D185" s="10">
        <v>3.4999032089E10</v>
      </c>
      <c r="E185" s="10"/>
      <c r="F185" s="10"/>
      <c r="G185" s="10"/>
      <c r="H185" s="10" t="s">
        <v>655</v>
      </c>
      <c r="I185" s="10" t="s">
        <v>656</v>
      </c>
      <c r="J185" s="10"/>
      <c r="K185" s="10"/>
      <c r="L185" s="10"/>
      <c r="M185" s="10" t="s">
        <v>664</v>
      </c>
      <c r="N185" s="30"/>
      <c r="O185" s="10">
        <f t="shared" si="1"/>
        <v>126</v>
      </c>
      <c r="P185" s="14"/>
      <c r="Q185" s="31" t="str">
        <f t="array" ref="Q185">XLOOKUP(C185,fichas_pdf[ap],fichas_pdf[tiene],"no tiene en pdf",0,1)</f>
        <v>no tiene en pdf</v>
      </c>
      <c r="R185" s="4"/>
      <c r="S185" s="4"/>
      <c r="T185" s="4"/>
      <c r="U185" s="4"/>
      <c r="V185" s="4"/>
      <c r="W185" s="4"/>
    </row>
    <row r="186" ht="15.75" customHeight="1">
      <c r="A186" s="5">
        <v>204.0</v>
      </c>
      <c r="B186" s="6">
        <v>1.0000019E7</v>
      </c>
      <c r="C186" s="6">
        <v>2746.0</v>
      </c>
      <c r="D186" s="6">
        <v>3.4999032089E10</v>
      </c>
      <c r="E186" s="6"/>
      <c r="F186" s="6"/>
      <c r="G186" s="6"/>
      <c r="H186" s="6" t="s">
        <v>655</v>
      </c>
      <c r="I186" s="6" t="s">
        <v>656</v>
      </c>
      <c r="J186" s="6"/>
      <c r="K186" s="6"/>
      <c r="L186" s="6"/>
      <c r="M186" s="6" t="s">
        <v>664</v>
      </c>
      <c r="N186" s="28"/>
      <c r="O186" s="6">
        <f t="shared" si="1"/>
        <v>126</v>
      </c>
      <c r="P186" s="7"/>
      <c r="Q186" s="29" t="str">
        <f t="array" ref="Q186">XLOOKUP(C186,fichas_pdf[ap],fichas_pdf[tiene],"no tiene en pdf",0,1)</f>
        <v>no tiene en pdf</v>
      </c>
      <c r="R186" s="4"/>
      <c r="S186" s="4"/>
      <c r="T186" s="4"/>
      <c r="U186" s="4"/>
      <c r="V186" s="4"/>
      <c r="W186" s="4"/>
    </row>
    <row r="187" ht="15.75" customHeight="1">
      <c r="A187" s="9">
        <v>205.0</v>
      </c>
      <c r="B187" s="14">
        <v>3.6755934E7</v>
      </c>
      <c r="C187" s="10">
        <v>1753.0</v>
      </c>
      <c r="D187" s="10">
        <v>3.4999032089E10</v>
      </c>
      <c r="E187" s="10"/>
      <c r="F187" s="10"/>
      <c r="G187" s="10"/>
      <c r="H187" s="10" t="s">
        <v>655</v>
      </c>
      <c r="I187" s="10" t="s">
        <v>656</v>
      </c>
      <c r="J187" s="10"/>
      <c r="K187" s="10"/>
      <c r="L187" s="10"/>
      <c r="M187" s="10" t="s">
        <v>664</v>
      </c>
      <c r="N187" s="33">
        <v>43739.0</v>
      </c>
      <c r="O187" s="10">
        <f t="shared" si="1"/>
        <v>6</v>
      </c>
      <c r="P187" s="14"/>
      <c r="Q187" s="31" t="str">
        <f t="array" ref="Q187">XLOOKUP(C187,fichas_pdf[ap],fichas_pdf[tiene],"no tiene en pdf",0,1)</f>
        <v>no tiene en pdf</v>
      </c>
      <c r="R187" s="4"/>
      <c r="S187" s="4"/>
      <c r="T187" s="4"/>
      <c r="U187" s="4"/>
      <c r="V187" s="4"/>
      <c r="W187" s="4"/>
    </row>
    <row r="188" ht="15.75" customHeight="1">
      <c r="A188" s="5">
        <v>206.0</v>
      </c>
      <c r="B188" s="6">
        <v>1.0000021E7</v>
      </c>
      <c r="C188" s="6">
        <v>1919.0</v>
      </c>
      <c r="D188" s="6">
        <v>3.4999032089E10</v>
      </c>
      <c r="E188" s="6"/>
      <c r="F188" s="6"/>
      <c r="G188" s="6"/>
      <c r="H188" s="6" t="s">
        <v>655</v>
      </c>
      <c r="I188" s="6" t="s">
        <v>656</v>
      </c>
      <c r="J188" s="6"/>
      <c r="K188" s="6"/>
      <c r="L188" s="6"/>
      <c r="M188" s="6" t="s">
        <v>664</v>
      </c>
      <c r="N188" s="28"/>
      <c r="O188" s="6">
        <f t="shared" si="1"/>
        <v>126</v>
      </c>
      <c r="P188" s="7"/>
      <c r="Q188" s="29" t="str">
        <f t="array" ref="Q188">XLOOKUP(C188,fichas_pdf[ap],fichas_pdf[tiene],"no tiene en pdf",0,1)</f>
        <v>no tiene en pdf</v>
      </c>
      <c r="R188" s="4"/>
      <c r="S188" s="4"/>
      <c r="T188" s="4"/>
      <c r="U188" s="4"/>
      <c r="V188" s="4"/>
      <c r="W188" s="4"/>
    </row>
    <row r="189" ht="15.75" customHeight="1">
      <c r="A189" s="9">
        <v>207.0</v>
      </c>
      <c r="B189" s="10">
        <v>1.0000001E7</v>
      </c>
      <c r="C189" s="10">
        <v>2601.0</v>
      </c>
      <c r="D189" s="10">
        <v>3.4999032089E10</v>
      </c>
      <c r="E189" s="10"/>
      <c r="F189" s="10"/>
      <c r="G189" s="10"/>
      <c r="H189" s="10" t="s">
        <v>655</v>
      </c>
      <c r="I189" s="10" t="s">
        <v>656</v>
      </c>
      <c r="J189" s="10"/>
      <c r="K189" s="10"/>
      <c r="L189" s="10"/>
      <c r="M189" s="10" t="s">
        <v>664</v>
      </c>
      <c r="N189" s="30"/>
      <c r="O189" s="10">
        <f t="shared" si="1"/>
        <v>126</v>
      </c>
      <c r="P189" s="14"/>
      <c r="Q189" s="31" t="str">
        <f t="array" ref="Q189">XLOOKUP(C189,fichas_pdf[ap],fichas_pdf[tiene],"no tiene en pdf",0,1)</f>
        <v>no tiene en pdf</v>
      </c>
      <c r="R189" s="4"/>
      <c r="S189" s="4"/>
      <c r="T189" s="4"/>
      <c r="U189" s="4"/>
      <c r="V189" s="4"/>
      <c r="W189" s="4"/>
    </row>
    <row r="190" ht="15.75" customHeight="1">
      <c r="A190" s="5">
        <v>208.0</v>
      </c>
      <c r="B190" s="6">
        <v>1.0000002E7</v>
      </c>
      <c r="C190" s="6">
        <v>2608.0</v>
      </c>
      <c r="D190" s="6">
        <v>3.4999032089E10</v>
      </c>
      <c r="E190" s="6"/>
      <c r="F190" s="6"/>
      <c r="G190" s="6"/>
      <c r="H190" s="6" t="s">
        <v>655</v>
      </c>
      <c r="I190" s="6" t="s">
        <v>656</v>
      </c>
      <c r="J190" s="6"/>
      <c r="K190" s="6"/>
      <c r="L190" s="6"/>
      <c r="M190" s="6" t="s">
        <v>664</v>
      </c>
      <c r="N190" s="28"/>
      <c r="O190" s="6">
        <f t="shared" si="1"/>
        <v>126</v>
      </c>
      <c r="P190" s="7"/>
      <c r="Q190" s="29" t="str">
        <f t="array" ref="Q190">XLOOKUP(C190,fichas_pdf[ap],fichas_pdf[tiene],"no tiene en pdf",0,1)</f>
        <v>no tiene en pdf</v>
      </c>
      <c r="R190" s="4"/>
      <c r="S190" s="4"/>
      <c r="T190" s="4"/>
      <c r="U190" s="4"/>
      <c r="V190" s="4"/>
      <c r="W190" s="4"/>
    </row>
    <row r="191" ht="15.75" customHeight="1">
      <c r="A191" s="9">
        <v>209.0</v>
      </c>
      <c r="B191" s="10">
        <v>1.0000003E7</v>
      </c>
      <c r="C191" s="10">
        <v>2891.0</v>
      </c>
      <c r="D191" s="10">
        <v>3.4999032089E10</v>
      </c>
      <c r="E191" s="10"/>
      <c r="F191" s="10"/>
      <c r="G191" s="10"/>
      <c r="H191" s="10" t="s">
        <v>655</v>
      </c>
      <c r="I191" s="10" t="s">
        <v>656</v>
      </c>
      <c r="J191" s="10"/>
      <c r="K191" s="10"/>
      <c r="L191" s="10"/>
      <c r="M191" s="10" t="s">
        <v>664</v>
      </c>
      <c r="N191" s="30"/>
      <c r="O191" s="10">
        <f t="shared" si="1"/>
        <v>126</v>
      </c>
      <c r="P191" s="14"/>
      <c r="Q191" s="31" t="str">
        <f t="array" ref="Q191">XLOOKUP(C191,fichas_pdf[ap],fichas_pdf[tiene],"no tiene en pdf",0,1)</f>
        <v>no tiene en pdf</v>
      </c>
      <c r="R191" s="4"/>
      <c r="S191" s="4"/>
      <c r="T191" s="4"/>
      <c r="U191" s="4"/>
      <c r="V191" s="4"/>
      <c r="W191" s="4"/>
    </row>
    <row r="192" ht="15.75" customHeight="1">
      <c r="A192" s="5">
        <v>210.0</v>
      </c>
      <c r="B192" s="6">
        <v>1.0000004E7</v>
      </c>
      <c r="C192" s="6">
        <v>2954.0</v>
      </c>
      <c r="D192" s="6">
        <v>3.4999032089E10</v>
      </c>
      <c r="E192" s="6"/>
      <c r="F192" s="6"/>
      <c r="G192" s="6"/>
      <c r="H192" s="6" t="s">
        <v>655</v>
      </c>
      <c r="I192" s="6" t="s">
        <v>656</v>
      </c>
      <c r="J192" s="6"/>
      <c r="K192" s="6"/>
      <c r="L192" s="6"/>
      <c r="M192" s="6" t="s">
        <v>664</v>
      </c>
      <c r="N192" s="28"/>
      <c r="O192" s="6">
        <f t="shared" si="1"/>
        <v>126</v>
      </c>
      <c r="P192" s="7"/>
      <c r="Q192" s="29" t="str">
        <f t="array" ref="Q192">XLOOKUP(C192,fichas_pdf[ap],fichas_pdf[tiene],"no tiene en pdf",0,1)</f>
        <v>no tiene en pdf</v>
      </c>
      <c r="R192" s="4"/>
      <c r="S192" s="4"/>
      <c r="T192" s="4"/>
      <c r="U192" s="4"/>
      <c r="V192" s="4"/>
      <c r="W192" s="4"/>
    </row>
    <row r="193" ht="15.75" customHeight="1">
      <c r="A193" s="9">
        <v>211.0</v>
      </c>
      <c r="B193" s="10">
        <v>1.0000005E7</v>
      </c>
      <c r="C193" s="10">
        <v>1931.0</v>
      </c>
      <c r="D193" s="10">
        <v>3.4999032089E10</v>
      </c>
      <c r="E193" s="10"/>
      <c r="F193" s="10"/>
      <c r="G193" s="10"/>
      <c r="H193" s="10" t="s">
        <v>655</v>
      </c>
      <c r="I193" s="10" t="s">
        <v>656</v>
      </c>
      <c r="J193" s="10"/>
      <c r="K193" s="10"/>
      <c r="L193" s="10"/>
      <c r="M193" s="10" t="s">
        <v>664</v>
      </c>
      <c r="N193" s="30"/>
      <c r="O193" s="10">
        <f t="shared" si="1"/>
        <v>126</v>
      </c>
      <c r="P193" s="14"/>
      <c r="Q193" s="31" t="str">
        <f t="array" ref="Q193">XLOOKUP(C193,fichas_pdf[ap],fichas_pdf[tiene],"no tiene en pdf",0,1)</f>
        <v>no tiene en pdf</v>
      </c>
      <c r="R193" s="4"/>
      <c r="S193" s="4"/>
      <c r="T193" s="4"/>
      <c r="U193" s="4"/>
      <c r="V193" s="4"/>
      <c r="W193" s="4"/>
    </row>
    <row r="194" ht="15.75" customHeight="1">
      <c r="A194" s="5">
        <v>212.0</v>
      </c>
      <c r="B194" s="7">
        <v>4.5192487E7</v>
      </c>
      <c r="C194" s="6">
        <v>2177.0</v>
      </c>
      <c r="D194" s="6">
        <v>3.4999032089E10</v>
      </c>
      <c r="E194" s="6"/>
      <c r="F194" s="6"/>
      <c r="G194" s="6"/>
      <c r="H194" s="6" t="s">
        <v>655</v>
      </c>
      <c r="I194" s="6" t="s">
        <v>656</v>
      </c>
      <c r="J194" s="6"/>
      <c r="K194" s="6"/>
      <c r="L194" s="6"/>
      <c r="M194" s="6" t="s">
        <v>664</v>
      </c>
      <c r="N194" s="28"/>
      <c r="O194" s="6">
        <f t="shared" si="1"/>
        <v>126</v>
      </c>
      <c r="P194" s="7"/>
      <c r="Q194" s="29">
        <f t="array" ref="Q194">XLOOKUP(C194,fichas_pdf[ap],fichas_pdf[tiene],"no tiene en pdf",0,1)</f>
        <v>1</v>
      </c>
      <c r="R194" s="4"/>
      <c r="S194" s="4"/>
      <c r="T194" s="4"/>
      <c r="U194" s="4"/>
      <c r="V194" s="4"/>
      <c r="W194" s="4"/>
    </row>
    <row r="195" ht="15.75" customHeight="1">
      <c r="A195" s="9">
        <v>213.0</v>
      </c>
      <c r="B195" s="10">
        <v>1.0000007E7</v>
      </c>
      <c r="C195" s="10">
        <v>2458.0</v>
      </c>
      <c r="D195" s="10">
        <v>3.4999032089E10</v>
      </c>
      <c r="E195" s="10"/>
      <c r="F195" s="10"/>
      <c r="G195" s="10"/>
      <c r="H195" s="10" t="s">
        <v>655</v>
      </c>
      <c r="I195" s="10" t="s">
        <v>656</v>
      </c>
      <c r="J195" s="10"/>
      <c r="K195" s="10"/>
      <c r="L195" s="10"/>
      <c r="M195" s="10" t="s">
        <v>664</v>
      </c>
      <c r="N195" s="30"/>
      <c r="O195" s="10">
        <f t="shared" si="1"/>
        <v>126</v>
      </c>
      <c r="P195" s="14"/>
      <c r="Q195" s="31" t="str">
        <f t="array" ref="Q195">XLOOKUP(C195,fichas_pdf[ap],fichas_pdf[tiene],"no tiene en pdf",0,1)</f>
        <v>no tiene en pdf</v>
      </c>
      <c r="R195" s="4"/>
      <c r="S195" s="4"/>
      <c r="T195" s="4"/>
      <c r="U195" s="4"/>
      <c r="V195" s="4"/>
      <c r="W195" s="4"/>
    </row>
    <row r="196" ht="15.75" customHeight="1">
      <c r="A196" s="5">
        <v>214.0</v>
      </c>
      <c r="B196" s="6">
        <v>1.0000008E7</v>
      </c>
      <c r="C196" s="6">
        <v>2457.0</v>
      </c>
      <c r="D196" s="6">
        <v>3.4999032089E10</v>
      </c>
      <c r="E196" s="6"/>
      <c r="F196" s="6"/>
      <c r="G196" s="6"/>
      <c r="H196" s="6" t="s">
        <v>655</v>
      </c>
      <c r="I196" s="6" t="s">
        <v>656</v>
      </c>
      <c r="J196" s="6"/>
      <c r="K196" s="6"/>
      <c r="L196" s="6"/>
      <c r="M196" s="6" t="s">
        <v>664</v>
      </c>
      <c r="N196" s="28"/>
      <c r="O196" s="6">
        <f t="shared" si="1"/>
        <v>126</v>
      </c>
      <c r="P196" s="7"/>
      <c r="Q196" s="29" t="str">
        <f t="array" ref="Q196">XLOOKUP(C196,fichas_pdf[ap],fichas_pdf[tiene],"no tiene en pdf",0,1)</f>
        <v>no tiene en pdf</v>
      </c>
      <c r="R196" s="4"/>
      <c r="S196" s="4"/>
      <c r="T196" s="4"/>
      <c r="U196" s="4"/>
      <c r="V196" s="4"/>
      <c r="W196" s="4"/>
    </row>
    <row r="197" ht="15.75" customHeight="1">
      <c r="A197" s="9">
        <v>215.0</v>
      </c>
      <c r="B197" s="10">
        <v>1.0000009E7</v>
      </c>
      <c r="C197" s="10">
        <v>2467.0</v>
      </c>
      <c r="D197" s="10">
        <v>3.4999032089E10</v>
      </c>
      <c r="E197" s="10"/>
      <c r="F197" s="10"/>
      <c r="G197" s="10"/>
      <c r="H197" s="10" t="s">
        <v>655</v>
      </c>
      <c r="I197" s="10" t="s">
        <v>656</v>
      </c>
      <c r="J197" s="10"/>
      <c r="K197" s="10"/>
      <c r="L197" s="10"/>
      <c r="M197" s="10" t="s">
        <v>664</v>
      </c>
      <c r="N197" s="30"/>
      <c r="O197" s="10">
        <f t="shared" si="1"/>
        <v>126</v>
      </c>
      <c r="P197" s="14"/>
      <c r="Q197" s="31" t="str">
        <f t="array" ref="Q197">XLOOKUP(C197,fichas_pdf[ap],fichas_pdf[tiene],"no tiene en pdf",0,1)</f>
        <v>no tiene en pdf</v>
      </c>
      <c r="R197" s="4"/>
      <c r="S197" s="4"/>
      <c r="T197" s="4"/>
      <c r="U197" s="4"/>
      <c r="V197" s="4"/>
      <c r="W197" s="4"/>
    </row>
    <row r="198" ht="15.75" customHeight="1">
      <c r="A198" s="5">
        <v>216.0</v>
      </c>
      <c r="B198" s="6">
        <v>1.000001E7</v>
      </c>
      <c r="C198" s="6">
        <v>2795.0</v>
      </c>
      <c r="D198" s="6">
        <v>3.4999032089E10</v>
      </c>
      <c r="E198" s="6"/>
      <c r="F198" s="6"/>
      <c r="G198" s="6"/>
      <c r="H198" s="6" t="s">
        <v>655</v>
      </c>
      <c r="I198" s="6" t="s">
        <v>656</v>
      </c>
      <c r="J198" s="6"/>
      <c r="K198" s="6"/>
      <c r="L198" s="6"/>
      <c r="M198" s="6" t="s">
        <v>664</v>
      </c>
      <c r="N198" s="28"/>
      <c r="O198" s="6">
        <f t="shared" si="1"/>
        <v>126</v>
      </c>
      <c r="P198" s="7"/>
      <c r="Q198" s="29" t="str">
        <f t="array" ref="Q198">XLOOKUP(C198,fichas_pdf[ap],fichas_pdf[tiene],"no tiene en pdf",0,1)</f>
        <v>no tiene en pdf</v>
      </c>
      <c r="R198" s="4"/>
      <c r="S198" s="4"/>
      <c r="T198" s="4"/>
      <c r="U198" s="4"/>
      <c r="V198" s="4"/>
      <c r="W198" s="4"/>
    </row>
    <row r="199" ht="15.75" customHeight="1">
      <c r="A199" s="9">
        <v>217.0</v>
      </c>
      <c r="B199" s="10">
        <v>1.0000011E7</v>
      </c>
      <c r="C199" s="10">
        <v>2798.0</v>
      </c>
      <c r="D199" s="10">
        <v>3.4999032089E10</v>
      </c>
      <c r="E199" s="10"/>
      <c r="F199" s="10"/>
      <c r="G199" s="10"/>
      <c r="H199" s="10" t="s">
        <v>655</v>
      </c>
      <c r="I199" s="10" t="s">
        <v>656</v>
      </c>
      <c r="J199" s="10"/>
      <c r="K199" s="10"/>
      <c r="L199" s="10"/>
      <c r="M199" s="10" t="s">
        <v>664</v>
      </c>
      <c r="N199" s="30"/>
      <c r="O199" s="10">
        <f t="shared" si="1"/>
        <v>126</v>
      </c>
      <c r="P199" s="14"/>
      <c r="Q199" s="31" t="str">
        <f t="array" ref="Q199">XLOOKUP(C199,fichas_pdf[ap],fichas_pdf[tiene],"no tiene en pdf",0,1)</f>
        <v>no tiene en pdf</v>
      </c>
      <c r="R199" s="4"/>
      <c r="S199" s="4"/>
      <c r="T199" s="4"/>
      <c r="U199" s="4"/>
      <c r="V199" s="4"/>
      <c r="W199" s="4"/>
    </row>
    <row r="200" ht="15.75" customHeight="1">
      <c r="A200" s="5">
        <v>218.0</v>
      </c>
      <c r="B200" s="6">
        <v>1.0000012E7</v>
      </c>
      <c r="C200" s="6">
        <v>2333.0</v>
      </c>
      <c r="D200" s="6">
        <v>3.4999032089E10</v>
      </c>
      <c r="E200" s="6"/>
      <c r="F200" s="6"/>
      <c r="G200" s="6"/>
      <c r="H200" s="6" t="s">
        <v>655</v>
      </c>
      <c r="I200" s="6" t="s">
        <v>656</v>
      </c>
      <c r="J200" s="6"/>
      <c r="K200" s="6"/>
      <c r="L200" s="6"/>
      <c r="M200" s="6" t="s">
        <v>664</v>
      </c>
      <c r="N200" s="28"/>
      <c r="O200" s="6">
        <f t="shared" si="1"/>
        <v>126</v>
      </c>
      <c r="P200" s="7"/>
      <c r="Q200" s="29" t="str">
        <f t="array" ref="Q200">XLOOKUP(C200,fichas_pdf[ap],fichas_pdf[tiene],"no tiene en pdf",0,1)</f>
        <v>no tiene en pdf</v>
      </c>
      <c r="R200" s="4"/>
      <c r="S200" s="4"/>
      <c r="T200" s="4"/>
      <c r="U200" s="4"/>
      <c r="V200" s="4"/>
      <c r="W200" s="4"/>
    </row>
    <row r="201" ht="15.75" customHeight="1">
      <c r="A201" s="9">
        <v>219.0</v>
      </c>
      <c r="B201" s="14">
        <v>3.8456881E7</v>
      </c>
      <c r="C201" s="10">
        <v>1777.0</v>
      </c>
      <c r="D201" s="10">
        <v>3.4999032089E10</v>
      </c>
      <c r="E201" s="10"/>
      <c r="F201" s="10"/>
      <c r="G201" s="10"/>
      <c r="H201" s="10" t="s">
        <v>655</v>
      </c>
      <c r="I201" s="10" t="s">
        <v>656</v>
      </c>
      <c r="J201" s="10"/>
      <c r="K201" s="10"/>
      <c r="L201" s="10"/>
      <c r="M201" s="10" t="s">
        <v>664</v>
      </c>
      <c r="N201" s="33">
        <v>43739.0</v>
      </c>
      <c r="O201" s="10">
        <f t="shared" si="1"/>
        <v>6</v>
      </c>
      <c r="P201" s="14"/>
      <c r="Q201" s="31" t="str">
        <f t="array" ref="Q201">XLOOKUP(C201,fichas_pdf[ap],fichas_pdf[tiene],"no tiene en pdf",0,1)</f>
        <v>no tiene en pdf</v>
      </c>
      <c r="R201" s="4"/>
      <c r="S201" s="4"/>
      <c r="T201" s="4"/>
      <c r="U201" s="4"/>
      <c r="V201" s="4"/>
      <c r="W201" s="4"/>
    </row>
    <row r="202" ht="15.75" customHeight="1">
      <c r="A202" s="5">
        <v>221.0</v>
      </c>
      <c r="B202" s="6">
        <v>1.0000015E7</v>
      </c>
      <c r="C202" s="6">
        <v>2043.0</v>
      </c>
      <c r="D202" s="6">
        <v>3.4999032089E10</v>
      </c>
      <c r="E202" s="6"/>
      <c r="F202" s="6"/>
      <c r="G202" s="6"/>
      <c r="H202" s="6" t="s">
        <v>655</v>
      </c>
      <c r="I202" s="6" t="s">
        <v>656</v>
      </c>
      <c r="J202" s="6"/>
      <c r="K202" s="6"/>
      <c r="L202" s="6"/>
      <c r="M202" s="6" t="s">
        <v>664</v>
      </c>
      <c r="N202" s="28"/>
      <c r="O202" s="6">
        <f t="shared" si="1"/>
        <v>126</v>
      </c>
      <c r="P202" s="7"/>
      <c r="Q202" s="29" t="str">
        <f t="array" ref="Q202">XLOOKUP(C202,fichas_pdf[ap],fichas_pdf[tiene],"no tiene en pdf",0,1)</f>
        <v>no tiene en pdf</v>
      </c>
      <c r="R202" s="4"/>
      <c r="S202" s="4"/>
      <c r="T202" s="4"/>
      <c r="U202" s="4"/>
      <c r="V202" s="4"/>
      <c r="W202" s="4"/>
    </row>
    <row r="203" ht="15.75" customHeight="1">
      <c r="A203" s="20">
        <v>222.0</v>
      </c>
      <c r="B203" s="14">
        <v>4.2272694E7</v>
      </c>
      <c r="C203" s="14">
        <v>1583.0</v>
      </c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664</v>
      </c>
      <c r="N203" s="30"/>
      <c r="O203" s="10">
        <f t="shared" si="1"/>
        <v>126</v>
      </c>
      <c r="P203" s="14"/>
      <c r="Q203" s="31">
        <f t="array" ref="Q203">XLOOKUP(C203,fichas_pdf[ap],fichas_pdf[tiene],"no tiene en pdf",0,1)</f>
        <v>1</v>
      </c>
      <c r="R203" s="4"/>
      <c r="S203" s="4"/>
      <c r="T203" s="4"/>
      <c r="U203" s="4"/>
      <c r="V203" s="4"/>
      <c r="W203" s="4"/>
    </row>
    <row r="204" ht="15.75" customHeight="1">
      <c r="A204" s="19">
        <v>223.0</v>
      </c>
      <c r="B204" s="7">
        <v>3.64075E7</v>
      </c>
      <c r="C204" s="7">
        <v>1191.0</v>
      </c>
      <c r="D204" s="6"/>
      <c r="E204" s="6"/>
      <c r="F204" s="6"/>
      <c r="G204" s="6"/>
      <c r="H204" s="6"/>
      <c r="I204" s="6"/>
      <c r="J204" s="6"/>
      <c r="K204" s="6"/>
      <c r="L204" s="6"/>
      <c r="M204" s="6" t="s">
        <v>664</v>
      </c>
      <c r="N204" s="28"/>
      <c r="O204" s="6">
        <f t="shared" si="1"/>
        <v>126</v>
      </c>
      <c r="P204" s="7"/>
      <c r="Q204" s="29" t="str">
        <f t="array" ref="Q204">XLOOKUP(C204,fichas_pdf[ap],fichas_pdf[tiene],"no tiene en pdf",0,1)</f>
        <v>no tiene en pdf</v>
      </c>
      <c r="R204" s="4"/>
      <c r="S204" s="4"/>
      <c r="T204" s="4"/>
      <c r="U204" s="4"/>
      <c r="V204" s="4"/>
      <c r="W204" s="4"/>
    </row>
    <row r="205" ht="15.75" customHeight="1">
      <c r="A205" s="20">
        <v>224.0</v>
      </c>
      <c r="B205" s="14">
        <v>3.5181182E7</v>
      </c>
      <c r="C205" s="14">
        <v>803.0</v>
      </c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664</v>
      </c>
      <c r="N205" s="33">
        <v>43465.0</v>
      </c>
      <c r="O205" s="10">
        <f t="shared" si="1"/>
        <v>7</v>
      </c>
      <c r="P205" s="14"/>
      <c r="Q205" s="31" t="str">
        <f t="array" ref="Q205">XLOOKUP(C205,fichas_pdf[ap],fichas_pdf[tiene],"no tiene en pdf",0,1)</f>
        <v>no tiene en pdf</v>
      </c>
      <c r="R205" s="4"/>
      <c r="S205" s="4"/>
      <c r="T205" s="4"/>
      <c r="U205" s="4"/>
      <c r="V205" s="4"/>
      <c r="W205" s="4"/>
    </row>
    <row r="206" ht="15.75" customHeight="1">
      <c r="A206" s="19">
        <v>225.0</v>
      </c>
      <c r="B206" s="7">
        <v>3.3741905E7</v>
      </c>
      <c r="C206" s="7">
        <v>109.0</v>
      </c>
      <c r="D206" s="6"/>
      <c r="E206" s="6"/>
      <c r="F206" s="6"/>
      <c r="G206" s="7" t="s">
        <v>654</v>
      </c>
      <c r="H206" s="6"/>
      <c r="I206" s="6"/>
      <c r="J206" s="6"/>
      <c r="K206" s="6"/>
      <c r="L206" s="6"/>
      <c r="M206" s="7" t="s">
        <v>657</v>
      </c>
      <c r="N206" s="32">
        <v>41640.0</v>
      </c>
      <c r="O206" s="6">
        <f t="shared" si="1"/>
        <v>11</v>
      </c>
      <c r="P206" s="7"/>
      <c r="Q206" s="29" t="str">
        <f t="array" ref="Q206">XLOOKUP(C206,fichas_pdf[ap],fichas_pdf[tiene],"no tiene en pdf",0,1)</f>
        <v>no tiene en pdf</v>
      </c>
      <c r="R206" s="4"/>
      <c r="S206" s="4"/>
      <c r="T206" s="4"/>
      <c r="U206" s="4"/>
      <c r="V206" s="4"/>
      <c r="W206" s="4"/>
    </row>
    <row r="207" ht="15.75" customHeight="1">
      <c r="A207" s="37">
        <v>226.0</v>
      </c>
      <c r="B207" s="38">
        <v>1.8590445E7</v>
      </c>
      <c r="C207" s="38">
        <v>41.0</v>
      </c>
      <c r="D207" s="39"/>
      <c r="E207" s="39"/>
      <c r="F207" s="39"/>
      <c r="G207" s="38" t="s">
        <v>654</v>
      </c>
      <c r="H207" s="39"/>
      <c r="I207" s="39"/>
      <c r="J207" s="39"/>
      <c r="K207" s="39"/>
      <c r="L207" s="39"/>
      <c r="M207" s="38" t="s">
        <v>665</v>
      </c>
      <c r="N207" s="40">
        <v>41640.0</v>
      </c>
      <c r="O207" s="39">
        <f t="shared" si="1"/>
        <v>11</v>
      </c>
      <c r="P207" s="38"/>
      <c r="Q207" s="41" t="str">
        <f t="array" ref="Q207">XLOOKUP(C207,fichas_pdf[ap],fichas_pdf[tiene],"no tiene en pdf",0,1)</f>
        <v>no tiene en pdf</v>
      </c>
      <c r="R207" s="4"/>
      <c r="S207" s="4"/>
      <c r="T207" s="4"/>
      <c r="U207" s="4"/>
      <c r="V207" s="4"/>
      <c r="W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25"/>
      <c r="O208" s="4"/>
      <c r="P208" s="4"/>
      <c r="Q208" s="4"/>
      <c r="R208" s="4"/>
      <c r="S208" s="4"/>
      <c r="T208" s="4"/>
      <c r="U208" s="4"/>
      <c r="V208" s="4"/>
      <c r="W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25"/>
      <c r="O209" s="4"/>
      <c r="P209" s="4"/>
      <c r="Q209" s="4"/>
      <c r="R209" s="4"/>
      <c r="S209" s="4"/>
      <c r="T209" s="4"/>
      <c r="U209" s="4"/>
      <c r="V209" s="4"/>
      <c r="W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25"/>
      <c r="O210" s="4"/>
      <c r="P210" s="4"/>
      <c r="Q210" s="4"/>
      <c r="R210" s="4"/>
      <c r="S210" s="4"/>
      <c r="T210" s="4"/>
      <c r="U210" s="4"/>
      <c r="V210" s="4"/>
      <c r="W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25"/>
      <c r="O211" s="4"/>
      <c r="P211" s="4"/>
      <c r="Q211" s="4"/>
      <c r="R211" s="4"/>
      <c r="S211" s="4"/>
      <c r="T211" s="4"/>
      <c r="U211" s="4"/>
      <c r="V211" s="4"/>
      <c r="W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25"/>
      <c r="O212" s="4"/>
      <c r="P212" s="4"/>
      <c r="Q212" s="4"/>
      <c r="R212" s="4"/>
      <c r="S212" s="4"/>
      <c r="T212" s="4"/>
      <c r="U212" s="4"/>
      <c r="V212" s="4"/>
      <c r="W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25"/>
      <c r="O213" s="4"/>
      <c r="P213" s="4"/>
      <c r="Q213" s="4"/>
      <c r="R213" s="4"/>
      <c r="S213" s="4"/>
      <c r="T213" s="4"/>
      <c r="U213" s="4"/>
      <c r="V213" s="4"/>
      <c r="W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25"/>
      <c r="O214" s="4"/>
      <c r="P214" s="4"/>
      <c r="Q214" s="4"/>
      <c r="R214" s="4"/>
      <c r="S214" s="4"/>
      <c r="T214" s="4"/>
      <c r="U214" s="4"/>
      <c r="V214" s="4"/>
      <c r="W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25"/>
      <c r="O215" s="4"/>
      <c r="P215" s="4"/>
      <c r="Q215" s="4"/>
      <c r="R215" s="4"/>
      <c r="S215" s="4"/>
      <c r="T215" s="4"/>
      <c r="U215" s="4"/>
      <c r="V215" s="4"/>
      <c r="W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25"/>
      <c r="O216" s="4"/>
      <c r="P216" s="4"/>
      <c r="Q216" s="4"/>
      <c r="R216" s="4"/>
      <c r="S216" s="4"/>
      <c r="T216" s="4"/>
      <c r="U216" s="4"/>
      <c r="V216" s="4"/>
      <c r="W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25"/>
      <c r="O217" s="4"/>
      <c r="P217" s="4"/>
      <c r="Q217" s="4"/>
      <c r="R217" s="4"/>
      <c r="S217" s="4"/>
      <c r="T217" s="4"/>
      <c r="U217" s="4"/>
      <c r="V217" s="4"/>
      <c r="W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25"/>
      <c r="O218" s="4"/>
      <c r="P218" s="4"/>
      <c r="Q218" s="4"/>
      <c r="R218" s="4"/>
      <c r="S218" s="4"/>
      <c r="T218" s="4"/>
      <c r="U218" s="4"/>
      <c r="V218" s="4"/>
      <c r="W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25"/>
      <c r="O219" s="4"/>
      <c r="P219" s="4"/>
      <c r="Q219" s="4"/>
      <c r="R219" s="4"/>
      <c r="S219" s="4"/>
      <c r="T219" s="4"/>
      <c r="U219" s="4"/>
      <c r="V219" s="4"/>
      <c r="W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25"/>
      <c r="O220" s="4"/>
      <c r="P220" s="4"/>
      <c r="Q220" s="4"/>
      <c r="R220" s="4"/>
      <c r="S220" s="4"/>
      <c r="T220" s="4"/>
      <c r="U220" s="4"/>
      <c r="V220" s="4"/>
      <c r="W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25"/>
      <c r="O221" s="4"/>
      <c r="P221" s="4"/>
      <c r="Q221" s="4"/>
      <c r="R221" s="4"/>
      <c r="S221" s="4"/>
      <c r="T221" s="4"/>
      <c r="U221" s="4"/>
      <c r="V221" s="4"/>
      <c r="W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25"/>
      <c r="O222" s="4"/>
      <c r="P222" s="4"/>
      <c r="Q222" s="4"/>
      <c r="R222" s="4"/>
      <c r="S222" s="4"/>
      <c r="T222" s="4"/>
      <c r="U222" s="4"/>
      <c r="V222" s="4"/>
      <c r="W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25"/>
      <c r="O223" s="4"/>
      <c r="P223" s="4"/>
      <c r="Q223" s="4"/>
      <c r="R223" s="4"/>
      <c r="S223" s="4"/>
      <c r="T223" s="4"/>
      <c r="U223" s="4"/>
      <c r="V223" s="4"/>
      <c r="W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25"/>
      <c r="O224" s="4"/>
      <c r="P224" s="4"/>
      <c r="Q224" s="4"/>
      <c r="R224" s="4"/>
      <c r="S224" s="4"/>
      <c r="T224" s="4"/>
      <c r="U224" s="4"/>
      <c r="V224" s="4"/>
      <c r="W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25"/>
      <c r="O225" s="4"/>
      <c r="P225" s="4"/>
      <c r="Q225" s="4"/>
      <c r="R225" s="4"/>
      <c r="S225" s="4"/>
      <c r="T225" s="4"/>
      <c r="U225" s="4"/>
      <c r="V225" s="4"/>
      <c r="W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25"/>
      <c r="O226" s="4"/>
      <c r="P226" s="4"/>
      <c r="Q226" s="4"/>
      <c r="R226" s="4"/>
      <c r="S226" s="4"/>
      <c r="T226" s="4"/>
      <c r="U226" s="4"/>
      <c r="V226" s="4"/>
      <c r="W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25"/>
      <c r="O227" s="4"/>
      <c r="P227" s="4"/>
      <c r="Q227" s="4"/>
      <c r="R227" s="4"/>
      <c r="S227" s="4"/>
      <c r="T227" s="4"/>
      <c r="U227" s="4"/>
      <c r="V227" s="4"/>
      <c r="W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25"/>
      <c r="O228" s="4"/>
      <c r="P228" s="4"/>
      <c r="Q228" s="4"/>
      <c r="R228" s="4"/>
      <c r="S228" s="4"/>
      <c r="T228" s="4"/>
      <c r="U228" s="4"/>
      <c r="V228" s="4"/>
      <c r="W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25"/>
      <c r="O229" s="4"/>
      <c r="P229" s="4"/>
      <c r="Q229" s="4"/>
      <c r="R229" s="4"/>
      <c r="S229" s="4"/>
      <c r="T229" s="4"/>
      <c r="U229" s="4"/>
      <c r="V229" s="4"/>
      <c r="W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25"/>
      <c r="O230" s="4"/>
      <c r="P230" s="4"/>
      <c r="Q230" s="4"/>
      <c r="R230" s="4"/>
      <c r="S230" s="4"/>
      <c r="T230" s="4"/>
      <c r="U230" s="4"/>
      <c r="V230" s="4"/>
      <c r="W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25"/>
      <c r="O231" s="4"/>
      <c r="P231" s="4"/>
      <c r="Q231" s="4"/>
      <c r="R231" s="4"/>
      <c r="S231" s="4"/>
      <c r="T231" s="4"/>
      <c r="U231" s="4"/>
      <c r="V231" s="4"/>
      <c r="W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25"/>
      <c r="O232" s="4"/>
      <c r="P232" s="4"/>
      <c r="Q232" s="4"/>
      <c r="R232" s="4"/>
      <c r="S232" s="4"/>
      <c r="T232" s="4"/>
      <c r="U232" s="4"/>
      <c r="V232" s="4"/>
      <c r="W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25"/>
      <c r="O233" s="4"/>
      <c r="P233" s="4"/>
      <c r="Q233" s="4"/>
      <c r="R233" s="4"/>
      <c r="S233" s="4"/>
      <c r="T233" s="4"/>
      <c r="U233" s="4"/>
      <c r="V233" s="4"/>
      <c r="W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25"/>
      <c r="O234" s="4"/>
      <c r="P234" s="4"/>
      <c r="Q234" s="4"/>
      <c r="R234" s="4"/>
      <c r="S234" s="4"/>
      <c r="T234" s="4"/>
      <c r="U234" s="4"/>
      <c r="V234" s="4"/>
      <c r="W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25"/>
      <c r="O235" s="4"/>
      <c r="P235" s="4"/>
      <c r="Q235" s="4"/>
      <c r="R235" s="4"/>
      <c r="S235" s="4"/>
      <c r="T235" s="4"/>
      <c r="U235" s="4"/>
      <c r="V235" s="4"/>
      <c r="W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25"/>
      <c r="O236" s="4"/>
      <c r="P236" s="4"/>
      <c r="Q236" s="4"/>
      <c r="R236" s="4"/>
      <c r="S236" s="4"/>
      <c r="T236" s="4"/>
      <c r="U236" s="4"/>
      <c r="V236" s="4"/>
      <c r="W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25"/>
      <c r="O237" s="4"/>
      <c r="P237" s="4"/>
      <c r="Q237" s="4"/>
      <c r="R237" s="4"/>
      <c r="S237" s="4"/>
      <c r="T237" s="4"/>
      <c r="U237" s="4"/>
      <c r="V237" s="4"/>
      <c r="W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25"/>
      <c r="O238" s="4"/>
      <c r="P238" s="4"/>
      <c r="Q238" s="4"/>
      <c r="R238" s="4"/>
      <c r="S238" s="4"/>
      <c r="T238" s="4"/>
      <c r="U238" s="4"/>
      <c r="V238" s="4"/>
      <c r="W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25"/>
      <c r="O239" s="4"/>
      <c r="P239" s="4"/>
      <c r="Q239" s="4"/>
      <c r="R239" s="4"/>
      <c r="S239" s="4"/>
      <c r="T239" s="4"/>
      <c r="U239" s="4"/>
      <c r="V239" s="4"/>
      <c r="W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25"/>
      <c r="O240" s="4"/>
      <c r="P240" s="4"/>
      <c r="Q240" s="4"/>
      <c r="R240" s="4"/>
      <c r="S240" s="4"/>
      <c r="T240" s="4"/>
      <c r="U240" s="4"/>
      <c r="V240" s="4"/>
      <c r="W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25"/>
      <c r="O241" s="4"/>
      <c r="P241" s="4"/>
      <c r="Q241" s="4"/>
      <c r="R241" s="4"/>
      <c r="S241" s="4"/>
      <c r="T241" s="4"/>
      <c r="U241" s="4"/>
      <c r="V241" s="4"/>
      <c r="W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25"/>
      <c r="O242" s="4"/>
      <c r="P242" s="4"/>
      <c r="Q242" s="4"/>
      <c r="R242" s="4"/>
      <c r="S242" s="4"/>
      <c r="T242" s="4"/>
      <c r="U242" s="4"/>
      <c r="V242" s="4"/>
      <c r="W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25"/>
      <c r="O243" s="4"/>
      <c r="P243" s="4"/>
      <c r="Q243" s="4"/>
      <c r="R243" s="4"/>
      <c r="S243" s="4"/>
      <c r="T243" s="4"/>
      <c r="U243" s="4"/>
      <c r="V243" s="4"/>
      <c r="W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25"/>
      <c r="O244" s="4"/>
      <c r="P244" s="4"/>
      <c r="Q244" s="4"/>
      <c r="R244" s="4"/>
      <c r="S244" s="4"/>
      <c r="T244" s="4"/>
      <c r="U244" s="4"/>
      <c r="V244" s="4"/>
      <c r="W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25"/>
      <c r="O245" s="4"/>
      <c r="P245" s="4"/>
      <c r="Q245" s="4"/>
      <c r="R245" s="4"/>
      <c r="S245" s="4"/>
      <c r="T245" s="4"/>
      <c r="U245" s="4"/>
      <c r="V245" s="4"/>
      <c r="W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25"/>
      <c r="O246" s="4"/>
      <c r="P246" s="4"/>
      <c r="Q246" s="4"/>
      <c r="R246" s="4"/>
      <c r="S246" s="4"/>
      <c r="T246" s="4"/>
      <c r="U246" s="4"/>
      <c r="V246" s="4"/>
      <c r="W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25"/>
      <c r="O247" s="4"/>
      <c r="P247" s="4"/>
      <c r="Q247" s="4"/>
      <c r="R247" s="4"/>
      <c r="S247" s="4"/>
      <c r="T247" s="4"/>
      <c r="U247" s="4"/>
      <c r="V247" s="4"/>
      <c r="W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25"/>
      <c r="O248" s="4"/>
      <c r="P248" s="4"/>
      <c r="Q248" s="4"/>
      <c r="R248" s="4"/>
      <c r="S248" s="4"/>
      <c r="T248" s="4"/>
      <c r="U248" s="4"/>
      <c r="V248" s="4"/>
      <c r="W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25"/>
      <c r="O249" s="4"/>
      <c r="P249" s="4"/>
      <c r="Q249" s="4"/>
      <c r="R249" s="4"/>
      <c r="S249" s="4"/>
      <c r="T249" s="4"/>
      <c r="U249" s="4"/>
      <c r="V249" s="4"/>
      <c r="W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25"/>
      <c r="O250" s="4"/>
      <c r="P250" s="4"/>
      <c r="Q250" s="4"/>
      <c r="R250" s="4"/>
      <c r="S250" s="4"/>
      <c r="T250" s="4"/>
      <c r="U250" s="4"/>
      <c r="V250" s="4"/>
      <c r="W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25"/>
      <c r="O251" s="4"/>
      <c r="P251" s="4"/>
      <c r="Q251" s="4"/>
      <c r="R251" s="4"/>
      <c r="S251" s="4"/>
      <c r="T251" s="4"/>
      <c r="U251" s="4"/>
      <c r="V251" s="4"/>
      <c r="W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25"/>
      <c r="O252" s="4"/>
      <c r="P252" s="4"/>
      <c r="Q252" s="4"/>
      <c r="R252" s="4"/>
      <c r="S252" s="4"/>
      <c r="T252" s="4"/>
      <c r="U252" s="4"/>
      <c r="V252" s="4"/>
      <c r="W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25"/>
      <c r="O253" s="4"/>
      <c r="P253" s="4"/>
      <c r="Q253" s="4"/>
      <c r="R253" s="4"/>
      <c r="S253" s="4"/>
      <c r="T253" s="4"/>
      <c r="U253" s="4"/>
      <c r="V253" s="4"/>
      <c r="W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25"/>
      <c r="O254" s="4"/>
      <c r="P254" s="4"/>
      <c r="Q254" s="4"/>
      <c r="R254" s="4"/>
      <c r="S254" s="4"/>
      <c r="T254" s="4"/>
      <c r="U254" s="4"/>
      <c r="V254" s="4"/>
      <c r="W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25"/>
      <c r="O255" s="4"/>
      <c r="P255" s="4"/>
      <c r="Q255" s="4"/>
      <c r="R255" s="4"/>
      <c r="S255" s="4"/>
      <c r="T255" s="4"/>
      <c r="U255" s="4"/>
      <c r="V255" s="4"/>
      <c r="W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25"/>
      <c r="O256" s="4"/>
      <c r="P256" s="4"/>
      <c r="Q256" s="4"/>
      <c r="R256" s="4"/>
      <c r="S256" s="4"/>
      <c r="T256" s="4"/>
      <c r="U256" s="4"/>
      <c r="V256" s="4"/>
      <c r="W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25"/>
      <c r="O257" s="4"/>
      <c r="P257" s="4"/>
      <c r="Q257" s="4"/>
      <c r="R257" s="4"/>
      <c r="S257" s="4"/>
      <c r="T257" s="4"/>
      <c r="U257" s="4"/>
      <c r="V257" s="4"/>
      <c r="W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25"/>
      <c r="O258" s="4"/>
      <c r="P258" s="4"/>
      <c r="Q258" s="4"/>
      <c r="R258" s="4"/>
      <c r="S258" s="4"/>
      <c r="T258" s="4"/>
      <c r="U258" s="4"/>
      <c r="V258" s="4"/>
      <c r="W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25"/>
      <c r="O259" s="4"/>
      <c r="P259" s="4"/>
      <c r="Q259" s="4"/>
      <c r="R259" s="4"/>
      <c r="S259" s="4"/>
      <c r="T259" s="4"/>
      <c r="U259" s="4"/>
      <c r="V259" s="4"/>
      <c r="W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25"/>
      <c r="O260" s="4"/>
      <c r="P260" s="4"/>
      <c r="Q260" s="4"/>
      <c r="R260" s="4"/>
      <c r="S260" s="4"/>
      <c r="T260" s="4"/>
      <c r="U260" s="4"/>
      <c r="V260" s="4"/>
      <c r="W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25"/>
      <c r="O261" s="4"/>
      <c r="P261" s="4"/>
      <c r="Q261" s="4"/>
      <c r="R261" s="4"/>
      <c r="S261" s="4"/>
      <c r="T261" s="4"/>
      <c r="U261" s="4"/>
      <c r="V261" s="4"/>
      <c r="W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25"/>
      <c r="O262" s="4"/>
      <c r="P262" s="4"/>
      <c r="Q262" s="4"/>
      <c r="R262" s="4"/>
      <c r="S262" s="4"/>
      <c r="T262" s="4"/>
      <c r="U262" s="4"/>
      <c r="V262" s="4"/>
      <c r="W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25"/>
      <c r="O263" s="4"/>
      <c r="P263" s="4"/>
      <c r="Q263" s="4"/>
      <c r="R263" s="4"/>
      <c r="S263" s="4"/>
      <c r="T263" s="4"/>
      <c r="U263" s="4"/>
      <c r="V263" s="4"/>
      <c r="W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25"/>
      <c r="O264" s="4"/>
      <c r="P264" s="4"/>
      <c r="Q264" s="4"/>
      <c r="R264" s="4"/>
      <c r="S264" s="4"/>
      <c r="T264" s="4"/>
      <c r="U264" s="4"/>
      <c r="V264" s="4"/>
      <c r="W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25"/>
      <c r="O265" s="4"/>
      <c r="P265" s="4"/>
      <c r="Q265" s="4"/>
      <c r="R265" s="4"/>
      <c r="S265" s="4"/>
      <c r="T265" s="4"/>
      <c r="U265" s="4"/>
      <c r="V265" s="4"/>
      <c r="W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25"/>
      <c r="O266" s="4"/>
      <c r="P266" s="4"/>
      <c r="Q266" s="4"/>
      <c r="R266" s="4"/>
      <c r="S266" s="4"/>
      <c r="T266" s="4"/>
      <c r="U266" s="4"/>
      <c r="V266" s="4"/>
      <c r="W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25"/>
      <c r="O267" s="4"/>
      <c r="P267" s="4"/>
      <c r="Q267" s="4"/>
      <c r="R267" s="4"/>
      <c r="S267" s="4"/>
      <c r="T267" s="4"/>
      <c r="U267" s="4"/>
      <c r="V267" s="4"/>
      <c r="W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25"/>
      <c r="O268" s="4"/>
      <c r="P268" s="4"/>
      <c r="Q268" s="4"/>
      <c r="R268" s="4"/>
      <c r="S268" s="4"/>
      <c r="T268" s="4"/>
      <c r="U268" s="4"/>
      <c r="V268" s="4"/>
      <c r="W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25"/>
      <c r="O269" s="4"/>
      <c r="P269" s="4"/>
      <c r="Q269" s="4"/>
      <c r="R269" s="4"/>
      <c r="S269" s="4"/>
      <c r="T269" s="4"/>
      <c r="U269" s="4"/>
      <c r="V269" s="4"/>
      <c r="W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25"/>
      <c r="O270" s="4"/>
      <c r="P270" s="4"/>
      <c r="Q270" s="4"/>
      <c r="R270" s="4"/>
      <c r="S270" s="4"/>
      <c r="T270" s="4"/>
      <c r="U270" s="4"/>
      <c r="V270" s="4"/>
      <c r="W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25"/>
      <c r="O271" s="4"/>
      <c r="P271" s="4"/>
      <c r="Q271" s="4"/>
      <c r="R271" s="4"/>
      <c r="S271" s="4"/>
      <c r="T271" s="4"/>
      <c r="U271" s="4"/>
      <c r="V271" s="4"/>
      <c r="W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25"/>
      <c r="O272" s="4"/>
      <c r="P272" s="4"/>
      <c r="Q272" s="4"/>
      <c r="R272" s="4"/>
      <c r="S272" s="4"/>
      <c r="T272" s="4"/>
      <c r="U272" s="4"/>
      <c r="V272" s="4"/>
      <c r="W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25"/>
      <c r="O273" s="4"/>
      <c r="P273" s="4"/>
      <c r="Q273" s="4"/>
      <c r="R273" s="4"/>
      <c r="S273" s="4"/>
      <c r="T273" s="4"/>
      <c r="U273" s="4"/>
      <c r="V273" s="4"/>
      <c r="W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25"/>
      <c r="O274" s="4"/>
      <c r="P274" s="4"/>
      <c r="Q274" s="4"/>
      <c r="R274" s="4"/>
      <c r="S274" s="4"/>
      <c r="T274" s="4"/>
      <c r="U274" s="4"/>
      <c r="V274" s="4"/>
      <c r="W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25"/>
      <c r="O275" s="4"/>
      <c r="P275" s="4"/>
      <c r="Q275" s="4"/>
      <c r="R275" s="4"/>
      <c r="S275" s="4"/>
      <c r="T275" s="4"/>
      <c r="U275" s="4"/>
      <c r="V275" s="4"/>
      <c r="W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25"/>
      <c r="O276" s="4"/>
      <c r="P276" s="4"/>
      <c r="Q276" s="4"/>
      <c r="R276" s="4"/>
      <c r="S276" s="4"/>
      <c r="T276" s="4"/>
      <c r="U276" s="4"/>
      <c r="V276" s="4"/>
      <c r="W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25"/>
      <c r="O277" s="4"/>
      <c r="P277" s="4"/>
      <c r="Q277" s="4"/>
      <c r="R277" s="4"/>
      <c r="S277" s="4"/>
      <c r="T277" s="4"/>
      <c r="U277" s="4"/>
      <c r="V277" s="4"/>
      <c r="W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25"/>
      <c r="O278" s="4"/>
      <c r="P278" s="4"/>
      <c r="Q278" s="4"/>
      <c r="R278" s="4"/>
      <c r="S278" s="4"/>
      <c r="T278" s="4"/>
      <c r="U278" s="4"/>
      <c r="V278" s="4"/>
      <c r="W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25"/>
      <c r="O279" s="4"/>
      <c r="P279" s="4"/>
      <c r="Q279" s="4"/>
      <c r="R279" s="4"/>
      <c r="S279" s="4"/>
      <c r="T279" s="4"/>
      <c r="U279" s="4"/>
      <c r="V279" s="4"/>
      <c r="W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25"/>
      <c r="O280" s="4"/>
      <c r="P280" s="4"/>
      <c r="Q280" s="4"/>
      <c r="R280" s="4"/>
      <c r="S280" s="4"/>
      <c r="T280" s="4"/>
      <c r="U280" s="4"/>
      <c r="V280" s="4"/>
      <c r="W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25"/>
      <c r="O281" s="4"/>
      <c r="P281" s="4"/>
      <c r="Q281" s="4"/>
      <c r="R281" s="4"/>
      <c r="S281" s="4"/>
      <c r="T281" s="4"/>
      <c r="U281" s="4"/>
      <c r="V281" s="4"/>
      <c r="W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25"/>
      <c r="O282" s="4"/>
      <c r="P282" s="4"/>
      <c r="Q282" s="4"/>
      <c r="R282" s="4"/>
      <c r="S282" s="4"/>
      <c r="T282" s="4"/>
      <c r="U282" s="4"/>
      <c r="V282" s="4"/>
      <c r="W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25"/>
      <c r="O283" s="4"/>
      <c r="P283" s="4"/>
      <c r="Q283" s="4"/>
      <c r="R283" s="4"/>
      <c r="S283" s="4"/>
      <c r="T283" s="4"/>
      <c r="U283" s="4"/>
      <c r="V283" s="4"/>
      <c r="W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25"/>
      <c r="O284" s="4"/>
      <c r="P284" s="4"/>
      <c r="Q284" s="4"/>
      <c r="R284" s="4"/>
      <c r="S284" s="4"/>
      <c r="T284" s="4"/>
      <c r="U284" s="4"/>
      <c r="V284" s="4"/>
      <c r="W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25"/>
      <c r="O285" s="4"/>
      <c r="P285" s="4"/>
      <c r="Q285" s="4"/>
      <c r="R285" s="4"/>
      <c r="S285" s="4"/>
      <c r="T285" s="4"/>
      <c r="U285" s="4"/>
      <c r="V285" s="4"/>
      <c r="W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25"/>
      <c r="O286" s="4"/>
      <c r="P286" s="4"/>
      <c r="Q286" s="4"/>
      <c r="R286" s="4"/>
      <c r="S286" s="4"/>
      <c r="T286" s="4"/>
      <c r="U286" s="4"/>
      <c r="V286" s="4"/>
      <c r="W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25"/>
      <c r="O287" s="4"/>
      <c r="P287" s="4"/>
      <c r="Q287" s="4"/>
      <c r="R287" s="4"/>
      <c r="S287" s="4"/>
      <c r="T287" s="4"/>
      <c r="U287" s="4"/>
      <c r="V287" s="4"/>
      <c r="W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25"/>
      <c r="O288" s="4"/>
      <c r="P288" s="4"/>
      <c r="Q288" s="4"/>
      <c r="R288" s="4"/>
      <c r="S288" s="4"/>
      <c r="T288" s="4"/>
      <c r="U288" s="4"/>
      <c r="V288" s="4"/>
      <c r="W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25"/>
      <c r="O289" s="4"/>
      <c r="P289" s="4"/>
      <c r="Q289" s="4"/>
      <c r="R289" s="4"/>
      <c r="S289" s="4"/>
      <c r="T289" s="4"/>
      <c r="U289" s="4"/>
      <c r="V289" s="4"/>
      <c r="W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25"/>
      <c r="O290" s="4"/>
      <c r="P290" s="4"/>
      <c r="Q290" s="4"/>
      <c r="R290" s="4"/>
      <c r="S290" s="4"/>
      <c r="T290" s="4"/>
      <c r="U290" s="4"/>
      <c r="V290" s="4"/>
      <c r="W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25"/>
      <c r="O291" s="4"/>
      <c r="P291" s="4"/>
      <c r="Q291" s="4"/>
      <c r="R291" s="4"/>
      <c r="S291" s="4"/>
      <c r="T291" s="4"/>
      <c r="U291" s="4"/>
      <c r="V291" s="4"/>
      <c r="W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25"/>
      <c r="O292" s="4"/>
      <c r="P292" s="4"/>
      <c r="Q292" s="4"/>
      <c r="R292" s="4"/>
      <c r="S292" s="4"/>
      <c r="T292" s="4"/>
      <c r="U292" s="4"/>
      <c r="V292" s="4"/>
      <c r="W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25"/>
      <c r="O293" s="4"/>
      <c r="P293" s="4"/>
      <c r="Q293" s="4"/>
      <c r="R293" s="4"/>
      <c r="S293" s="4"/>
      <c r="T293" s="4"/>
      <c r="U293" s="4"/>
      <c r="V293" s="4"/>
      <c r="W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25"/>
      <c r="O294" s="4"/>
      <c r="P294" s="4"/>
      <c r="Q294" s="4"/>
      <c r="R294" s="4"/>
      <c r="S294" s="4"/>
      <c r="T294" s="4"/>
      <c r="U294" s="4"/>
      <c r="V294" s="4"/>
      <c r="W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25"/>
      <c r="O295" s="4"/>
      <c r="P295" s="4"/>
      <c r="Q295" s="4"/>
      <c r="R295" s="4"/>
      <c r="S295" s="4"/>
      <c r="T295" s="4"/>
      <c r="U295" s="4"/>
      <c r="V295" s="4"/>
      <c r="W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25"/>
      <c r="O296" s="4"/>
      <c r="P296" s="4"/>
      <c r="Q296" s="4"/>
      <c r="R296" s="4"/>
      <c r="S296" s="4"/>
      <c r="T296" s="4"/>
      <c r="U296" s="4"/>
      <c r="V296" s="4"/>
      <c r="W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25"/>
      <c r="O297" s="4"/>
      <c r="P297" s="4"/>
      <c r="Q297" s="4"/>
      <c r="R297" s="4"/>
      <c r="S297" s="4"/>
      <c r="T297" s="4"/>
      <c r="U297" s="4"/>
      <c r="V297" s="4"/>
      <c r="W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25"/>
      <c r="O298" s="4"/>
      <c r="P298" s="4"/>
      <c r="Q298" s="4"/>
      <c r="R298" s="4"/>
      <c r="S298" s="4"/>
      <c r="T298" s="4"/>
      <c r="U298" s="4"/>
      <c r="V298" s="4"/>
      <c r="W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25"/>
      <c r="O299" s="4"/>
      <c r="P299" s="4"/>
      <c r="Q299" s="4"/>
      <c r="R299" s="4"/>
      <c r="S299" s="4"/>
      <c r="T299" s="4"/>
      <c r="U299" s="4"/>
      <c r="V299" s="4"/>
      <c r="W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25"/>
      <c r="O300" s="4"/>
      <c r="P300" s="4"/>
      <c r="Q300" s="4"/>
      <c r="R300" s="4"/>
      <c r="S300" s="4"/>
      <c r="T300" s="4"/>
      <c r="U300" s="4"/>
      <c r="V300" s="4"/>
      <c r="W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25"/>
      <c r="O301" s="4"/>
      <c r="P301" s="4"/>
      <c r="Q301" s="4"/>
      <c r="R301" s="4"/>
      <c r="S301" s="4"/>
      <c r="T301" s="4"/>
      <c r="U301" s="4"/>
      <c r="V301" s="4"/>
      <c r="W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25"/>
      <c r="O302" s="4"/>
      <c r="P302" s="4"/>
      <c r="Q302" s="4"/>
      <c r="R302" s="4"/>
      <c r="S302" s="4"/>
      <c r="T302" s="4"/>
      <c r="U302" s="4"/>
      <c r="V302" s="4"/>
      <c r="W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25"/>
      <c r="O303" s="4"/>
      <c r="P303" s="4"/>
      <c r="Q303" s="4"/>
      <c r="R303" s="4"/>
      <c r="S303" s="4"/>
      <c r="T303" s="4"/>
      <c r="U303" s="4"/>
      <c r="V303" s="4"/>
      <c r="W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25"/>
      <c r="O304" s="4"/>
      <c r="P304" s="4"/>
      <c r="Q304" s="4"/>
      <c r="R304" s="4"/>
      <c r="S304" s="4"/>
      <c r="T304" s="4"/>
      <c r="U304" s="4"/>
      <c r="V304" s="4"/>
      <c r="W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25"/>
      <c r="O305" s="4"/>
      <c r="P305" s="4"/>
      <c r="Q305" s="4"/>
      <c r="R305" s="4"/>
      <c r="S305" s="4"/>
      <c r="T305" s="4"/>
      <c r="U305" s="4"/>
      <c r="V305" s="4"/>
      <c r="W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25"/>
      <c r="O306" s="4"/>
      <c r="P306" s="4"/>
      <c r="Q306" s="4"/>
      <c r="R306" s="4"/>
      <c r="S306" s="4"/>
      <c r="T306" s="4"/>
      <c r="U306" s="4"/>
      <c r="V306" s="4"/>
      <c r="W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25"/>
      <c r="O307" s="4"/>
      <c r="P307" s="4"/>
      <c r="Q307" s="4"/>
      <c r="R307" s="4"/>
      <c r="S307" s="4"/>
      <c r="T307" s="4"/>
      <c r="U307" s="4"/>
      <c r="V307" s="4"/>
      <c r="W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25"/>
      <c r="O308" s="4"/>
      <c r="P308" s="4"/>
      <c r="Q308" s="4"/>
      <c r="R308" s="4"/>
      <c r="S308" s="4"/>
      <c r="T308" s="4"/>
      <c r="U308" s="4"/>
      <c r="V308" s="4"/>
      <c r="W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25"/>
      <c r="O309" s="4"/>
      <c r="P309" s="4"/>
      <c r="Q309" s="4"/>
      <c r="R309" s="4"/>
      <c r="S309" s="4"/>
      <c r="T309" s="4"/>
      <c r="U309" s="4"/>
      <c r="V309" s="4"/>
      <c r="W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25"/>
      <c r="O310" s="4"/>
      <c r="P310" s="4"/>
      <c r="Q310" s="4"/>
      <c r="R310" s="4"/>
      <c r="S310" s="4"/>
      <c r="T310" s="4"/>
      <c r="U310" s="4"/>
      <c r="V310" s="4"/>
      <c r="W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25"/>
      <c r="O311" s="4"/>
      <c r="P311" s="4"/>
      <c r="Q311" s="4"/>
      <c r="R311" s="4"/>
      <c r="S311" s="4"/>
      <c r="T311" s="4"/>
      <c r="U311" s="4"/>
      <c r="V311" s="4"/>
      <c r="W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25"/>
      <c r="O312" s="4"/>
      <c r="P312" s="4"/>
      <c r="Q312" s="4"/>
      <c r="R312" s="4"/>
      <c r="S312" s="4"/>
      <c r="T312" s="4"/>
      <c r="U312" s="4"/>
      <c r="V312" s="4"/>
      <c r="W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25"/>
      <c r="O313" s="4"/>
      <c r="P313" s="4"/>
      <c r="Q313" s="4"/>
      <c r="R313" s="4"/>
      <c r="S313" s="4"/>
      <c r="T313" s="4"/>
      <c r="U313" s="4"/>
      <c r="V313" s="4"/>
      <c r="W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25"/>
      <c r="O314" s="4"/>
      <c r="P314" s="4"/>
      <c r="Q314" s="4"/>
      <c r="R314" s="4"/>
      <c r="S314" s="4"/>
      <c r="T314" s="4"/>
      <c r="U314" s="4"/>
      <c r="V314" s="4"/>
      <c r="W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25"/>
      <c r="O315" s="4"/>
      <c r="P315" s="4"/>
      <c r="Q315" s="4"/>
      <c r="R315" s="4"/>
      <c r="S315" s="4"/>
      <c r="T315" s="4"/>
      <c r="U315" s="4"/>
      <c r="V315" s="4"/>
      <c r="W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25"/>
      <c r="O316" s="4"/>
      <c r="P316" s="4"/>
      <c r="Q316" s="4"/>
      <c r="R316" s="4"/>
      <c r="S316" s="4"/>
      <c r="T316" s="4"/>
      <c r="U316" s="4"/>
      <c r="V316" s="4"/>
      <c r="W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25"/>
      <c r="O317" s="4"/>
      <c r="P317" s="4"/>
      <c r="Q317" s="4"/>
      <c r="R317" s="4"/>
      <c r="S317" s="4"/>
      <c r="T317" s="4"/>
      <c r="U317" s="4"/>
      <c r="V317" s="4"/>
      <c r="W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25"/>
      <c r="O318" s="4"/>
      <c r="P318" s="4"/>
      <c r="Q318" s="4"/>
      <c r="R318" s="4"/>
      <c r="S318" s="4"/>
      <c r="T318" s="4"/>
      <c r="U318" s="4"/>
      <c r="V318" s="4"/>
      <c r="W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25"/>
      <c r="O319" s="4"/>
      <c r="P319" s="4"/>
      <c r="Q319" s="4"/>
      <c r="R319" s="4"/>
      <c r="S319" s="4"/>
      <c r="T319" s="4"/>
      <c r="U319" s="4"/>
      <c r="V319" s="4"/>
      <c r="W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25"/>
      <c r="O320" s="4"/>
      <c r="P320" s="4"/>
      <c r="Q320" s="4"/>
      <c r="R320" s="4"/>
      <c r="S320" s="4"/>
      <c r="T320" s="4"/>
      <c r="U320" s="4"/>
      <c r="V320" s="4"/>
      <c r="W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25"/>
      <c r="O321" s="4"/>
      <c r="P321" s="4"/>
      <c r="Q321" s="4"/>
      <c r="R321" s="4"/>
      <c r="S321" s="4"/>
      <c r="T321" s="4"/>
      <c r="U321" s="4"/>
      <c r="V321" s="4"/>
      <c r="W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25"/>
      <c r="O322" s="4"/>
      <c r="P322" s="4"/>
      <c r="Q322" s="4"/>
      <c r="R322" s="4"/>
      <c r="S322" s="4"/>
      <c r="T322" s="4"/>
      <c r="U322" s="4"/>
      <c r="V322" s="4"/>
      <c r="W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25"/>
      <c r="O323" s="4"/>
      <c r="P323" s="4"/>
      <c r="Q323" s="4"/>
      <c r="R323" s="4"/>
      <c r="S323" s="4"/>
      <c r="T323" s="4"/>
      <c r="U323" s="4"/>
      <c r="V323" s="4"/>
      <c r="W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25"/>
      <c r="O324" s="4"/>
      <c r="P324" s="4"/>
      <c r="Q324" s="4"/>
      <c r="R324" s="4"/>
      <c r="S324" s="4"/>
      <c r="T324" s="4"/>
      <c r="U324" s="4"/>
      <c r="V324" s="4"/>
      <c r="W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25"/>
      <c r="O325" s="4"/>
      <c r="P325" s="4"/>
      <c r="Q325" s="4"/>
      <c r="R325" s="4"/>
      <c r="S325" s="4"/>
      <c r="T325" s="4"/>
      <c r="U325" s="4"/>
      <c r="V325" s="4"/>
      <c r="W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25"/>
      <c r="O326" s="4"/>
      <c r="P326" s="4"/>
      <c r="Q326" s="4"/>
      <c r="R326" s="4"/>
      <c r="S326" s="4"/>
      <c r="T326" s="4"/>
      <c r="U326" s="4"/>
      <c r="V326" s="4"/>
      <c r="W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25"/>
      <c r="O327" s="4"/>
      <c r="P327" s="4"/>
      <c r="Q327" s="4"/>
      <c r="R327" s="4"/>
      <c r="S327" s="4"/>
      <c r="T327" s="4"/>
      <c r="U327" s="4"/>
      <c r="V327" s="4"/>
      <c r="W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25"/>
      <c r="O328" s="4"/>
      <c r="P328" s="4"/>
      <c r="Q328" s="4"/>
      <c r="R328" s="4"/>
      <c r="S328" s="4"/>
      <c r="T328" s="4"/>
      <c r="U328" s="4"/>
      <c r="V328" s="4"/>
      <c r="W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25"/>
      <c r="O329" s="4"/>
      <c r="P329" s="4"/>
      <c r="Q329" s="4"/>
      <c r="R329" s="4"/>
      <c r="S329" s="4"/>
      <c r="T329" s="4"/>
      <c r="U329" s="4"/>
      <c r="V329" s="4"/>
      <c r="W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25"/>
      <c r="O330" s="4"/>
      <c r="P330" s="4"/>
      <c r="Q330" s="4"/>
      <c r="R330" s="4"/>
      <c r="S330" s="4"/>
      <c r="T330" s="4"/>
      <c r="U330" s="4"/>
      <c r="V330" s="4"/>
      <c r="W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25"/>
      <c r="O331" s="4"/>
      <c r="P331" s="4"/>
      <c r="Q331" s="4"/>
      <c r="R331" s="4"/>
      <c r="S331" s="4"/>
      <c r="T331" s="4"/>
      <c r="U331" s="4"/>
      <c r="V331" s="4"/>
      <c r="W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25"/>
      <c r="O332" s="4"/>
      <c r="P332" s="4"/>
      <c r="Q332" s="4"/>
      <c r="R332" s="4"/>
      <c r="S332" s="4"/>
      <c r="T332" s="4"/>
      <c r="U332" s="4"/>
      <c r="V332" s="4"/>
      <c r="W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25"/>
      <c r="O333" s="4"/>
      <c r="P333" s="4"/>
      <c r="Q333" s="4"/>
      <c r="R333" s="4"/>
      <c r="S333" s="4"/>
      <c r="T333" s="4"/>
      <c r="U333" s="4"/>
      <c r="V333" s="4"/>
      <c r="W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25"/>
      <c r="O334" s="4"/>
      <c r="P334" s="4"/>
      <c r="Q334" s="4"/>
      <c r="R334" s="4"/>
      <c r="S334" s="4"/>
      <c r="T334" s="4"/>
      <c r="U334" s="4"/>
      <c r="V334" s="4"/>
      <c r="W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25"/>
      <c r="O335" s="4"/>
      <c r="P335" s="4"/>
      <c r="Q335" s="4"/>
      <c r="R335" s="4"/>
      <c r="S335" s="4"/>
      <c r="T335" s="4"/>
      <c r="U335" s="4"/>
      <c r="V335" s="4"/>
      <c r="W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25"/>
      <c r="O336" s="4"/>
      <c r="P336" s="4"/>
      <c r="Q336" s="4"/>
      <c r="R336" s="4"/>
      <c r="S336" s="4"/>
      <c r="T336" s="4"/>
      <c r="U336" s="4"/>
      <c r="V336" s="4"/>
      <c r="W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25"/>
      <c r="O337" s="4"/>
      <c r="P337" s="4"/>
      <c r="Q337" s="4"/>
      <c r="R337" s="4"/>
      <c r="S337" s="4"/>
      <c r="T337" s="4"/>
      <c r="U337" s="4"/>
      <c r="V337" s="4"/>
      <c r="W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25"/>
      <c r="O338" s="4"/>
      <c r="P338" s="4"/>
      <c r="Q338" s="4"/>
      <c r="R338" s="4"/>
      <c r="S338" s="4"/>
      <c r="T338" s="4"/>
      <c r="U338" s="4"/>
      <c r="V338" s="4"/>
      <c r="W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25"/>
      <c r="O339" s="4"/>
      <c r="P339" s="4"/>
      <c r="Q339" s="4"/>
      <c r="R339" s="4"/>
      <c r="S339" s="4"/>
      <c r="T339" s="4"/>
      <c r="U339" s="4"/>
      <c r="V339" s="4"/>
      <c r="W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25"/>
      <c r="O340" s="4"/>
      <c r="P340" s="4"/>
      <c r="Q340" s="4"/>
      <c r="R340" s="4"/>
      <c r="S340" s="4"/>
      <c r="T340" s="4"/>
      <c r="U340" s="4"/>
      <c r="V340" s="4"/>
      <c r="W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25"/>
      <c r="O341" s="4"/>
      <c r="P341" s="4"/>
      <c r="Q341" s="4"/>
      <c r="R341" s="4"/>
      <c r="S341" s="4"/>
      <c r="T341" s="4"/>
      <c r="U341" s="4"/>
      <c r="V341" s="4"/>
      <c r="W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25"/>
      <c r="O342" s="4"/>
      <c r="P342" s="4"/>
      <c r="Q342" s="4"/>
      <c r="R342" s="4"/>
      <c r="S342" s="4"/>
      <c r="T342" s="4"/>
      <c r="U342" s="4"/>
      <c r="V342" s="4"/>
      <c r="W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25"/>
      <c r="O343" s="4"/>
      <c r="P343" s="4"/>
      <c r="Q343" s="4"/>
      <c r="R343" s="4"/>
      <c r="S343" s="4"/>
      <c r="T343" s="4"/>
      <c r="U343" s="4"/>
      <c r="V343" s="4"/>
      <c r="W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25"/>
      <c r="O344" s="4"/>
      <c r="P344" s="4"/>
      <c r="Q344" s="4"/>
      <c r="R344" s="4"/>
      <c r="S344" s="4"/>
      <c r="T344" s="4"/>
      <c r="U344" s="4"/>
      <c r="V344" s="4"/>
      <c r="W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25"/>
      <c r="O345" s="4"/>
      <c r="P345" s="4"/>
      <c r="Q345" s="4"/>
      <c r="R345" s="4"/>
      <c r="S345" s="4"/>
      <c r="T345" s="4"/>
      <c r="U345" s="4"/>
      <c r="V345" s="4"/>
      <c r="W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25"/>
      <c r="O346" s="4"/>
      <c r="P346" s="4"/>
      <c r="Q346" s="4"/>
      <c r="R346" s="4"/>
      <c r="S346" s="4"/>
      <c r="T346" s="4"/>
      <c r="U346" s="4"/>
      <c r="V346" s="4"/>
      <c r="W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25"/>
      <c r="O347" s="4"/>
      <c r="P347" s="4"/>
      <c r="Q347" s="4"/>
      <c r="R347" s="4"/>
      <c r="S347" s="4"/>
      <c r="T347" s="4"/>
      <c r="U347" s="4"/>
      <c r="V347" s="4"/>
      <c r="W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25"/>
      <c r="O348" s="4"/>
      <c r="P348" s="4"/>
      <c r="Q348" s="4"/>
      <c r="R348" s="4"/>
      <c r="S348" s="4"/>
      <c r="T348" s="4"/>
      <c r="U348" s="4"/>
      <c r="V348" s="4"/>
      <c r="W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25"/>
      <c r="O349" s="4"/>
      <c r="P349" s="4"/>
      <c r="Q349" s="4"/>
      <c r="R349" s="4"/>
      <c r="S349" s="4"/>
      <c r="T349" s="4"/>
      <c r="U349" s="4"/>
      <c r="V349" s="4"/>
      <c r="W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25"/>
      <c r="O350" s="4"/>
      <c r="P350" s="4"/>
      <c r="Q350" s="4"/>
      <c r="R350" s="4"/>
      <c r="S350" s="4"/>
      <c r="T350" s="4"/>
      <c r="U350" s="4"/>
      <c r="V350" s="4"/>
      <c r="W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25"/>
      <c r="O351" s="4"/>
      <c r="P351" s="4"/>
      <c r="Q351" s="4"/>
      <c r="R351" s="4"/>
      <c r="S351" s="4"/>
      <c r="T351" s="4"/>
      <c r="U351" s="4"/>
      <c r="V351" s="4"/>
      <c r="W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25"/>
      <c r="O352" s="4"/>
      <c r="P352" s="4"/>
      <c r="Q352" s="4"/>
      <c r="R352" s="4"/>
      <c r="S352" s="4"/>
      <c r="T352" s="4"/>
      <c r="U352" s="4"/>
      <c r="V352" s="4"/>
      <c r="W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25"/>
      <c r="O353" s="4"/>
      <c r="P353" s="4"/>
      <c r="Q353" s="4"/>
      <c r="R353" s="4"/>
      <c r="S353" s="4"/>
      <c r="T353" s="4"/>
      <c r="U353" s="4"/>
      <c r="V353" s="4"/>
      <c r="W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25"/>
      <c r="O354" s="4"/>
      <c r="P354" s="4"/>
      <c r="Q354" s="4"/>
      <c r="R354" s="4"/>
      <c r="S354" s="4"/>
      <c r="T354" s="4"/>
      <c r="U354" s="4"/>
      <c r="V354" s="4"/>
      <c r="W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25"/>
      <c r="O355" s="4"/>
      <c r="P355" s="4"/>
      <c r="Q355" s="4"/>
      <c r="R355" s="4"/>
      <c r="S355" s="4"/>
      <c r="T355" s="4"/>
      <c r="U355" s="4"/>
      <c r="V355" s="4"/>
      <c r="W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25"/>
      <c r="O356" s="4"/>
      <c r="P356" s="4"/>
      <c r="Q356" s="4"/>
      <c r="R356" s="4"/>
      <c r="S356" s="4"/>
      <c r="T356" s="4"/>
      <c r="U356" s="4"/>
      <c r="V356" s="4"/>
      <c r="W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25"/>
      <c r="O357" s="4"/>
      <c r="P357" s="4"/>
      <c r="Q357" s="4"/>
      <c r="R357" s="4"/>
      <c r="S357" s="4"/>
      <c r="T357" s="4"/>
      <c r="U357" s="4"/>
      <c r="V357" s="4"/>
      <c r="W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25"/>
      <c r="O358" s="4"/>
      <c r="P358" s="4"/>
      <c r="Q358" s="4"/>
      <c r="R358" s="4"/>
      <c r="S358" s="4"/>
      <c r="T358" s="4"/>
      <c r="U358" s="4"/>
      <c r="V358" s="4"/>
      <c r="W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25"/>
      <c r="O359" s="4"/>
      <c r="P359" s="4"/>
      <c r="Q359" s="4"/>
      <c r="R359" s="4"/>
      <c r="S359" s="4"/>
      <c r="T359" s="4"/>
      <c r="U359" s="4"/>
      <c r="V359" s="4"/>
      <c r="W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25"/>
      <c r="O360" s="4"/>
      <c r="P360" s="4"/>
      <c r="Q360" s="4"/>
      <c r="R360" s="4"/>
      <c r="S360" s="4"/>
      <c r="T360" s="4"/>
      <c r="U360" s="4"/>
      <c r="V360" s="4"/>
      <c r="W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25"/>
      <c r="O361" s="4"/>
      <c r="P361" s="4"/>
      <c r="Q361" s="4"/>
      <c r="R361" s="4"/>
      <c r="S361" s="4"/>
      <c r="T361" s="4"/>
      <c r="U361" s="4"/>
      <c r="V361" s="4"/>
      <c r="W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25"/>
      <c r="O362" s="4"/>
      <c r="P362" s="4"/>
      <c r="Q362" s="4"/>
      <c r="R362" s="4"/>
      <c r="S362" s="4"/>
      <c r="T362" s="4"/>
      <c r="U362" s="4"/>
      <c r="V362" s="4"/>
      <c r="W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25"/>
      <c r="O363" s="4"/>
      <c r="P363" s="4"/>
      <c r="Q363" s="4"/>
      <c r="R363" s="4"/>
      <c r="S363" s="4"/>
      <c r="T363" s="4"/>
      <c r="U363" s="4"/>
      <c r="V363" s="4"/>
      <c r="W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25"/>
      <c r="O364" s="4"/>
      <c r="P364" s="4"/>
      <c r="Q364" s="4"/>
      <c r="R364" s="4"/>
      <c r="S364" s="4"/>
      <c r="T364" s="4"/>
      <c r="U364" s="4"/>
      <c r="V364" s="4"/>
      <c r="W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25"/>
      <c r="O365" s="4"/>
      <c r="P365" s="4"/>
      <c r="Q365" s="4"/>
      <c r="R365" s="4"/>
      <c r="S365" s="4"/>
      <c r="T365" s="4"/>
      <c r="U365" s="4"/>
      <c r="V365" s="4"/>
      <c r="W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25"/>
      <c r="O366" s="4"/>
      <c r="P366" s="4"/>
      <c r="Q366" s="4"/>
      <c r="R366" s="4"/>
      <c r="S366" s="4"/>
      <c r="T366" s="4"/>
      <c r="U366" s="4"/>
      <c r="V366" s="4"/>
      <c r="W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25"/>
      <c r="O367" s="4"/>
      <c r="P367" s="4"/>
      <c r="Q367" s="4"/>
      <c r="R367" s="4"/>
      <c r="S367" s="4"/>
      <c r="T367" s="4"/>
      <c r="U367" s="4"/>
      <c r="V367" s="4"/>
      <c r="W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25"/>
      <c r="O368" s="4"/>
      <c r="P368" s="4"/>
      <c r="Q368" s="4"/>
      <c r="R368" s="4"/>
      <c r="S368" s="4"/>
      <c r="T368" s="4"/>
      <c r="U368" s="4"/>
      <c r="V368" s="4"/>
      <c r="W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25"/>
      <c r="O369" s="4"/>
      <c r="P369" s="4"/>
      <c r="Q369" s="4"/>
      <c r="R369" s="4"/>
      <c r="S369" s="4"/>
      <c r="T369" s="4"/>
      <c r="U369" s="4"/>
      <c r="V369" s="4"/>
      <c r="W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25"/>
      <c r="O370" s="4"/>
      <c r="P370" s="4"/>
      <c r="Q370" s="4"/>
      <c r="R370" s="4"/>
      <c r="S370" s="4"/>
      <c r="T370" s="4"/>
      <c r="U370" s="4"/>
      <c r="V370" s="4"/>
      <c r="W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25"/>
      <c r="O371" s="4"/>
      <c r="P371" s="4"/>
      <c r="Q371" s="4"/>
      <c r="R371" s="4"/>
      <c r="S371" s="4"/>
      <c r="T371" s="4"/>
      <c r="U371" s="4"/>
      <c r="V371" s="4"/>
      <c r="W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25"/>
      <c r="O372" s="4"/>
      <c r="P372" s="4"/>
      <c r="Q372" s="4"/>
      <c r="R372" s="4"/>
      <c r="S372" s="4"/>
      <c r="T372" s="4"/>
      <c r="U372" s="4"/>
      <c r="V372" s="4"/>
      <c r="W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25"/>
      <c r="O373" s="4"/>
      <c r="P373" s="4"/>
      <c r="Q373" s="4"/>
      <c r="R373" s="4"/>
      <c r="S373" s="4"/>
      <c r="T373" s="4"/>
      <c r="U373" s="4"/>
      <c r="V373" s="4"/>
      <c r="W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25"/>
      <c r="O374" s="4"/>
      <c r="P374" s="4"/>
      <c r="Q374" s="4"/>
      <c r="R374" s="4"/>
      <c r="S374" s="4"/>
      <c r="T374" s="4"/>
      <c r="U374" s="4"/>
      <c r="V374" s="4"/>
      <c r="W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25"/>
      <c r="O375" s="4"/>
      <c r="P375" s="4"/>
      <c r="Q375" s="4"/>
      <c r="R375" s="4"/>
      <c r="S375" s="4"/>
      <c r="T375" s="4"/>
      <c r="U375" s="4"/>
      <c r="V375" s="4"/>
      <c r="W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25"/>
      <c r="O376" s="4"/>
      <c r="P376" s="4"/>
      <c r="Q376" s="4"/>
      <c r="R376" s="4"/>
      <c r="S376" s="4"/>
      <c r="T376" s="4"/>
      <c r="U376" s="4"/>
      <c r="V376" s="4"/>
      <c r="W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25"/>
      <c r="O377" s="4"/>
      <c r="P377" s="4"/>
      <c r="Q377" s="4"/>
      <c r="R377" s="4"/>
      <c r="S377" s="4"/>
      <c r="T377" s="4"/>
      <c r="U377" s="4"/>
      <c r="V377" s="4"/>
      <c r="W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25"/>
      <c r="O378" s="4"/>
      <c r="P378" s="4"/>
      <c r="Q378" s="4"/>
      <c r="R378" s="4"/>
      <c r="S378" s="4"/>
      <c r="T378" s="4"/>
      <c r="U378" s="4"/>
      <c r="V378" s="4"/>
      <c r="W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25"/>
      <c r="O379" s="4"/>
      <c r="P379" s="4"/>
      <c r="Q379" s="4"/>
      <c r="R379" s="4"/>
      <c r="S379" s="4"/>
      <c r="T379" s="4"/>
      <c r="U379" s="4"/>
      <c r="V379" s="4"/>
      <c r="W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25"/>
      <c r="O380" s="4"/>
      <c r="P380" s="4"/>
      <c r="Q380" s="4"/>
      <c r="R380" s="4"/>
      <c r="S380" s="4"/>
      <c r="T380" s="4"/>
      <c r="U380" s="4"/>
      <c r="V380" s="4"/>
      <c r="W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25"/>
      <c r="O381" s="4"/>
      <c r="P381" s="4"/>
      <c r="Q381" s="4"/>
      <c r="R381" s="4"/>
      <c r="S381" s="4"/>
      <c r="T381" s="4"/>
      <c r="U381" s="4"/>
      <c r="V381" s="4"/>
      <c r="W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25"/>
      <c r="O382" s="4"/>
      <c r="P382" s="4"/>
      <c r="Q382" s="4"/>
      <c r="R382" s="4"/>
      <c r="S382" s="4"/>
      <c r="T382" s="4"/>
      <c r="U382" s="4"/>
      <c r="V382" s="4"/>
      <c r="W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25"/>
      <c r="O383" s="4"/>
      <c r="P383" s="4"/>
      <c r="Q383" s="4"/>
      <c r="R383" s="4"/>
      <c r="S383" s="4"/>
      <c r="T383" s="4"/>
      <c r="U383" s="4"/>
      <c r="V383" s="4"/>
      <c r="W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25"/>
      <c r="O384" s="4"/>
      <c r="P384" s="4"/>
      <c r="Q384" s="4"/>
      <c r="R384" s="4"/>
      <c r="S384" s="4"/>
      <c r="T384" s="4"/>
      <c r="U384" s="4"/>
      <c r="V384" s="4"/>
      <c r="W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25"/>
      <c r="O385" s="4"/>
      <c r="P385" s="4"/>
      <c r="Q385" s="4"/>
      <c r="R385" s="4"/>
      <c r="S385" s="4"/>
      <c r="T385" s="4"/>
      <c r="U385" s="4"/>
      <c r="V385" s="4"/>
      <c r="W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25"/>
      <c r="O386" s="4"/>
      <c r="P386" s="4"/>
      <c r="Q386" s="4"/>
      <c r="R386" s="4"/>
      <c r="S386" s="4"/>
      <c r="T386" s="4"/>
      <c r="U386" s="4"/>
      <c r="V386" s="4"/>
      <c r="W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25"/>
      <c r="O387" s="4"/>
      <c r="P387" s="4"/>
      <c r="Q387" s="4"/>
      <c r="R387" s="4"/>
      <c r="S387" s="4"/>
      <c r="T387" s="4"/>
      <c r="U387" s="4"/>
      <c r="V387" s="4"/>
      <c r="W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25"/>
      <c r="O388" s="4"/>
      <c r="P388" s="4"/>
      <c r="Q388" s="4"/>
      <c r="R388" s="4"/>
      <c r="S388" s="4"/>
      <c r="T388" s="4"/>
      <c r="U388" s="4"/>
      <c r="V388" s="4"/>
      <c r="W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25"/>
      <c r="O389" s="4"/>
      <c r="P389" s="4"/>
      <c r="Q389" s="4"/>
      <c r="R389" s="4"/>
      <c r="S389" s="4"/>
      <c r="T389" s="4"/>
      <c r="U389" s="4"/>
      <c r="V389" s="4"/>
      <c r="W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25"/>
      <c r="O390" s="4"/>
      <c r="P390" s="4"/>
      <c r="Q390" s="4"/>
      <c r="R390" s="4"/>
      <c r="S390" s="4"/>
      <c r="T390" s="4"/>
      <c r="U390" s="4"/>
      <c r="V390" s="4"/>
      <c r="W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25"/>
      <c r="O391" s="4"/>
      <c r="P391" s="4"/>
      <c r="Q391" s="4"/>
      <c r="R391" s="4"/>
      <c r="S391" s="4"/>
      <c r="T391" s="4"/>
      <c r="U391" s="4"/>
      <c r="V391" s="4"/>
      <c r="W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25"/>
      <c r="O392" s="4"/>
      <c r="P392" s="4"/>
      <c r="Q392" s="4"/>
      <c r="R392" s="4"/>
      <c r="S392" s="4"/>
      <c r="T392" s="4"/>
      <c r="U392" s="4"/>
      <c r="V392" s="4"/>
      <c r="W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25"/>
      <c r="O393" s="4"/>
      <c r="P393" s="4"/>
      <c r="Q393" s="4"/>
      <c r="R393" s="4"/>
      <c r="S393" s="4"/>
      <c r="T393" s="4"/>
      <c r="U393" s="4"/>
      <c r="V393" s="4"/>
      <c r="W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25"/>
      <c r="O394" s="4"/>
      <c r="P394" s="4"/>
      <c r="Q394" s="4"/>
      <c r="R394" s="4"/>
      <c r="S394" s="4"/>
      <c r="T394" s="4"/>
      <c r="U394" s="4"/>
      <c r="V394" s="4"/>
      <c r="W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25"/>
      <c r="O395" s="4"/>
      <c r="P395" s="4"/>
      <c r="Q395" s="4"/>
      <c r="R395" s="4"/>
      <c r="S395" s="4"/>
      <c r="T395" s="4"/>
      <c r="U395" s="4"/>
      <c r="V395" s="4"/>
      <c r="W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25"/>
      <c r="O396" s="4"/>
      <c r="P396" s="4"/>
      <c r="Q396" s="4"/>
      <c r="R396" s="4"/>
      <c r="S396" s="4"/>
      <c r="T396" s="4"/>
      <c r="U396" s="4"/>
      <c r="V396" s="4"/>
      <c r="W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25"/>
      <c r="O397" s="4"/>
      <c r="P397" s="4"/>
      <c r="Q397" s="4"/>
      <c r="R397" s="4"/>
      <c r="S397" s="4"/>
      <c r="T397" s="4"/>
      <c r="U397" s="4"/>
      <c r="V397" s="4"/>
      <c r="W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25"/>
      <c r="O398" s="4"/>
      <c r="P398" s="4"/>
      <c r="Q398" s="4"/>
      <c r="R398" s="4"/>
      <c r="S398" s="4"/>
      <c r="T398" s="4"/>
      <c r="U398" s="4"/>
      <c r="V398" s="4"/>
      <c r="W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25"/>
      <c r="O399" s="4"/>
      <c r="P399" s="4"/>
      <c r="Q399" s="4"/>
      <c r="R399" s="4"/>
      <c r="S399" s="4"/>
      <c r="T399" s="4"/>
      <c r="U399" s="4"/>
      <c r="V399" s="4"/>
      <c r="W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25"/>
      <c r="O400" s="4"/>
      <c r="P400" s="4"/>
      <c r="Q400" s="4"/>
      <c r="R400" s="4"/>
      <c r="S400" s="4"/>
      <c r="T400" s="4"/>
      <c r="U400" s="4"/>
      <c r="V400" s="4"/>
      <c r="W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25"/>
      <c r="O401" s="4"/>
      <c r="P401" s="4"/>
      <c r="Q401" s="4"/>
      <c r="R401" s="4"/>
      <c r="S401" s="4"/>
      <c r="T401" s="4"/>
      <c r="U401" s="4"/>
      <c r="V401" s="4"/>
      <c r="W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25"/>
      <c r="O402" s="4"/>
      <c r="P402" s="4"/>
      <c r="Q402" s="4"/>
      <c r="R402" s="4"/>
      <c r="S402" s="4"/>
      <c r="T402" s="4"/>
      <c r="U402" s="4"/>
      <c r="V402" s="4"/>
      <c r="W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25"/>
      <c r="O403" s="4"/>
      <c r="P403" s="4"/>
      <c r="Q403" s="4"/>
      <c r="R403" s="4"/>
      <c r="S403" s="4"/>
      <c r="T403" s="4"/>
      <c r="U403" s="4"/>
      <c r="V403" s="4"/>
      <c r="W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25"/>
      <c r="O404" s="4"/>
      <c r="P404" s="4"/>
      <c r="Q404" s="4"/>
      <c r="R404" s="4"/>
      <c r="S404" s="4"/>
      <c r="T404" s="4"/>
      <c r="U404" s="4"/>
      <c r="V404" s="4"/>
      <c r="W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25"/>
      <c r="O405" s="4"/>
      <c r="P405" s="4"/>
      <c r="Q405" s="4"/>
      <c r="R405" s="4"/>
      <c r="S405" s="4"/>
      <c r="T405" s="4"/>
      <c r="U405" s="4"/>
      <c r="V405" s="4"/>
      <c r="W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25"/>
      <c r="O406" s="4"/>
      <c r="P406" s="4"/>
      <c r="Q406" s="4"/>
      <c r="R406" s="4"/>
      <c r="S406" s="4"/>
      <c r="T406" s="4"/>
      <c r="U406" s="4"/>
      <c r="V406" s="4"/>
      <c r="W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25"/>
      <c r="O407" s="4"/>
      <c r="P407" s="4"/>
      <c r="Q407" s="4"/>
      <c r="R407" s="4"/>
      <c r="S407" s="4"/>
      <c r="T407" s="4"/>
      <c r="U407" s="4"/>
      <c r="V407" s="4"/>
      <c r="W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25"/>
      <c r="O408" s="4"/>
      <c r="P408" s="4"/>
      <c r="Q408" s="4"/>
      <c r="R408" s="4"/>
      <c r="S408" s="4"/>
      <c r="T408" s="4"/>
      <c r="U408" s="4"/>
      <c r="V408" s="4"/>
      <c r="W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25"/>
      <c r="O409" s="4"/>
      <c r="P409" s="4"/>
      <c r="Q409" s="4"/>
      <c r="R409" s="4"/>
      <c r="S409" s="4"/>
      <c r="T409" s="4"/>
      <c r="U409" s="4"/>
      <c r="V409" s="4"/>
      <c r="W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25"/>
      <c r="O410" s="4"/>
      <c r="P410" s="4"/>
      <c r="Q410" s="4"/>
      <c r="R410" s="4"/>
      <c r="S410" s="4"/>
      <c r="T410" s="4"/>
      <c r="U410" s="4"/>
      <c r="V410" s="4"/>
      <c r="W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25"/>
      <c r="O411" s="4"/>
      <c r="P411" s="4"/>
      <c r="Q411" s="4"/>
      <c r="R411" s="4"/>
      <c r="S411" s="4"/>
      <c r="T411" s="4"/>
      <c r="U411" s="4"/>
      <c r="V411" s="4"/>
      <c r="W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25"/>
      <c r="O412" s="4"/>
      <c r="P412" s="4"/>
      <c r="Q412" s="4"/>
      <c r="R412" s="4"/>
      <c r="S412" s="4"/>
      <c r="T412" s="4"/>
      <c r="U412" s="4"/>
      <c r="V412" s="4"/>
      <c r="W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25"/>
      <c r="O413" s="4"/>
      <c r="P413" s="4"/>
      <c r="Q413" s="4"/>
      <c r="R413" s="4"/>
      <c r="S413" s="4"/>
      <c r="T413" s="4"/>
      <c r="U413" s="4"/>
      <c r="V413" s="4"/>
      <c r="W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25"/>
      <c r="O414" s="4"/>
      <c r="P414" s="4"/>
      <c r="Q414" s="4"/>
      <c r="R414" s="4"/>
      <c r="S414" s="4"/>
      <c r="T414" s="4"/>
      <c r="U414" s="4"/>
      <c r="V414" s="4"/>
      <c r="W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25"/>
      <c r="O415" s="4"/>
      <c r="P415" s="4"/>
      <c r="Q415" s="4"/>
      <c r="R415" s="4"/>
      <c r="S415" s="4"/>
      <c r="T415" s="4"/>
      <c r="U415" s="4"/>
      <c r="V415" s="4"/>
      <c r="W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25"/>
      <c r="O416" s="4"/>
      <c r="P416" s="4"/>
      <c r="Q416" s="4"/>
      <c r="R416" s="4"/>
      <c r="S416" s="4"/>
      <c r="T416" s="4"/>
      <c r="U416" s="4"/>
      <c r="V416" s="4"/>
      <c r="W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25"/>
      <c r="O417" s="4"/>
      <c r="P417" s="4"/>
      <c r="Q417" s="4"/>
      <c r="R417" s="4"/>
      <c r="S417" s="4"/>
      <c r="T417" s="4"/>
      <c r="U417" s="4"/>
      <c r="V417" s="4"/>
      <c r="W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25"/>
      <c r="O418" s="4"/>
      <c r="P418" s="4"/>
      <c r="Q418" s="4"/>
      <c r="R418" s="4"/>
      <c r="S418" s="4"/>
      <c r="T418" s="4"/>
      <c r="U418" s="4"/>
      <c r="V418" s="4"/>
      <c r="W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25"/>
      <c r="O419" s="4"/>
      <c r="P419" s="4"/>
      <c r="Q419" s="4"/>
      <c r="R419" s="4"/>
      <c r="S419" s="4"/>
      <c r="T419" s="4"/>
      <c r="U419" s="4"/>
      <c r="V419" s="4"/>
      <c r="W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25"/>
      <c r="O420" s="4"/>
      <c r="P420" s="4"/>
      <c r="Q420" s="4"/>
      <c r="R420" s="4"/>
      <c r="S420" s="4"/>
      <c r="T420" s="4"/>
      <c r="U420" s="4"/>
      <c r="V420" s="4"/>
      <c r="W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25"/>
      <c r="O421" s="4"/>
      <c r="P421" s="4"/>
      <c r="Q421" s="4"/>
      <c r="R421" s="4"/>
      <c r="S421" s="4"/>
      <c r="T421" s="4"/>
      <c r="U421" s="4"/>
      <c r="V421" s="4"/>
      <c r="W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25"/>
      <c r="O422" s="4"/>
      <c r="P422" s="4"/>
      <c r="Q422" s="4"/>
      <c r="R422" s="4"/>
      <c r="S422" s="4"/>
      <c r="T422" s="4"/>
      <c r="U422" s="4"/>
      <c r="V422" s="4"/>
      <c r="W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25"/>
      <c r="O423" s="4"/>
      <c r="P423" s="4"/>
      <c r="Q423" s="4"/>
      <c r="R423" s="4"/>
      <c r="S423" s="4"/>
      <c r="T423" s="4"/>
      <c r="U423" s="4"/>
      <c r="V423" s="4"/>
      <c r="W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25"/>
      <c r="O424" s="4"/>
      <c r="P424" s="4"/>
      <c r="Q424" s="4"/>
      <c r="R424" s="4"/>
      <c r="S424" s="4"/>
      <c r="T424" s="4"/>
      <c r="U424" s="4"/>
      <c r="V424" s="4"/>
      <c r="W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25"/>
      <c r="O425" s="4"/>
      <c r="P425" s="4"/>
      <c r="Q425" s="4"/>
      <c r="R425" s="4"/>
      <c r="S425" s="4"/>
      <c r="T425" s="4"/>
      <c r="U425" s="4"/>
      <c r="V425" s="4"/>
      <c r="W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25"/>
      <c r="O426" s="4"/>
      <c r="P426" s="4"/>
      <c r="Q426" s="4"/>
      <c r="R426" s="4"/>
      <c r="S426" s="4"/>
      <c r="T426" s="4"/>
      <c r="U426" s="4"/>
      <c r="V426" s="4"/>
      <c r="W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25"/>
      <c r="O427" s="4"/>
      <c r="P427" s="4"/>
      <c r="Q427" s="4"/>
      <c r="R427" s="4"/>
      <c r="S427" s="4"/>
      <c r="T427" s="4"/>
      <c r="U427" s="4"/>
      <c r="V427" s="4"/>
      <c r="W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25"/>
      <c r="O428" s="4"/>
      <c r="P428" s="4"/>
      <c r="Q428" s="4"/>
      <c r="R428" s="4"/>
      <c r="S428" s="4"/>
      <c r="T428" s="4"/>
      <c r="U428" s="4"/>
      <c r="V428" s="4"/>
      <c r="W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25"/>
      <c r="O429" s="4"/>
      <c r="P429" s="4"/>
      <c r="Q429" s="4"/>
      <c r="R429" s="4"/>
      <c r="S429" s="4"/>
      <c r="T429" s="4"/>
      <c r="U429" s="4"/>
      <c r="V429" s="4"/>
      <c r="W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25"/>
      <c r="O430" s="4"/>
      <c r="P430" s="4"/>
      <c r="Q430" s="4"/>
      <c r="R430" s="4"/>
      <c r="S430" s="4"/>
      <c r="T430" s="4"/>
      <c r="U430" s="4"/>
      <c r="V430" s="4"/>
      <c r="W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25"/>
      <c r="O431" s="4"/>
      <c r="P431" s="4"/>
      <c r="Q431" s="4"/>
      <c r="R431" s="4"/>
      <c r="S431" s="4"/>
      <c r="T431" s="4"/>
      <c r="U431" s="4"/>
      <c r="V431" s="4"/>
      <c r="W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25"/>
      <c r="O432" s="4"/>
      <c r="P432" s="4"/>
      <c r="Q432" s="4"/>
      <c r="R432" s="4"/>
      <c r="S432" s="4"/>
      <c r="T432" s="4"/>
      <c r="U432" s="4"/>
      <c r="V432" s="4"/>
      <c r="W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25"/>
      <c r="O433" s="4"/>
      <c r="P433" s="4"/>
      <c r="Q433" s="4"/>
      <c r="R433" s="4"/>
      <c r="S433" s="4"/>
      <c r="T433" s="4"/>
      <c r="U433" s="4"/>
      <c r="V433" s="4"/>
      <c r="W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25"/>
      <c r="O434" s="4"/>
      <c r="P434" s="4"/>
      <c r="Q434" s="4"/>
      <c r="R434" s="4"/>
      <c r="S434" s="4"/>
      <c r="T434" s="4"/>
      <c r="U434" s="4"/>
      <c r="V434" s="4"/>
      <c r="W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25"/>
      <c r="O435" s="4"/>
      <c r="P435" s="4"/>
      <c r="Q435" s="4"/>
      <c r="R435" s="4"/>
      <c r="S435" s="4"/>
      <c r="T435" s="4"/>
      <c r="U435" s="4"/>
      <c r="V435" s="4"/>
      <c r="W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25"/>
      <c r="O436" s="4"/>
      <c r="P436" s="4"/>
      <c r="Q436" s="4"/>
      <c r="R436" s="4"/>
      <c r="S436" s="4"/>
      <c r="T436" s="4"/>
      <c r="U436" s="4"/>
      <c r="V436" s="4"/>
      <c r="W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25"/>
      <c r="O437" s="4"/>
      <c r="P437" s="4"/>
      <c r="Q437" s="4"/>
      <c r="R437" s="4"/>
      <c r="S437" s="4"/>
      <c r="T437" s="4"/>
      <c r="U437" s="4"/>
      <c r="V437" s="4"/>
      <c r="W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25"/>
      <c r="O438" s="4"/>
      <c r="P438" s="4"/>
      <c r="Q438" s="4"/>
      <c r="R438" s="4"/>
      <c r="S438" s="4"/>
      <c r="T438" s="4"/>
      <c r="U438" s="4"/>
      <c r="V438" s="4"/>
      <c r="W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25"/>
      <c r="O439" s="4"/>
      <c r="P439" s="4"/>
      <c r="Q439" s="4"/>
      <c r="R439" s="4"/>
      <c r="S439" s="4"/>
      <c r="T439" s="4"/>
      <c r="U439" s="4"/>
      <c r="V439" s="4"/>
      <c r="W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25"/>
      <c r="O440" s="4"/>
      <c r="P440" s="4"/>
      <c r="Q440" s="4"/>
      <c r="R440" s="4"/>
      <c r="S440" s="4"/>
      <c r="T440" s="4"/>
      <c r="U440" s="4"/>
      <c r="V440" s="4"/>
      <c r="W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25"/>
      <c r="O441" s="4"/>
      <c r="P441" s="4"/>
      <c r="Q441" s="4"/>
      <c r="R441" s="4"/>
      <c r="S441" s="4"/>
      <c r="T441" s="4"/>
      <c r="U441" s="4"/>
      <c r="V441" s="4"/>
      <c r="W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25"/>
      <c r="O442" s="4"/>
      <c r="P442" s="4"/>
      <c r="Q442" s="4"/>
      <c r="R442" s="4"/>
      <c r="S442" s="4"/>
      <c r="T442" s="4"/>
      <c r="U442" s="4"/>
      <c r="V442" s="4"/>
      <c r="W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25"/>
      <c r="O443" s="4"/>
      <c r="P443" s="4"/>
      <c r="Q443" s="4"/>
      <c r="R443" s="4"/>
      <c r="S443" s="4"/>
      <c r="T443" s="4"/>
      <c r="U443" s="4"/>
      <c r="V443" s="4"/>
      <c r="W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25"/>
      <c r="O444" s="4"/>
      <c r="P444" s="4"/>
      <c r="Q444" s="4"/>
      <c r="R444" s="4"/>
      <c r="S444" s="4"/>
      <c r="T444" s="4"/>
      <c r="U444" s="4"/>
      <c r="V444" s="4"/>
      <c r="W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25"/>
      <c r="O445" s="4"/>
      <c r="P445" s="4"/>
      <c r="Q445" s="4"/>
      <c r="R445" s="4"/>
      <c r="S445" s="4"/>
      <c r="T445" s="4"/>
      <c r="U445" s="4"/>
      <c r="V445" s="4"/>
      <c r="W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25"/>
      <c r="O446" s="4"/>
      <c r="P446" s="4"/>
      <c r="Q446" s="4"/>
      <c r="R446" s="4"/>
      <c r="S446" s="4"/>
      <c r="T446" s="4"/>
      <c r="U446" s="4"/>
      <c r="V446" s="4"/>
      <c r="W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25"/>
      <c r="O447" s="4"/>
      <c r="P447" s="4"/>
      <c r="Q447" s="4"/>
      <c r="R447" s="4"/>
      <c r="S447" s="4"/>
      <c r="T447" s="4"/>
      <c r="U447" s="4"/>
      <c r="V447" s="4"/>
      <c r="W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25"/>
      <c r="O448" s="4"/>
      <c r="P448" s="4"/>
      <c r="Q448" s="4"/>
      <c r="R448" s="4"/>
      <c r="S448" s="4"/>
      <c r="T448" s="4"/>
      <c r="U448" s="4"/>
      <c r="V448" s="4"/>
      <c r="W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25"/>
      <c r="O449" s="4"/>
      <c r="P449" s="4"/>
      <c r="Q449" s="4"/>
      <c r="R449" s="4"/>
      <c r="S449" s="4"/>
      <c r="T449" s="4"/>
      <c r="U449" s="4"/>
      <c r="V449" s="4"/>
      <c r="W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25"/>
      <c r="O450" s="4"/>
      <c r="P450" s="4"/>
      <c r="Q450" s="4"/>
      <c r="R450" s="4"/>
      <c r="S450" s="4"/>
      <c r="T450" s="4"/>
      <c r="U450" s="4"/>
      <c r="V450" s="4"/>
      <c r="W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25"/>
      <c r="O451" s="4"/>
      <c r="P451" s="4"/>
      <c r="Q451" s="4"/>
      <c r="R451" s="4"/>
      <c r="S451" s="4"/>
      <c r="T451" s="4"/>
      <c r="U451" s="4"/>
      <c r="V451" s="4"/>
      <c r="W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25"/>
      <c r="O452" s="4"/>
      <c r="P452" s="4"/>
      <c r="Q452" s="4"/>
      <c r="R452" s="4"/>
      <c r="S452" s="4"/>
      <c r="T452" s="4"/>
      <c r="U452" s="4"/>
      <c r="V452" s="4"/>
      <c r="W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25"/>
      <c r="O453" s="4"/>
      <c r="P453" s="4"/>
      <c r="Q453" s="4"/>
      <c r="R453" s="4"/>
      <c r="S453" s="4"/>
      <c r="T453" s="4"/>
      <c r="U453" s="4"/>
      <c r="V453" s="4"/>
      <c r="W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25"/>
      <c r="O454" s="4"/>
      <c r="P454" s="4"/>
      <c r="Q454" s="4"/>
      <c r="R454" s="4"/>
      <c r="S454" s="4"/>
      <c r="T454" s="4"/>
      <c r="U454" s="4"/>
      <c r="V454" s="4"/>
      <c r="W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25"/>
      <c r="O455" s="4"/>
      <c r="P455" s="4"/>
      <c r="Q455" s="4"/>
      <c r="R455" s="4"/>
      <c r="S455" s="4"/>
      <c r="T455" s="4"/>
      <c r="U455" s="4"/>
      <c r="V455" s="4"/>
      <c r="W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25"/>
      <c r="O456" s="4"/>
      <c r="P456" s="4"/>
      <c r="Q456" s="4"/>
      <c r="R456" s="4"/>
      <c r="S456" s="4"/>
      <c r="T456" s="4"/>
      <c r="U456" s="4"/>
      <c r="V456" s="4"/>
      <c r="W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25"/>
      <c r="O457" s="4"/>
      <c r="P457" s="4"/>
      <c r="Q457" s="4"/>
      <c r="R457" s="4"/>
      <c r="S457" s="4"/>
      <c r="T457" s="4"/>
      <c r="U457" s="4"/>
      <c r="V457" s="4"/>
      <c r="W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25"/>
      <c r="O458" s="4"/>
      <c r="P458" s="4"/>
      <c r="Q458" s="4"/>
      <c r="R458" s="4"/>
      <c r="S458" s="4"/>
      <c r="T458" s="4"/>
      <c r="U458" s="4"/>
      <c r="V458" s="4"/>
      <c r="W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25"/>
      <c r="O459" s="4"/>
      <c r="P459" s="4"/>
      <c r="Q459" s="4"/>
      <c r="R459" s="4"/>
      <c r="S459" s="4"/>
      <c r="T459" s="4"/>
      <c r="U459" s="4"/>
      <c r="V459" s="4"/>
      <c r="W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25"/>
      <c r="O460" s="4"/>
      <c r="P460" s="4"/>
      <c r="Q460" s="4"/>
      <c r="R460" s="4"/>
      <c r="S460" s="4"/>
      <c r="T460" s="4"/>
      <c r="U460" s="4"/>
      <c r="V460" s="4"/>
      <c r="W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25"/>
      <c r="O461" s="4"/>
      <c r="P461" s="4"/>
      <c r="Q461" s="4"/>
      <c r="R461" s="4"/>
      <c r="S461" s="4"/>
      <c r="T461" s="4"/>
      <c r="U461" s="4"/>
      <c r="V461" s="4"/>
      <c r="W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25"/>
      <c r="O462" s="4"/>
      <c r="P462" s="4"/>
      <c r="Q462" s="4"/>
      <c r="R462" s="4"/>
      <c r="S462" s="4"/>
      <c r="T462" s="4"/>
      <c r="U462" s="4"/>
      <c r="V462" s="4"/>
      <c r="W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25"/>
      <c r="O463" s="4"/>
      <c r="P463" s="4"/>
      <c r="Q463" s="4"/>
      <c r="R463" s="4"/>
      <c r="S463" s="4"/>
      <c r="T463" s="4"/>
      <c r="U463" s="4"/>
      <c r="V463" s="4"/>
      <c r="W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25"/>
      <c r="O464" s="4"/>
      <c r="P464" s="4"/>
      <c r="Q464" s="4"/>
      <c r="R464" s="4"/>
      <c r="S464" s="4"/>
      <c r="T464" s="4"/>
      <c r="U464" s="4"/>
      <c r="V464" s="4"/>
      <c r="W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25"/>
      <c r="O465" s="4"/>
      <c r="P465" s="4"/>
      <c r="Q465" s="4"/>
      <c r="R465" s="4"/>
      <c r="S465" s="4"/>
      <c r="T465" s="4"/>
      <c r="U465" s="4"/>
      <c r="V465" s="4"/>
      <c r="W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25"/>
      <c r="O466" s="4"/>
      <c r="P466" s="4"/>
      <c r="Q466" s="4"/>
      <c r="R466" s="4"/>
      <c r="S466" s="4"/>
      <c r="T466" s="4"/>
      <c r="U466" s="4"/>
      <c r="V466" s="4"/>
      <c r="W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25"/>
      <c r="O467" s="4"/>
      <c r="P467" s="4"/>
      <c r="Q467" s="4"/>
      <c r="R467" s="4"/>
      <c r="S467" s="4"/>
      <c r="T467" s="4"/>
      <c r="U467" s="4"/>
      <c r="V467" s="4"/>
      <c r="W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25"/>
      <c r="O468" s="4"/>
      <c r="P468" s="4"/>
      <c r="Q468" s="4"/>
      <c r="R468" s="4"/>
      <c r="S468" s="4"/>
      <c r="T468" s="4"/>
      <c r="U468" s="4"/>
      <c r="V468" s="4"/>
      <c r="W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25"/>
      <c r="O469" s="4"/>
      <c r="P469" s="4"/>
      <c r="Q469" s="4"/>
      <c r="R469" s="4"/>
      <c r="S469" s="4"/>
      <c r="T469" s="4"/>
      <c r="U469" s="4"/>
      <c r="V469" s="4"/>
      <c r="W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25"/>
      <c r="O470" s="4"/>
      <c r="P470" s="4"/>
      <c r="Q470" s="4"/>
      <c r="R470" s="4"/>
      <c r="S470" s="4"/>
      <c r="T470" s="4"/>
      <c r="U470" s="4"/>
      <c r="V470" s="4"/>
      <c r="W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25"/>
      <c r="O471" s="4"/>
      <c r="P471" s="4"/>
      <c r="Q471" s="4"/>
      <c r="R471" s="4"/>
      <c r="S471" s="4"/>
      <c r="T471" s="4"/>
      <c r="U471" s="4"/>
      <c r="V471" s="4"/>
      <c r="W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25"/>
      <c r="O472" s="4"/>
      <c r="P472" s="4"/>
      <c r="Q472" s="4"/>
      <c r="R472" s="4"/>
      <c r="S472" s="4"/>
      <c r="T472" s="4"/>
      <c r="U472" s="4"/>
      <c r="V472" s="4"/>
      <c r="W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25"/>
      <c r="O473" s="4"/>
      <c r="P473" s="4"/>
      <c r="Q473" s="4"/>
      <c r="R473" s="4"/>
      <c r="S473" s="4"/>
      <c r="T473" s="4"/>
      <c r="U473" s="4"/>
      <c r="V473" s="4"/>
      <c r="W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25"/>
      <c r="O474" s="4"/>
      <c r="P474" s="4"/>
      <c r="Q474" s="4"/>
      <c r="R474" s="4"/>
      <c r="S474" s="4"/>
      <c r="T474" s="4"/>
      <c r="U474" s="4"/>
      <c r="V474" s="4"/>
      <c r="W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25"/>
      <c r="O475" s="4"/>
      <c r="P475" s="4"/>
      <c r="Q475" s="4"/>
      <c r="R475" s="4"/>
      <c r="S475" s="4"/>
      <c r="T475" s="4"/>
      <c r="U475" s="4"/>
      <c r="V475" s="4"/>
      <c r="W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25"/>
      <c r="O476" s="4"/>
      <c r="P476" s="4"/>
      <c r="Q476" s="4"/>
      <c r="R476" s="4"/>
      <c r="S476" s="4"/>
      <c r="T476" s="4"/>
      <c r="U476" s="4"/>
      <c r="V476" s="4"/>
      <c r="W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25"/>
      <c r="O477" s="4"/>
      <c r="P477" s="4"/>
      <c r="Q477" s="4"/>
      <c r="R477" s="4"/>
      <c r="S477" s="4"/>
      <c r="T477" s="4"/>
      <c r="U477" s="4"/>
      <c r="V477" s="4"/>
      <c r="W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25"/>
      <c r="O478" s="4"/>
      <c r="P478" s="4"/>
      <c r="Q478" s="4"/>
      <c r="R478" s="4"/>
      <c r="S478" s="4"/>
      <c r="T478" s="4"/>
      <c r="U478" s="4"/>
      <c r="V478" s="4"/>
      <c r="W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25"/>
      <c r="O479" s="4"/>
      <c r="P479" s="4"/>
      <c r="Q479" s="4"/>
      <c r="R479" s="4"/>
      <c r="S479" s="4"/>
      <c r="T479" s="4"/>
      <c r="U479" s="4"/>
      <c r="V479" s="4"/>
      <c r="W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25"/>
      <c r="O480" s="4"/>
      <c r="P480" s="4"/>
      <c r="Q480" s="4"/>
      <c r="R480" s="4"/>
      <c r="S480" s="4"/>
      <c r="T480" s="4"/>
      <c r="U480" s="4"/>
      <c r="V480" s="4"/>
      <c r="W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25"/>
      <c r="O481" s="4"/>
      <c r="P481" s="4"/>
      <c r="Q481" s="4"/>
      <c r="R481" s="4"/>
      <c r="S481" s="4"/>
      <c r="T481" s="4"/>
      <c r="U481" s="4"/>
      <c r="V481" s="4"/>
      <c r="W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25"/>
      <c r="O482" s="4"/>
      <c r="P482" s="4"/>
      <c r="Q482" s="4"/>
      <c r="R482" s="4"/>
      <c r="S482" s="4"/>
      <c r="T482" s="4"/>
      <c r="U482" s="4"/>
      <c r="V482" s="4"/>
      <c r="W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25"/>
      <c r="O483" s="4"/>
      <c r="P483" s="4"/>
      <c r="Q483" s="4"/>
      <c r="R483" s="4"/>
      <c r="S483" s="4"/>
      <c r="T483" s="4"/>
      <c r="U483" s="4"/>
      <c r="V483" s="4"/>
      <c r="W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25"/>
      <c r="O484" s="4"/>
      <c r="P484" s="4"/>
      <c r="Q484" s="4"/>
      <c r="R484" s="4"/>
      <c r="S484" s="4"/>
      <c r="T484" s="4"/>
      <c r="U484" s="4"/>
      <c r="V484" s="4"/>
      <c r="W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25"/>
      <c r="O485" s="4"/>
      <c r="P485" s="4"/>
      <c r="Q485" s="4"/>
      <c r="R485" s="4"/>
      <c r="S485" s="4"/>
      <c r="T485" s="4"/>
      <c r="U485" s="4"/>
      <c r="V485" s="4"/>
      <c r="W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25"/>
      <c r="O486" s="4"/>
      <c r="P486" s="4"/>
      <c r="Q486" s="4"/>
      <c r="R486" s="4"/>
      <c r="S486" s="4"/>
      <c r="T486" s="4"/>
      <c r="U486" s="4"/>
      <c r="V486" s="4"/>
      <c r="W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25"/>
      <c r="O487" s="4"/>
      <c r="P487" s="4"/>
      <c r="Q487" s="4"/>
      <c r="R487" s="4"/>
      <c r="S487" s="4"/>
      <c r="T487" s="4"/>
      <c r="U487" s="4"/>
      <c r="V487" s="4"/>
      <c r="W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25"/>
      <c r="O488" s="4"/>
      <c r="P488" s="4"/>
      <c r="Q488" s="4"/>
      <c r="R488" s="4"/>
      <c r="S488" s="4"/>
      <c r="T488" s="4"/>
      <c r="U488" s="4"/>
      <c r="V488" s="4"/>
      <c r="W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25"/>
      <c r="O489" s="4"/>
      <c r="P489" s="4"/>
      <c r="Q489" s="4"/>
      <c r="R489" s="4"/>
      <c r="S489" s="4"/>
      <c r="T489" s="4"/>
      <c r="U489" s="4"/>
      <c r="V489" s="4"/>
      <c r="W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25"/>
      <c r="O490" s="4"/>
      <c r="P490" s="4"/>
      <c r="Q490" s="4"/>
      <c r="R490" s="4"/>
      <c r="S490" s="4"/>
      <c r="T490" s="4"/>
      <c r="U490" s="4"/>
      <c r="V490" s="4"/>
      <c r="W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25"/>
      <c r="O491" s="4"/>
      <c r="P491" s="4"/>
      <c r="Q491" s="4"/>
      <c r="R491" s="4"/>
      <c r="S491" s="4"/>
      <c r="T491" s="4"/>
      <c r="U491" s="4"/>
      <c r="V491" s="4"/>
      <c r="W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25"/>
      <c r="O492" s="4"/>
      <c r="P492" s="4"/>
      <c r="Q492" s="4"/>
      <c r="R492" s="4"/>
      <c r="S492" s="4"/>
      <c r="T492" s="4"/>
      <c r="U492" s="4"/>
      <c r="V492" s="4"/>
      <c r="W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25"/>
      <c r="O493" s="4"/>
      <c r="P493" s="4"/>
      <c r="Q493" s="4"/>
      <c r="R493" s="4"/>
      <c r="S493" s="4"/>
      <c r="T493" s="4"/>
      <c r="U493" s="4"/>
      <c r="V493" s="4"/>
      <c r="W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25"/>
      <c r="O494" s="4"/>
      <c r="P494" s="4"/>
      <c r="Q494" s="4"/>
      <c r="R494" s="4"/>
      <c r="S494" s="4"/>
      <c r="T494" s="4"/>
      <c r="U494" s="4"/>
      <c r="V494" s="4"/>
      <c r="W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25"/>
      <c r="O495" s="4"/>
      <c r="P495" s="4"/>
      <c r="Q495" s="4"/>
      <c r="R495" s="4"/>
      <c r="S495" s="4"/>
      <c r="T495" s="4"/>
      <c r="U495" s="4"/>
      <c r="V495" s="4"/>
      <c r="W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25"/>
      <c r="O496" s="4"/>
      <c r="P496" s="4"/>
      <c r="Q496" s="4"/>
      <c r="R496" s="4"/>
      <c r="S496" s="4"/>
      <c r="T496" s="4"/>
      <c r="U496" s="4"/>
      <c r="V496" s="4"/>
      <c r="W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25"/>
      <c r="O497" s="4"/>
      <c r="P497" s="4"/>
      <c r="Q497" s="4"/>
      <c r="R497" s="4"/>
      <c r="S497" s="4"/>
      <c r="T497" s="4"/>
      <c r="U497" s="4"/>
      <c r="V497" s="4"/>
      <c r="W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25"/>
      <c r="O498" s="4"/>
      <c r="P498" s="4"/>
      <c r="Q498" s="4"/>
      <c r="R498" s="4"/>
      <c r="S498" s="4"/>
      <c r="T498" s="4"/>
      <c r="U498" s="4"/>
      <c r="V498" s="4"/>
      <c r="W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25"/>
      <c r="O499" s="4"/>
      <c r="P499" s="4"/>
      <c r="Q499" s="4"/>
      <c r="R499" s="4"/>
      <c r="S499" s="4"/>
      <c r="T499" s="4"/>
      <c r="U499" s="4"/>
      <c r="V499" s="4"/>
      <c r="W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25"/>
      <c r="O500" s="4"/>
      <c r="P500" s="4"/>
      <c r="Q500" s="4"/>
      <c r="R500" s="4"/>
      <c r="S500" s="4"/>
      <c r="T500" s="4"/>
      <c r="U500" s="4"/>
      <c r="V500" s="4"/>
      <c r="W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25"/>
      <c r="O501" s="4"/>
      <c r="P501" s="4"/>
      <c r="Q501" s="4"/>
      <c r="R501" s="4"/>
      <c r="S501" s="4"/>
      <c r="T501" s="4"/>
      <c r="U501" s="4"/>
      <c r="V501" s="4"/>
      <c r="W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25"/>
      <c r="O502" s="4"/>
      <c r="P502" s="4"/>
      <c r="Q502" s="4"/>
      <c r="R502" s="4"/>
      <c r="S502" s="4"/>
      <c r="T502" s="4"/>
      <c r="U502" s="4"/>
      <c r="V502" s="4"/>
      <c r="W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25"/>
      <c r="O503" s="4"/>
      <c r="P503" s="4"/>
      <c r="Q503" s="4"/>
      <c r="R503" s="4"/>
      <c r="S503" s="4"/>
      <c r="T503" s="4"/>
      <c r="U503" s="4"/>
      <c r="V503" s="4"/>
      <c r="W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25"/>
      <c r="O504" s="4"/>
      <c r="P504" s="4"/>
      <c r="Q504" s="4"/>
      <c r="R504" s="4"/>
      <c r="S504" s="4"/>
      <c r="T504" s="4"/>
      <c r="U504" s="4"/>
      <c r="V504" s="4"/>
      <c r="W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25"/>
      <c r="O505" s="4"/>
      <c r="P505" s="4"/>
      <c r="Q505" s="4"/>
      <c r="R505" s="4"/>
      <c r="S505" s="4"/>
      <c r="T505" s="4"/>
      <c r="U505" s="4"/>
      <c r="V505" s="4"/>
      <c r="W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25"/>
      <c r="O506" s="4"/>
      <c r="P506" s="4"/>
      <c r="Q506" s="4"/>
      <c r="R506" s="4"/>
      <c r="S506" s="4"/>
      <c r="T506" s="4"/>
      <c r="U506" s="4"/>
      <c r="V506" s="4"/>
      <c r="W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25"/>
      <c r="O507" s="4"/>
      <c r="P507" s="4"/>
      <c r="Q507" s="4"/>
      <c r="R507" s="4"/>
      <c r="S507" s="4"/>
      <c r="T507" s="4"/>
      <c r="U507" s="4"/>
      <c r="V507" s="4"/>
      <c r="W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25"/>
      <c r="O508" s="4"/>
      <c r="P508" s="4"/>
      <c r="Q508" s="4"/>
      <c r="R508" s="4"/>
      <c r="S508" s="4"/>
      <c r="T508" s="4"/>
      <c r="U508" s="4"/>
      <c r="V508" s="4"/>
      <c r="W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25"/>
      <c r="O509" s="4"/>
      <c r="P509" s="4"/>
      <c r="Q509" s="4"/>
      <c r="R509" s="4"/>
      <c r="S509" s="4"/>
      <c r="T509" s="4"/>
      <c r="U509" s="4"/>
      <c r="V509" s="4"/>
      <c r="W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25"/>
      <c r="O510" s="4"/>
      <c r="P510" s="4"/>
      <c r="Q510" s="4"/>
      <c r="R510" s="4"/>
      <c r="S510" s="4"/>
      <c r="T510" s="4"/>
      <c r="U510" s="4"/>
      <c r="V510" s="4"/>
      <c r="W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25"/>
      <c r="O511" s="4"/>
      <c r="P511" s="4"/>
      <c r="Q511" s="4"/>
      <c r="R511" s="4"/>
      <c r="S511" s="4"/>
      <c r="T511" s="4"/>
      <c r="U511" s="4"/>
      <c r="V511" s="4"/>
      <c r="W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25"/>
      <c r="O512" s="4"/>
      <c r="P512" s="4"/>
      <c r="Q512" s="4"/>
      <c r="R512" s="4"/>
      <c r="S512" s="4"/>
      <c r="T512" s="4"/>
      <c r="U512" s="4"/>
      <c r="V512" s="4"/>
      <c r="W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25"/>
      <c r="O513" s="4"/>
      <c r="P513" s="4"/>
      <c r="Q513" s="4"/>
      <c r="R513" s="4"/>
      <c r="S513" s="4"/>
      <c r="T513" s="4"/>
      <c r="U513" s="4"/>
      <c r="V513" s="4"/>
      <c r="W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25"/>
      <c r="O514" s="4"/>
      <c r="P514" s="4"/>
      <c r="Q514" s="4"/>
      <c r="R514" s="4"/>
      <c r="S514" s="4"/>
      <c r="T514" s="4"/>
      <c r="U514" s="4"/>
      <c r="V514" s="4"/>
      <c r="W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25"/>
      <c r="O515" s="4"/>
      <c r="P515" s="4"/>
      <c r="Q515" s="4"/>
      <c r="R515" s="4"/>
      <c r="S515" s="4"/>
      <c r="T515" s="4"/>
      <c r="U515" s="4"/>
      <c r="V515" s="4"/>
      <c r="W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25"/>
      <c r="O516" s="4"/>
      <c r="P516" s="4"/>
      <c r="Q516" s="4"/>
      <c r="R516" s="4"/>
      <c r="S516" s="4"/>
      <c r="T516" s="4"/>
      <c r="U516" s="4"/>
      <c r="V516" s="4"/>
      <c r="W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25"/>
      <c r="O517" s="4"/>
      <c r="P517" s="4"/>
      <c r="Q517" s="4"/>
      <c r="R517" s="4"/>
      <c r="S517" s="4"/>
      <c r="T517" s="4"/>
      <c r="U517" s="4"/>
      <c r="V517" s="4"/>
      <c r="W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25"/>
      <c r="O518" s="4"/>
      <c r="P518" s="4"/>
      <c r="Q518" s="4"/>
      <c r="R518" s="4"/>
      <c r="S518" s="4"/>
      <c r="T518" s="4"/>
      <c r="U518" s="4"/>
      <c r="V518" s="4"/>
      <c r="W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25"/>
      <c r="O519" s="4"/>
      <c r="P519" s="4"/>
      <c r="Q519" s="4"/>
      <c r="R519" s="4"/>
      <c r="S519" s="4"/>
      <c r="T519" s="4"/>
      <c r="U519" s="4"/>
      <c r="V519" s="4"/>
      <c r="W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25"/>
      <c r="O520" s="4"/>
      <c r="P520" s="4"/>
      <c r="Q520" s="4"/>
      <c r="R520" s="4"/>
      <c r="S520" s="4"/>
      <c r="T520" s="4"/>
      <c r="U520" s="4"/>
      <c r="V520" s="4"/>
      <c r="W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25"/>
      <c r="O521" s="4"/>
      <c r="P521" s="4"/>
      <c r="Q521" s="4"/>
      <c r="R521" s="4"/>
      <c r="S521" s="4"/>
      <c r="T521" s="4"/>
      <c r="U521" s="4"/>
      <c r="V521" s="4"/>
      <c r="W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25"/>
      <c r="O522" s="4"/>
      <c r="P522" s="4"/>
      <c r="Q522" s="4"/>
      <c r="R522" s="4"/>
      <c r="S522" s="4"/>
      <c r="T522" s="4"/>
      <c r="U522" s="4"/>
      <c r="V522" s="4"/>
      <c r="W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25"/>
      <c r="O523" s="4"/>
      <c r="P523" s="4"/>
      <c r="Q523" s="4"/>
      <c r="R523" s="4"/>
      <c r="S523" s="4"/>
      <c r="T523" s="4"/>
      <c r="U523" s="4"/>
      <c r="V523" s="4"/>
      <c r="W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25"/>
      <c r="O524" s="4"/>
      <c r="P524" s="4"/>
      <c r="Q524" s="4"/>
      <c r="R524" s="4"/>
      <c r="S524" s="4"/>
      <c r="T524" s="4"/>
      <c r="U524" s="4"/>
      <c r="V524" s="4"/>
      <c r="W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25"/>
      <c r="O525" s="4"/>
      <c r="P525" s="4"/>
      <c r="Q525" s="4"/>
      <c r="R525" s="4"/>
      <c r="S525" s="4"/>
      <c r="T525" s="4"/>
      <c r="U525" s="4"/>
      <c r="V525" s="4"/>
      <c r="W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25"/>
      <c r="O526" s="4"/>
      <c r="P526" s="4"/>
      <c r="Q526" s="4"/>
      <c r="R526" s="4"/>
      <c r="S526" s="4"/>
      <c r="T526" s="4"/>
      <c r="U526" s="4"/>
      <c r="V526" s="4"/>
      <c r="W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25"/>
      <c r="O527" s="4"/>
      <c r="P527" s="4"/>
      <c r="Q527" s="4"/>
      <c r="R527" s="4"/>
      <c r="S527" s="4"/>
      <c r="T527" s="4"/>
      <c r="U527" s="4"/>
      <c r="V527" s="4"/>
      <c r="W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25"/>
      <c r="O528" s="4"/>
      <c r="P528" s="4"/>
      <c r="Q528" s="4"/>
      <c r="R528" s="4"/>
      <c r="S528" s="4"/>
      <c r="T528" s="4"/>
      <c r="U528" s="4"/>
      <c r="V528" s="4"/>
      <c r="W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25"/>
      <c r="O529" s="4"/>
      <c r="P529" s="4"/>
      <c r="Q529" s="4"/>
      <c r="R529" s="4"/>
      <c r="S529" s="4"/>
      <c r="T529" s="4"/>
      <c r="U529" s="4"/>
      <c r="V529" s="4"/>
      <c r="W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25"/>
      <c r="O530" s="4"/>
      <c r="P530" s="4"/>
      <c r="Q530" s="4"/>
      <c r="R530" s="4"/>
      <c r="S530" s="4"/>
      <c r="T530" s="4"/>
      <c r="U530" s="4"/>
      <c r="V530" s="4"/>
      <c r="W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25"/>
      <c r="O531" s="4"/>
      <c r="P531" s="4"/>
      <c r="Q531" s="4"/>
      <c r="R531" s="4"/>
      <c r="S531" s="4"/>
      <c r="T531" s="4"/>
      <c r="U531" s="4"/>
      <c r="V531" s="4"/>
      <c r="W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25"/>
      <c r="O532" s="4"/>
      <c r="P532" s="4"/>
      <c r="Q532" s="4"/>
      <c r="R532" s="4"/>
      <c r="S532" s="4"/>
      <c r="T532" s="4"/>
      <c r="U532" s="4"/>
      <c r="V532" s="4"/>
      <c r="W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25"/>
      <c r="O533" s="4"/>
      <c r="P533" s="4"/>
      <c r="Q533" s="4"/>
      <c r="R533" s="4"/>
      <c r="S533" s="4"/>
      <c r="T533" s="4"/>
      <c r="U533" s="4"/>
      <c r="V533" s="4"/>
      <c r="W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25"/>
      <c r="O534" s="4"/>
      <c r="P534" s="4"/>
      <c r="Q534" s="4"/>
      <c r="R534" s="4"/>
      <c r="S534" s="4"/>
      <c r="T534" s="4"/>
      <c r="U534" s="4"/>
      <c r="V534" s="4"/>
      <c r="W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25"/>
      <c r="O535" s="4"/>
      <c r="P535" s="4"/>
      <c r="Q535" s="4"/>
      <c r="R535" s="4"/>
      <c r="S535" s="4"/>
      <c r="T535" s="4"/>
      <c r="U535" s="4"/>
      <c r="V535" s="4"/>
      <c r="W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25"/>
      <c r="O536" s="4"/>
      <c r="P536" s="4"/>
      <c r="Q536" s="4"/>
      <c r="R536" s="4"/>
      <c r="S536" s="4"/>
      <c r="T536" s="4"/>
      <c r="U536" s="4"/>
      <c r="V536" s="4"/>
      <c r="W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25"/>
      <c r="O537" s="4"/>
      <c r="P537" s="4"/>
      <c r="Q537" s="4"/>
      <c r="R537" s="4"/>
      <c r="S537" s="4"/>
      <c r="T537" s="4"/>
      <c r="U537" s="4"/>
      <c r="V537" s="4"/>
      <c r="W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25"/>
      <c r="O538" s="4"/>
      <c r="P538" s="4"/>
      <c r="Q538" s="4"/>
      <c r="R538" s="4"/>
      <c r="S538" s="4"/>
      <c r="T538" s="4"/>
      <c r="U538" s="4"/>
      <c r="V538" s="4"/>
      <c r="W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25"/>
      <c r="O539" s="4"/>
      <c r="P539" s="4"/>
      <c r="Q539" s="4"/>
      <c r="R539" s="4"/>
      <c r="S539" s="4"/>
      <c r="T539" s="4"/>
      <c r="U539" s="4"/>
      <c r="V539" s="4"/>
      <c r="W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25"/>
      <c r="O540" s="4"/>
      <c r="P540" s="4"/>
      <c r="Q540" s="4"/>
      <c r="R540" s="4"/>
      <c r="S540" s="4"/>
      <c r="T540" s="4"/>
      <c r="U540" s="4"/>
      <c r="V540" s="4"/>
      <c r="W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25"/>
      <c r="O541" s="4"/>
      <c r="P541" s="4"/>
      <c r="Q541" s="4"/>
      <c r="R541" s="4"/>
      <c r="S541" s="4"/>
      <c r="T541" s="4"/>
      <c r="U541" s="4"/>
      <c r="V541" s="4"/>
      <c r="W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25"/>
      <c r="O542" s="4"/>
      <c r="P542" s="4"/>
      <c r="Q542" s="4"/>
      <c r="R542" s="4"/>
      <c r="S542" s="4"/>
      <c r="T542" s="4"/>
      <c r="U542" s="4"/>
      <c r="V542" s="4"/>
      <c r="W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25"/>
      <c r="O543" s="4"/>
      <c r="P543" s="4"/>
      <c r="Q543" s="4"/>
      <c r="R543" s="4"/>
      <c r="S543" s="4"/>
      <c r="T543" s="4"/>
      <c r="U543" s="4"/>
      <c r="V543" s="4"/>
      <c r="W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25"/>
      <c r="O544" s="4"/>
      <c r="P544" s="4"/>
      <c r="Q544" s="4"/>
      <c r="R544" s="4"/>
      <c r="S544" s="4"/>
      <c r="T544" s="4"/>
      <c r="U544" s="4"/>
      <c r="V544" s="4"/>
      <c r="W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25"/>
      <c r="O545" s="4"/>
      <c r="P545" s="4"/>
      <c r="Q545" s="4"/>
      <c r="R545" s="4"/>
      <c r="S545" s="4"/>
      <c r="T545" s="4"/>
      <c r="U545" s="4"/>
      <c r="V545" s="4"/>
      <c r="W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25"/>
      <c r="O546" s="4"/>
      <c r="P546" s="4"/>
      <c r="Q546" s="4"/>
      <c r="R546" s="4"/>
      <c r="S546" s="4"/>
      <c r="T546" s="4"/>
      <c r="U546" s="4"/>
      <c r="V546" s="4"/>
      <c r="W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25"/>
      <c r="O547" s="4"/>
      <c r="P547" s="4"/>
      <c r="Q547" s="4"/>
      <c r="R547" s="4"/>
      <c r="S547" s="4"/>
      <c r="T547" s="4"/>
      <c r="U547" s="4"/>
      <c r="V547" s="4"/>
      <c r="W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25"/>
      <c r="O548" s="4"/>
      <c r="P548" s="4"/>
      <c r="Q548" s="4"/>
      <c r="R548" s="4"/>
      <c r="S548" s="4"/>
      <c r="T548" s="4"/>
      <c r="U548" s="4"/>
      <c r="V548" s="4"/>
      <c r="W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25"/>
      <c r="O549" s="4"/>
      <c r="P549" s="4"/>
      <c r="Q549" s="4"/>
      <c r="R549" s="4"/>
      <c r="S549" s="4"/>
      <c r="T549" s="4"/>
      <c r="U549" s="4"/>
      <c r="V549" s="4"/>
      <c r="W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25"/>
      <c r="O550" s="4"/>
      <c r="P550" s="4"/>
      <c r="Q550" s="4"/>
      <c r="R550" s="4"/>
      <c r="S550" s="4"/>
      <c r="T550" s="4"/>
      <c r="U550" s="4"/>
      <c r="V550" s="4"/>
      <c r="W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25"/>
      <c r="O551" s="4"/>
      <c r="P551" s="4"/>
      <c r="Q551" s="4"/>
      <c r="R551" s="4"/>
      <c r="S551" s="4"/>
      <c r="T551" s="4"/>
      <c r="U551" s="4"/>
      <c r="V551" s="4"/>
      <c r="W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25"/>
      <c r="O552" s="4"/>
      <c r="P552" s="4"/>
      <c r="Q552" s="4"/>
      <c r="R552" s="4"/>
      <c r="S552" s="4"/>
      <c r="T552" s="4"/>
      <c r="U552" s="4"/>
      <c r="V552" s="4"/>
      <c r="W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25"/>
      <c r="O553" s="4"/>
      <c r="P553" s="4"/>
      <c r="Q553" s="4"/>
      <c r="R553" s="4"/>
      <c r="S553" s="4"/>
      <c r="T553" s="4"/>
      <c r="U553" s="4"/>
      <c r="V553" s="4"/>
      <c r="W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25"/>
      <c r="O554" s="4"/>
      <c r="P554" s="4"/>
      <c r="Q554" s="4"/>
      <c r="R554" s="4"/>
      <c r="S554" s="4"/>
      <c r="T554" s="4"/>
      <c r="U554" s="4"/>
      <c r="V554" s="4"/>
      <c r="W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25"/>
      <c r="O555" s="4"/>
      <c r="P555" s="4"/>
      <c r="Q555" s="4"/>
      <c r="R555" s="4"/>
      <c r="S555" s="4"/>
      <c r="T555" s="4"/>
      <c r="U555" s="4"/>
      <c r="V555" s="4"/>
      <c r="W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25"/>
      <c r="O556" s="4"/>
      <c r="P556" s="4"/>
      <c r="Q556" s="4"/>
      <c r="R556" s="4"/>
      <c r="S556" s="4"/>
      <c r="T556" s="4"/>
      <c r="U556" s="4"/>
      <c r="V556" s="4"/>
      <c r="W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25"/>
      <c r="O557" s="4"/>
      <c r="P557" s="4"/>
      <c r="Q557" s="4"/>
      <c r="R557" s="4"/>
      <c r="S557" s="4"/>
      <c r="T557" s="4"/>
      <c r="U557" s="4"/>
      <c r="V557" s="4"/>
      <c r="W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25"/>
      <c r="O558" s="4"/>
      <c r="P558" s="4"/>
      <c r="Q558" s="4"/>
      <c r="R558" s="4"/>
      <c r="S558" s="4"/>
      <c r="T558" s="4"/>
      <c r="U558" s="4"/>
      <c r="V558" s="4"/>
      <c r="W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25"/>
      <c r="O559" s="4"/>
      <c r="P559" s="4"/>
      <c r="Q559" s="4"/>
      <c r="R559" s="4"/>
      <c r="S559" s="4"/>
      <c r="T559" s="4"/>
      <c r="U559" s="4"/>
      <c r="V559" s="4"/>
      <c r="W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25"/>
      <c r="O560" s="4"/>
      <c r="P560" s="4"/>
      <c r="Q560" s="4"/>
      <c r="R560" s="4"/>
      <c r="S560" s="4"/>
      <c r="T560" s="4"/>
      <c r="U560" s="4"/>
      <c r="V560" s="4"/>
      <c r="W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25"/>
      <c r="O561" s="4"/>
      <c r="P561" s="4"/>
      <c r="Q561" s="4"/>
      <c r="R561" s="4"/>
      <c r="S561" s="4"/>
      <c r="T561" s="4"/>
      <c r="U561" s="4"/>
      <c r="V561" s="4"/>
      <c r="W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25"/>
      <c r="O562" s="4"/>
      <c r="P562" s="4"/>
      <c r="Q562" s="4"/>
      <c r="R562" s="4"/>
      <c r="S562" s="4"/>
      <c r="T562" s="4"/>
      <c r="U562" s="4"/>
      <c r="V562" s="4"/>
      <c r="W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25"/>
      <c r="O563" s="4"/>
      <c r="P563" s="4"/>
      <c r="Q563" s="4"/>
      <c r="R563" s="4"/>
      <c r="S563" s="4"/>
      <c r="T563" s="4"/>
      <c r="U563" s="4"/>
      <c r="V563" s="4"/>
      <c r="W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25"/>
      <c r="O564" s="4"/>
      <c r="P564" s="4"/>
      <c r="Q564" s="4"/>
      <c r="R564" s="4"/>
      <c r="S564" s="4"/>
      <c r="T564" s="4"/>
      <c r="U564" s="4"/>
      <c r="V564" s="4"/>
      <c r="W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25"/>
      <c r="O565" s="4"/>
      <c r="P565" s="4"/>
      <c r="Q565" s="4"/>
      <c r="R565" s="4"/>
      <c r="S565" s="4"/>
      <c r="T565" s="4"/>
      <c r="U565" s="4"/>
      <c r="V565" s="4"/>
      <c r="W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25"/>
      <c r="O566" s="4"/>
      <c r="P566" s="4"/>
      <c r="Q566" s="4"/>
      <c r="R566" s="4"/>
      <c r="S566" s="4"/>
      <c r="T566" s="4"/>
      <c r="U566" s="4"/>
      <c r="V566" s="4"/>
      <c r="W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25"/>
      <c r="O567" s="4"/>
      <c r="P567" s="4"/>
      <c r="Q567" s="4"/>
      <c r="R567" s="4"/>
      <c r="S567" s="4"/>
      <c r="T567" s="4"/>
      <c r="U567" s="4"/>
      <c r="V567" s="4"/>
      <c r="W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25"/>
      <c r="O568" s="4"/>
      <c r="P568" s="4"/>
      <c r="Q568" s="4"/>
      <c r="R568" s="4"/>
      <c r="S568" s="4"/>
      <c r="T568" s="4"/>
      <c r="U568" s="4"/>
      <c r="V568" s="4"/>
      <c r="W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25"/>
      <c r="O569" s="4"/>
      <c r="P569" s="4"/>
      <c r="Q569" s="4"/>
      <c r="R569" s="4"/>
      <c r="S569" s="4"/>
      <c r="T569" s="4"/>
      <c r="U569" s="4"/>
      <c r="V569" s="4"/>
      <c r="W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25"/>
      <c r="O570" s="4"/>
      <c r="P570" s="4"/>
      <c r="Q570" s="4"/>
      <c r="R570" s="4"/>
      <c r="S570" s="4"/>
      <c r="T570" s="4"/>
      <c r="U570" s="4"/>
      <c r="V570" s="4"/>
      <c r="W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25"/>
      <c r="O571" s="4"/>
      <c r="P571" s="4"/>
      <c r="Q571" s="4"/>
      <c r="R571" s="4"/>
      <c r="S571" s="4"/>
      <c r="T571" s="4"/>
      <c r="U571" s="4"/>
      <c r="V571" s="4"/>
      <c r="W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25"/>
      <c r="O572" s="4"/>
      <c r="P572" s="4"/>
      <c r="Q572" s="4"/>
      <c r="R572" s="4"/>
      <c r="S572" s="4"/>
      <c r="T572" s="4"/>
      <c r="U572" s="4"/>
      <c r="V572" s="4"/>
      <c r="W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25"/>
      <c r="O573" s="4"/>
      <c r="P573" s="4"/>
      <c r="Q573" s="4"/>
      <c r="R573" s="4"/>
      <c r="S573" s="4"/>
      <c r="T573" s="4"/>
      <c r="U573" s="4"/>
      <c r="V573" s="4"/>
      <c r="W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25"/>
      <c r="O574" s="4"/>
      <c r="P574" s="4"/>
      <c r="Q574" s="4"/>
      <c r="R574" s="4"/>
      <c r="S574" s="4"/>
      <c r="T574" s="4"/>
      <c r="U574" s="4"/>
      <c r="V574" s="4"/>
      <c r="W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25"/>
      <c r="O575" s="4"/>
      <c r="P575" s="4"/>
      <c r="Q575" s="4"/>
      <c r="R575" s="4"/>
      <c r="S575" s="4"/>
      <c r="T575" s="4"/>
      <c r="U575" s="4"/>
      <c r="V575" s="4"/>
      <c r="W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25"/>
      <c r="O576" s="4"/>
      <c r="P576" s="4"/>
      <c r="Q576" s="4"/>
      <c r="R576" s="4"/>
      <c r="S576" s="4"/>
      <c r="T576" s="4"/>
      <c r="U576" s="4"/>
      <c r="V576" s="4"/>
      <c r="W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25"/>
      <c r="O577" s="4"/>
      <c r="P577" s="4"/>
      <c r="Q577" s="4"/>
      <c r="R577" s="4"/>
      <c r="S577" s="4"/>
      <c r="T577" s="4"/>
      <c r="U577" s="4"/>
      <c r="V577" s="4"/>
      <c r="W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25"/>
      <c r="O578" s="4"/>
      <c r="P578" s="4"/>
      <c r="Q578" s="4"/>
      <c r="R578" s="4"/>
      <c r="S578" s="4"/>
      <c r="T578" s="4"/>
      <c r="U578" s="4"/>
      <c r="V578" s="4"/>
      <c r="W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25"/>
      <c r="O579" s="4"/>
      <c r="P579" s="4"/>
      <c r="Q579" s="4"/>
      <c r="R579" s="4"/>
      <c r="S579" s="4"/>
      <c r="T579" s="4"/>
      <c r="U579" s="4"/>
      <c r="V579" s="4"/>
      <c r="W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25"/>
      <c r="O580" s="4"/>
      <c r="P580" s="4"/>
      <c r="Q580" s="4"/>
      <c r="R580" s="4"/>
      <c r="S580" s="4"/>
      <c r="T580" s="4"/>
      <c r="U580" s="4"/>
      <c r="V580" s="4"/>
      <c r="W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25"/>
      <c r="O581" s="4"/>
      <c r="P581" s="4"/>
      <c r="Q581" s="4"/>
      <c r="R581" s="4"/>
      <c r="S581" s="4"/>
      <c r="T581" s="4"/>
      <c r="U581" s="4"/>
      <c r="V581" s="4"/>
      <c r="W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25"/>
      <c r="O582" s="4"/>
      <c r="P582" s="4"/>
      <c r="Q582" s="4"/>
      <c r="R582" s="4"/>
      <c r="S582" s="4"/>
      <c r="T582" s="4"/>
      <c r="U582" s="4"/>
      <c r="V582" s="4"/>
      <c r="W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25"/>
      <c r="O583" s="4"/>
      <c r="P583" s="4"/>
      <c r="Q583" s="4"/>
      <c r="R583" s="4"/>
      <c r="S583" s="4"/>
      <c r="T583" s="4"/>
      <c r="U583" s="4"/>
      <c r="V583" s="4"/>
      <c r="W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25"/>
      <c r="O584" s="4"/>
      <c r="P584" s="4"/>
      <c r="Q584" s="4"/>
      <c r="R584" s="4"/>
      <c r="S584" s="4"/>
      <c r="T584" s="4"/>
      <c r="U584" s="4"/>
      <c r="V584" s="4"/>
      <c r="W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25"/>
      <c r="O585" s="4"/>
      <c r="P585" s="4"/>
      <c r="Q585" s="4"/>
      <c r="R585" s="4"/>
      <c r="S585" s="4"/>
      <c r="T585" s="4"/>
      <c r="U585" s="4"/>
      <c r="V585" s="4"/>
      <c r="W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25"/>
      <c r="O586" s="4"/>
      <c r="P586" s="4"/>
      <c r="Q586" s="4"/>
      <c r="R586" s="4"/>
      <c r="S586" s="4"/>
      <c r="T586" s="4"/>
      <c r="U586" s="4"/>
      <c r="V586" s="4"/>
      <c r="W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25"/>
      <c r="O587" s="4"/>
      <c r="P587" s="4"/>
      <c r="Q587" s="4"/>
      <c r="R587" s="4"/>
      <c r="S587" s="4"/>
      <c r="T587" s="4"/>
      <c r="U587" s="4"/>
      <c r="V587" s="4"/>
      <c r="W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25"/>
      <c r="O588" s="4"/>
      <c r="P588" s="4"/>
      <c r="Q588" s="4"/>
      <c r="R588" s="4"/>
      <c r="S588" s="4"/>
      <c r="T588" s="4"/>
      <c r="U588" s="4"/>
      <c r="V588" s="4"/>
      <c r="W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25"/>
      <c r="O589" s="4"/>
      <c r="P589" s="4"/>
      <c r="Q589" s="4"/>
      <c r="R589" s="4"/>
      <c r="S589" s="4"/>
      <c r="T589" s="4"/>
      <c r="U589" s="4"/>
      <c r="V589" s="4"/>
      <c r="W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25"/>
      <c r="O590" s="4"/>
      <c r="P590" s="4"/>
      <c r="Q590" s="4"/>
      <c r="R590" s="4"/>
      <c r="S590" s="4"/>
      <c r="T590" s="4"/>
      <c r="U590" s="4"/>
      <c r="V590" s="4"/>
      <c r="W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25"/>
      <c r="O591" s="4"/>
      <c r="P591" s="4"/>
      <c r="Q591" s="4"/>
      <c r="R591" s="4"/>
      <c r="S591" s="4"/>
      <c r="T591" s="4"/>
      <c r="U591" s="4"/>
      <c r="V591" s="4"/>
      <c r="W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25"/>
      <c r="O592" s="4"/>
      <c r="P592" s="4"/>
      <c r="Q592" s="4"/>
      <c r="R592" s="4"/>
      <c r="S592" s="4"/>
      <c r="T592" s="4"/>
      <c r="U592" s="4"/>
      <c r="V592" s="4"/>
      <c r="W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25"/>
      <c r="O593" s="4"/>
      <c r="P593" s="4"/>
      <c r="Q593" s="4"/>
      <c r="R593" s="4"/>
      <c r="S593" s="4"/>
      <c r="T593" s="4"/>
      <c r="U593" s="4"/>
      <c r="V593" s="4"/>
      <c r="W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25"/>
      <c r="O594" s="4"/>
      <c r="P594" s="4"/>
      <c r="Q594" s="4"/>
      <c r="R594" s="4"/>
      <c r="S594" s="4"/>
      <c r="T594" s="4"/>
      <c r="U594" s="4"/>
      <c r="V594" s="4"/>
      <c r="W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25"/>
      <c r="O595" s="4"/>
      <c r="P595" s="4"/>
      <c r="Q595" s="4"/>
      <c r="R595" s="4"/>
      <c r="S595" s="4"/>
      <c r="T595" s="4"/>
      <c r="U595" s="4"/>
      <c r="V595" s="4"/>
      <c r="W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25"/>
      <c r="O596" s="4"/>
      <c r="P596" s="4"/>
      <c r="Q596" s="4"/>
      <c r="R596" s="4"/>
      <c r="S596" s="4"/>
      <c r="T596" s="4"/>
      <c r="U596" s="4"/>
      <c r="V596" s="4"/>
      <c r="W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25"/>
      <c r="O597" s="4"/>
      <c r="P597" s="4"/>
      <c r="Q597" s="4"/>
      <c r="R597" s="4"/>
      <c r="S597" s="4"/>
      <c r="T597" s="4"/>
      <c r="U597" s="4"/>
      <c r="V597" s="4"/>
      <c r="W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25"/>
      <c r="O598" s="4"/>
      <c r="P598" s="4"/>
      <c r="Q598" s="4"/>
      <c r="R598" s="4"/>
      <c r="S598" s="4"/>
      <c r="T598" s="4"/>
      <c r="U598" s="4"/>
      <c r="V598" s="4"/>
      <c r="W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25"/>
      <c r="O599" s="4"/>
      <c r="P599" s="4"/>
      <c r="Q599" s="4"/>
      <c r="R599" s="4"/>
      <c r="S599" s="4"/>
      <c r="T599" s="4"/>
      <c r="U599" s="4"/>
      <c r="V599" s="4"/>
      <c r="W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25"/>
      <c r="O600" s="4"/>
      <c r="P600" s="4"/>
      <c r="Q600" s="4"/>
      <c r="R600" s="4"/>
      <c r="S600" s="4"/>
      <c r="T600" s="4"/>
      <c r="U600" s="4"/>
      <c r="V600" s="4"/>
      <c r="W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25"/>
      <c r="O601" s="4"/>
      <c r="P601" s="4"/>
      <c r="Q601" s="4"/>
      <c r="R601" s="4"/>
      <c r="S601" s="4"/>
      <c r="T601" s="4"/>
      <c r="U601" s="4"/>
      <c r="V601" s="4"/>
      <c r="W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25"/>
      <c r="O602" s="4"/>
      <c r="P602" s="4"/>
      <c r="Q602" s="4"/>
      <c r="R602" s="4"/>
      <c r="S602" s="4"/>
      <c r="T602" s="4"/>
      <c r="U602" s="4"/>
      <c r="V602" s="4"/>
      <c r="W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25"/>
      <c r="O603" s="4"/>
      <c r="P603" s="4"/>
      <c r="Q603" s="4"/>
      <c r="R603" s="4"/>
      <c r="S603" s="4"/>
      <c r="T603" s="4"/>
      <c r="U603" s="4"/>
      <c r="V603" s="4"/>
      <c r="W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25"/>
      <c r="O604" s="4"/>
      <c r="P604" s="4"/>
      <c r="Q604" s="4"/>
      <c r="R604" s="4"/>
      <c r="S604" s="4"/>
      <c r="T604" s="4"/>
      <c r="U604" s="4"/>
      <c r="V604" s="4"/>
      <c r="W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25"/>
      <c r="O605" s="4"/>
      <c r="P605" s="4"/>
      <c r="Q605" s="4"/>
      <c r="R605" s="4"/>
      <c r="S605" s="4"/>
      <c r="T605" s="4"/>
      <c r="U605" s="4"/>
      <c r="V605" s="4"/>
      <c r="W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25"/>
      <c r="O606" s="4"/>
      <c r="P606" s="4"/>
      <c r="Q606" s="4"/>
      <c r="R606" s="4"/>
      <c r="S606" s="4"/>
      <c r="T606" s="4"/>
      <c r="U606" s="4"/>
      <c r="V606" s="4"/>
      <c r="W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25"/>
      <c r="O607" s="4"/>
      <c r="P607" s="4"/>
      <c r="Q607" s="4"/>
      <c r="R607" s="4"/>
      <c r="S607" s="4"/>
      <c r="T607" s="4"/>
      <c r="U607" s="4"/>
      <c r="V607" s="4"/>
      <c r="W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25"/>
      <c r="O608" s="4"/>
      <c r="P608" s="4"/>
      <c r="Q608" s="4"/>
      <c r="R608" s="4"/>
      <c r="S608" s="4"/>
      <c r="T608" s="4"/>
      <c r="U608" s="4"/>
      <c r="V608" s="4"/>
      <c r="W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25"/>
      <c r="O609" s="4"/>
      <c r="P609" s="4"/>
      <c r="Q609" s="4"/>
      <c r="R609" s="4"/>
      <c r="S609" s="4"/>
      <c r="T609" s="4"/>
      <c r="U609" s="4"/>
      <c r="V609" s="4"/>
      <c r="W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25"/>
      <c r="O610" s="4"/>
      <c r="P610" s="4"/>
      <c r="Q610" s="4"/>
      <c r="R610" s="4"/>
      <c r="S610" s="4"/>
      <c r="T610" s="4"/>
      <c r="U610" s="4"/>
      <c r="V610" s="4"/>
      <c r="W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25"/>
      <c r="O611" s="4"/>
      <c r="P611" s="4"/>
      <c r="Q611" s="4"/>
      <c r="R611" s="4"/>
      <c r="S611" s="4"/>
      <c r="T611" s="4"/>
      <c r="U611" s="4"/>
      <c r="V611" s="4"/>
      <c r="W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25"/>
      <c r="O612" s="4"/>
      <c r="P612" s="4"/>
      <c r="Q612" s="4"/>
      <c r="R612" s="4"/>
      <c r="S612" s="4"/>
      <c r="T612" s="4"/>
      <c r="U612" s="4"/>
      <c r="V612" s="4"/>
      <c r="W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25"/>
      <c r="O613" s="4"/>
      <c r="P613" s="4"/>
      <c r="Q613" s="4"/>
      <c r="R613" s="4"/>
      <c r="S613" s="4"/>
      <c r="T613" s="4"/>
      <c r="U613" s="4"/>
      <c r="V613" s="4"/>
      <c r="W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25"/>
      <c r="O614" s="4"/>
      <c r="P614" s="4"/>
      <c r="Q614" s="4"/>
      <c r="R614" s="4"/>
      <c r="S614" s="4"/>
      <c r="T614" s="4"/>
      <c r="U614" s="4"/>
      <c r="V614" s="4"/>
      <c r="W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25"/>
      <c r="O615" s="4"/>
      <c r="P615" s="4"/>
      <c r="Q615" s="4"/>
      <c r="R615" s="4"/>
      <c r="S615" s="4"/>
      <c r="T615" s="4"/>
      <c r="U615" s="4"/>
      <c r="V615" s="4"/>
      <c r="W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25"/>
      <c r="O616" s="4"/>
      <c r="P616" s="4"/>
      <c r="Q616" s="4"/>
      <c r="R616" s="4"/>
      <c r="S616" s="4"/>
      <c r="T616" s="4"/>
      <c r="U616" s="4"/>
      <c r="V616" s="4"/>
      <c r="W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25"/>
      <c r="O617" s="4"/>
      <c r="P617" s="4"/>
      <c r="Q617" s="4"/>
      <c r="R617" s="4"/>
      <c r="S617" s="4"/>
      <c r="T617" s="4"/>
      <c r="U617" s="4"/>
      <c r="V617" s="4"/>
      <c r="W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25"/>
      <c r="O618" s="4"/>
      <c r="P618" s="4"/>
      <c r="Q618" s="4"/>
      <c r="R618" s="4"/>
      <c r="S618" s="4"/>
      <c r="T618" s="4"/>
      <c r="U618" s="4"/>
      <c r="V618" s="4"/>
      <c r="W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25"/>
      <c r="O619" s="4"/>
      <c r="P619" s="4"/>
      <c r="Q619" s="4"/>
      <c r="R619" s="4"/>
      <c r="S619" s="4"/>
      <c r="T619" s="4"/>
      <c r="U619" s="4"/>
      <c r="V619" s="4"/>
      <c r="W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25"/>
      <c r="O620" s="4"/>
      <c r="P620" s="4"/>
      <c r="Q620" s="4"/>
      <c r="R620" s="4"/>
      <c r="S620" s="4"/>
      <c r="T620" s="4"/>
      <c r="U620" s="4"/>
      <c r="V620" s="4"/>
      <c r="W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25"/>
      <c r="O621" s="4"/>
      <c r="P621" s="4"/>
      <c r="Q621" s="4"/>
      <c r="R621" s="4"/>
      <c r="S621" s="4"/>
      <c r="T621" s="4"/>
      <c r="U621" s="4"/>
      <c r="V621" s="4"/>
      <c r="W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25"/>
      <c r="O622" s="4"/>
      <c r="P622" s="4"/>
      <c r="Q622" s="4"/>
      <c r="R622" s="4"/>
      <c r="S622" s="4"/>
      <c r="T622" s="4"/>
      <c r="U622" s="4"/>
      <c r="V622" s="4"/>
      <c r="W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25"/>
      <c r="O623" s="4"/>
      <c r="P623" s="4"/>
      <c r="Q623" s="4"/>
      <c r="R623" s="4"/>
      <c r="S623" s="4"/>
      <c r="T623" s="4"/>
      <c r="U623" s="4"/>
      <c r="V623" s="4"/>
      <c r="W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25"/>
      <c r="O624" s="4"/>
      <c r="P624" s="4"/>
      <c r="Q624" s="4"/>
      <c r="R624" s="4"/>
      <c r="S624" s="4"/>
      <c r="T624" s="4"/>
      <c r="U624" s="4"/>
      <c r="V624" s="4"/>
      <c r="W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25"/>
      <c r="O625" s="4"/>
      <c r="P625" s="4"/>
      <c r="Q625" s="4"/>
      <c r="R625" s="4"/>
      <c r="S625" s="4"/>
      <c r="T625" s="4"/>
      <c r="U625" s="4"/>
      <c r="V625" s="4"/>
      <c r="W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25"/>
      <c r="O626" s="4"/>
      <c r="P626" s="4"/>
      <c r="Q626" s="4"/>
      <c r="R626" s="4"/>
      <c r="S626" s="4"/>
      <c r="T626" s="4"/>
      <c r="U626" s="4"/>
      <c r="V626" s="4"/>
      <c r="W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25"/>
      <c r="O627" s="4"/>
      <c r="P627" s="4"/>
      <c r="Q627" s="4"/>
      <c r="R627" s="4"/>
      <c r="S627" s="4"/>
      <c r="T627" s="4"/>
      <c r="U627" s="4"/>
      <c r="V627" s="4"/>
      <c r="W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25"/>
      <c r="O628" s="4"/>
      <c r="P628" s="4"/>
      <c r="Q628" s="4"/>
      <c r="R628" s="4"/>
      <c r="S628" s="4"/>
      <c r="T628" s="4"/>
      <c r="U628" s="4"/>
      <c r="V628" s="4"/>
      <c r="W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25"/>
      <c r="O629" s="4"/>
      <c r="P629" s="4"/>
      <c r="Q629" s="4"/>
      <c r="R629" s="4"/>
      <c r="S629" s="4"/>
      <c r="T629" s="4"/>
      <c r="U629" s="4"/>
      <c r="V629" s="4"/>
      <c r="W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25"/>
      <c r="O630" s="4"/>
      <c r="P630" s="4"/>
      <c r="Q630" s="4"/>
      <c r="R630" s="4"/>
      <c r="S630" s="4"/>
      <c r="T630" s="4"/>
      <c r="U630" s="4"/>
      <c r="V630" s="4"/>
      <c r="W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25"/>
      <c r="O631" s="4"/>
      <c r="P631" s="4"/>
      <c r="Q631" s="4"/>
      <c r="R631" s="4"/>
      <c r="S631" s="4"/>
      <c r="T631" s="4"/>
      <c r="U631" s="4"/>
      <c r="V631" s="4"/>
      <c r="W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25"/>
      <c r="O632" s="4"/>
      <c r="P632" s="4"/>
      <c r="Q632" s="4"/>
      <c r="R632" s="4"/>
      <c r="S632" s="4"/>
      <c r="T632" s="4"/>
      <c r="U632" s="4"/>
      <c r="V632" s="4"/>
      <c r="W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25"/>
      <c r="O633" s="4"/>
      <c r="P633" s="4"/>
      <c r="Q633" s="4"/>
      <c r="R633" s="4"/>
      <c r="S633" s="4"/>
      <c r="T633" s="4"/>
      <c r="U633" s="4"/>
      <c r="V633" s="4"/>
      <c r="W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25"/>
      <c r="O634" s="4"/>
      <c r="P634" s="4"/>
      <c r="Q634" s="4"/>
      <c r="R634" s="4"/>
      <c r="S634" s="4"/>
      <c r="T634" s="4"/>
      <c r="U634" s="4"/>
      <c r="V634" s="4"/>
      <c r="W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25"/>
      <c r="O635" s="4"/>
      <c r="P635" s="4"/>
      <c r="Q635" s="4"/>
      <c r="R635" s="4"/>
      <c r="S635" s="4"/>
      <c r="T635" s="4"/>
      <c r="U635" s="4"/>
      <c r="V635" s="4"/>
      <c r="W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25"/>
      <c r="O636" s="4"/>
      <c r="P636" s="4"/>
      <c r="Q636" s="4"/>
      <c r="R636" s="4"/>
      <c r="S636" s="4"/>
      <c r="T636" s="4"/>
      <c r="U636" s="4"/>
      <c r="V636" s="4"/>
      <c r="W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25"/>
      <c r="O637" s="4"/>
      <c r="P637" s="4"/>
      <c r="Q637" s="4"/>
      <c r="R637" s="4"/>
      <c r="S637" s="4"/>
      <c r="T637" s="4"/>
      <c r="U637" s="4"/>
      <c r="V637" s="4"/>
      <c r="W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25"/>
      <c r="O638" s="4"/>
      <c r="P638" s="4"/>
      <c r="Q638" s="4"/>
      <c r="R638" s="4"/>
      <c r="S638" s="4"/>
      <c r="T638" s="4"/>
      <c r="U638" s="4"/>
      <c r="V638" s="4"/>
      <c r="W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25"/>
      <c r="O639" s="4"/>
      <c r="P639" s="4"/>
      <c r="Q639" s="4"/>
      <c r="R639" s="4"/>
      <c r="S639" s="4"/>
      <c r="T639" s="4"/>
      <c r="U639" s="4"/>
      <c r="V639" s="4"/>
      <c r="W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25"/>
      <c r="O640" s="4"/>
      <c r="P640" s="4"/>
      <c r="Q640" s="4"/>
      <c r="R640" s="4"/>
      <c r="S640" s="4"/>
      <c r="T640" s="4"/>
      <c r="U640" s="4"/>
      <c r="V640" s="4"/>
      <c r="W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25"/>
      <c r="O641" s="4"/>
      <c r="P641" s="4"/>
      <c r="Q641" s="4"/>
      <c r="R641" s="4"/>
      <c r="S641" s="4"/>
      <c r="T641" s="4"/>
      <c r="U641" s="4"/>
      <c r="V641" s="4"/>
      <c r="W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25"/>
      <c r="O642" s="4"/>
      <c r="P642" s="4"/>
      <c r="Q642" s="4"/>
      <c r="R642" s="4"/>
      <c r="S642" s="4"/>
      <c r="T642" s="4"/>
      <c r="U642" s="4"/>
      <c r="V642" s="4"/>
      <c r="W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25"/>
      <c r="O643" s="4"/>
      <c r="P643" s="4"/>
      <c r="Q643" s="4"/>
      <c r="R643" s="4"/>
      <c r="S643" s="4"/>
      <c r="T643" s="4"/>
      <c r="U643" s="4"/>
      <c r="V643" s="4"/>
      <c r="W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25"/>
      <c r="O644" s="4"/>
      <c r="P644" s="4"/>
      <c r="Q644" s="4"/>
      <c r="R644" s="4"/>
      <c r="S644" s="4"/>
      <c r="T644" s="4"/>
      <c r="U644" s="4"/>
      <c r="V644" s="4"/>
      <c r="W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25"/>
      <c r="O645" s="4"/>
      <c r="P645" s="4"/>
      <c r="Q645" s="4"/>
      <c r="R645" s="4"/>
      <c r="S645" s="4"/>
      <c r="T645" s="4"/>
      <c r="U645" s="4"/>
      <c r="V645" s="4"/>
      <c r="W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25"/>
      <c r="O646" s="4"/>
      <c r="P646" s="4"/>
      <c r="Q646" s="4"/>
      <c r="R646" s="4"/>
      <c r="S646" s="4"/>
      <c r="T646" s="4"/>
      <c r="U646" s="4"/>
      <c r="V646" s="4"/>
      <c r="W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25"/>
      <c r="O647" s="4"/>
      <c r="P647" s="4"/>
      <c r="Q647" s="4"/>
      <c r="R647" s="4"/>
      <c r="S647" s="4"/>
      <c r="T647" s="4"/>
      <c r="U647" s="4"/>
      <c r="V647" s="4"/>
      <c r="W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25"/>
      <c r="O648" s="4"/>
      <c r="P648" s="4"/>
      <c r="Q648" s="4"/>
      <c r="R648" s="4"/>
      <c r="S648" s="4"/>
      <c r="T648" s="4"/>
      <c r="U648" s="4"/>
      <c r="V648" s="4"/>
      <c r="W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25"/>
      <c r="O649" s="4"/>
      <c r="P649" s="4"/>
      <c r="Q649" s="4"/>
      <c r="R649" s="4"/>
      <c r="S649" s="4"/>
      <c r="T649" s="4"/>
      <c r="U649" s="4"/>
      <c r="V649" s="4"/>
      <c r="W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25"/>
      <c r="O650" s="4"/>
      <c r="P650" s="4"/>
      <c r="Q650" s="4"/>
      <c r="R650" s="4"/>
      <c r="S650" s="4"/>
      <c r="T650" s="4"/>
      <c r="U650" s="4"/>
      <c r="V650" s="4"/>
      <c r="W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25"/>
      <c r="O651" s="4"/>
      <c r="P651" s="4"/>
      <c r="Q651" s="4"/>
      <c r="R651" s="4"/>
      <c r="S651" s="4"/>
      <c r="T651" s="4"/>
      <c r="U651" s="4"/>
      <c r="V651" s="4"/>
      <c r="W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25"/>
      <c r="O652" s="4"/>
      <c r="P652" s="4"/>
      <c r="Q652" s="4"/>
      <c r="R652" s="4"/>
      <c r="S652" s="4"/>
      <c r="T652" s="4"/>
      <c r="U652" s="4"/>
      <c r="V652" s="4"/>
      <c r="W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25"/>
      <c r="O653" s="4"/>
      <c r="P653" s="4"/>
      <c r="Q653" s="4"/>
      <c r="R653" s="4"/>
      <c r="S653" s="4"/>
      <c r="T653" s="4"/>
      <c r="U653" s="4"/>
      <c r="V653" s="4"/>
      <c r="W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25"/>
      <c r="O654" s="4"/>
      <c r="P654" s="4"/>
      <c r="Q654" s="4"/>
      <c r="R654" s="4"/>
      <c r="S654" s="4"/>
      <c r="T654" s="4"/>
      <c r="U654" s="4"/>
      <c r="V654" s="4"/>
      <c r="W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25"/>
      <c r="O655" s="4"/>
      <c r="P655" s="4"/>
      <c r="Q655" s="4"/>
      <c r="R655" s="4"/>
      <c r="S655" s="4"/>
      <c r="T655" s="4"/>
      <c r="U655" s="4"/>
      <c r="V655" s="4"/>
      <c r="W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25"/>
      <c r="O656" s="4"/>
      <c r="P656" s="4"/>
      <c r="Q656" s="4"/>
      <c r="R656" s="4"/>
      <c r="S656" s="4"/>
      <c r="T656" s="4"/>
      <c r="U656" s="4"/>
      <c r="V656" s="4"/>
      <c r="W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25"/>
      <c r="O657" s="4"/>
      <c r="P657" s="4"/>
      <c r="Q657" s="4"/>
      <c r="R657" s="4"/>
      <c r="S657" s="4"/>
      <c r="T657" s="4"/>
      <c r="U657" s="4"/>
      <c r="V657" s="4"/>
      <c r="W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25"/>
      <c r="O658" s="4"/>
      <c r="P658" s="4"/>
      <c r="Q658" s="4"/>
      <c r="R658" s="4"/>
      <c r="S658" s="4"/>
      <c r="T658" s="4"/>
      <c r="U658" s="4"/>
      <c r="V658" s="4"/>
      <c r="W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25"/>
      <c r="O659" s="4"/>
      <c r="P659" s="4"/>
      <c r="Q659" s="4"/>
      <c r="R659" s="4"/>
      <c r="S659" s="4"/>
      <c r="T659" s="4"/>
      <c r="U659" s="4"/>
      <c r="V659" s="4"/>
      <c r="W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25"/>
      <c r="O660" s="4"/>
      <c r="P660" s="4"/>
      <c r="Q660" s="4"/>
      <c r="R660" s="4"/>
      <c r="S660" s="4"/>
      <c r="T660" s="4"/>
      <c r="U660" s="4"/>
      <c r="V660" s="4"/>
      <c r="W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25"/>
      <c r="O661" s="4"/>
      <c r="P661" s="4"/>
      <c r="Q661" s="4"/>
      <c r="R661" s="4"/>
      <c r="S661" s="4"/>
      <c r="T661" s="4"/>
      <c r="U661" s="4"/>
      <c r="V661" s="4"/>
      <c r="W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25"/>
      <c r="O662" s="4"/>
      <c r="P662" s="4"/>
      <c r="Q662" s="4"/>
      <c r="R662" s="4"/>
      <c r="S662" s="4"/>
      <c r="T662" s="4"/>
      <c r="U662" s="4"/>
      <c r="V662" s="4"/>
      <c r="W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25"/>
      <c r="O663" s="4"/>
      <c r="P663" s="4"/>
      <c r="Q663" s="4"/>
      <c r="R663" s="4"/>
      <c r="S663" s="4"/>
      <c r="T663" s="4"/>
      <c r="U663" s="4"/>
      <c r="V663" s="4"/>
      <c r="W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25"/>
      <c r="O664" s="4"/>
      <c r="P664" s="4"/>
      <c r="Q664" s="4"/>
      <c r="R664" s="4"/>
      <c r="S664" s="4"/>
      <c r="T664" s="4"/>
      <c r="U664" s="4"/>
      <c r="V664" s="4"/>
      <c r="W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25"/>
      <c r="O665" s="4"/>
      <c r="P665" s="4"/>
      <c r="Q665" s="4"/>
      <c r="R665" s="4"/>
      <c r="S665" s="4"/>
      <c r="T665" s="4"/>
      <c r="U665" s="4"/>
      <c r="V665" s="4"/>
      <c r="W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25"/>
      <c r="O666" s="4"/>
      <c r="P666" s="4"/>
      <c r="Q666" s="4"/>
      <c r="R666" s="4"/>
      <c r="S666" s="4"/>
      <c r="T666" s="4"/>
      <c r="U666" s="4"/>
      <c r="V666" s="4"/>
      <c r="W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25"/>
      <c r="O667" s="4"/>
      <c r="P667" s="4"/>
      <c r="Q667" s="4"/>
      <c r="R667" s="4"/>
      <c r="S667" s="4"/>
      <c r="T667" s="4"/>
      <c r="U667" s="4"/>
      <c r="V667" s="4"/>
      <c r="W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25"/>
      <c r="O668" s="4"/>
      <c r="P668" s="4"/>
      <c r="Q668" s="4"/>
      <c r="R668" s="4"/>
      <c r="S668" s="4"/>
      <c r="T668" s="4"/>
      <c r="U668" s="4"/>
      <c r="V668" s="4"/>
      <c r="W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25"/>
      <c r="O669" s="4"/>
      <c r="P669" s="4"/>
      <c r="Q669" s="4"/>
      <c r="R669" s="4"/>
      <c r="S669" s="4"/>
      <c r="T669" s="4"/>
      <c r="U669" s="4"/>
      <c r="V669" s="4"/>
      <c r="W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25"/>
      <c r="O670" s="4"/>
      <c r="P670" s="4"/>
      <c r="Q670" s="4"/>
      <c r="R670" s="4"/>
      <c r="S670" s="4"/>
      <c r="T670" s="4"/>
      <c r="U670" s="4"/>
      <c r="V670" s="4"/>
      <c r="W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25"/>
      <c r="O671" s="4"/>
      <c r="P671" s="4"/>
      <c r="Q671" s="4"/>
      <c r="R671" s="4"/>
      <c r="S671" s="4"/>
      <c r="T671" s="4"/>
      <c r="U671" s="4"/>
      <c r="V671" s="4"/>
      <c r="W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25"/>
      <c r="O672" s="4"/>
      <c r="P672" s="4"/>
      <c r="Q672" s="4"/>
      <c r="R672" s="4"/>
      <c r="S672" s="4"/>
      <c r="T672" s="4"/>
      <c r="U672" s="4"/>
      <c r="V672" s="4"/>
      <c r="W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25"/>
      <c r="O673" s="4"/>
      <c r="P673" s="4"/>
      <c r="Q673" s="4"/>
      <c r="R673" s="4"/>
      <c r="S673" s="4"/>
      <c r="T673" s="4"/>
      <c r="U673" s="4"/>
      <c r="V673" s="4"/>
      <c r="W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25"/>
      <c r="O674" s="4"/>
      <c r="P674" s="4"/>
      <c r="Q674" s="4"/>
      <c r="R674" s="4"/>
      <c r="S674" s="4"/>
      <c r="T674" s="4"/>
      <c r="U674" s="4"/>
      <c r="V674" s="4"/>
      <c r="W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25"/>
      <c r="O675" s="4"/>
      <c r="P675" s="4"/>
      <c r="Q675" s="4"/>
      <c r="R675" s="4"/>
      <c r="S675" s="4"/>
      <c r="T675" s="4"/>
      <c r="U675" s="4"/>
      <c r="V675" s="4"/>
      <c r="W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25"/>
      <c r="O676" s="4"/>
      <c r="P676" s="4"/>
      <c r="Q676" s="4"/>
      <c r="R676" s="4"/>
      <c r="S676" s="4"/>
      <c r="T676" s="4"/>
      <c r="U676" s="4"/>
      <c r="V676" s="4"/>
      <c r="W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25"/>
      <c r="O677" s="4"/>
      <c r="P677" s="4"/>
      <c r="Q677" s="4"/>
      <c r="R677" s="4"/>
      <c r="S677" s="4"/>
      <c r="T677" s="4"/>
      <c r="U677" s="4"/>
      <c r="V677" s="4"/>
      <c r="W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25"/>
      <c r="O678" s="4"/>
      <c r="P678" s="4"/>
      <c r="Q678" s="4"/>
      <c r="R678" s="4"/>
      <c r="S678" s="4"/>
      <c r="T678" s="4"/>
      <c r="U678" s="4"/>
      <c r="V678" s="4"/>
      <c r="W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25"/>
      <c r="O679" s="4"/>
      <c r="P679" s="4"/>
      <c r="Q679" s="4"/>
      <c r="R679" s="4"/>
      <c r="S679" s="4"/>
      <c r="T679" s="4"/>
      <c r="U679" s="4"/>
      <c r="V679" s="4"/>
      <c r="W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25"/>
      <c r="O680" s="4"/>
      <c r="P680" s="4"/>
      <c r="Q680" s="4"/>
      <c r="R680" s="4"/>
      <c r="S680" s="4"/>
      <c r="T680" s="4"/>
      <c r="U680" s="4"/>
      <c r="V680" s="4"/>
      <c r="W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25"/>
      <c r="O681" s="4"/>
      <c r="P681" s="4"/>
      <c r="Q681" s="4"/>
      <c r="R681" s="4"/>
      <c r="S681" s="4"/>
      <c r="T681" s="4"/>
      <c r="U681" s="4"/>
      <c r="V681" s="4"/>
      <c r="W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25"/>
      <c r="O682" s="4"/>
      <c r="P682" s="4"/>
      <c r="Q682" s="4"/>
      <c r="R682" s="4"/>
      <c r="S682" s="4"/>
      <c r="T682" s="4"/>
      <c r="U682" s="4"/>
      <c r="V682" s="4"/>
      <c r="W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25"/>
      <c r="O683" s="4"/>
      <c r="P683" s="4"/>
      <c r="Q683" s="4"/>
      <c r="R683" s="4"/>
      <c r="S683" s="4"/>
      <c r="T683" s="4"/>
      <c r="U683" s="4"/>
      <c r="V683" s="4"/>
      <c r="W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25"/>
      <c r="O684" s="4"/>
      <c r="P684" s="4"/>
      <c r="Q684" s="4"/>
      <c r="R684" s="4"/>
      <c r="S684" s="4"/>
      <c r="T684" s="4"/>
      <c r="U684" s="4"/>
      <c r="V684" s="4"/>
      <c r="W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25"/>
      <c r="O685" s="4"/>
      <c r="P685" s="4"/>
      <c r="Q685" s="4"/>
      <c r="R685" s="4"/>
      <c r="S685" s="4"/>
      <c r="T685" s="4"/>
      <c r="U685" s="4"/>
      <c r="V685" s="4"/>
      <c r="W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25"/>
      <c r="O686" s="4"/>
      <c r="P686" s="4"/>
      <c r="Q686" s="4"/>
      <c r="R686" s="4"/>
      <c r="S686" s="4"/>
      <c r="T686" s="4"/>
      <c r="U686" s="4"/>
      <c r="V686" s="4"/>
      <c r="W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25"/>
      <c r="O687" s="4"/>
      <c r="P687" s="4"/>
      <c r="Q687" s="4"/>
      <c r="R687" s="4"/>
      <c r="S687" s="4"/>
      <c r="T687" s="4"/>
      <c r="U687" s="4"/>
      <c r="V687" s="4"/>
      <c r="W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25"/>
      <c r="O688" s="4"/>
      <c r="P688" s="4"/>
      <c r="Q688" s="4"/>
      <c r="R688" s="4"/>
      <c r="S688" s="4"/>
      <c r="T688" s="4"/>
      <c r="U688" s="4"/>
      <c r="V688" s="4"/>
      <c r="W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25"/>
      <c r="O689" s="4"/>
      <c r="P689" s="4"/>
      <c r="Q689" s="4"/>
      <c r="R689" s="4"/>
      <c r="S689" s="4"/>
      <c r="T689" s="4"/>
      <c r="U689" s="4"/>
      <c r="V689" s="4"/>
      <c r="W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25"/>
      <c r="O690" s="4"/>
      <c r="P690" s="4"/>
      <c r="Q690" s="4"/>
      <c r="R690" s="4"/>
      <c r="S690" s="4"/>
      <c r="T690" s="4"/>
      <c r="U690" s="4"/>
      <c r="V690" s="4"/>
      <c r="W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25"/>
      <c r="O691" s="4"/>
      <c r="P691" s="4"/>
      <c r="Q691" s="4"/>
      <c r="R691" s="4"/>
      <c r="S691" s="4"/>
      <c r="T691" s="4"/>
      <c r="U691" s="4"/>
      <c r="V691" s="4"/>
      <c r="W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25"/>
      <c r="O692" s="4"/>
      <c r="P692" s="4"/>
      <c r="Q692" s="4"/>
      <c r="R692" s="4"/>
      <c r="S692" s="4"/>
      <c r="T692" s="4"/>
      <c r="U692" s="4"/>
      <c r="V692" s="4"/>
      <c r="W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25"/>
      <c r="O693" s="4"/>
      <c r="P693" s="4"/>
      <c r="Q693" s="4"/>
      <c r="R693" s="4"/>
      <c r="S693" s="4"/>
      <c r="T693" s="4"/>
      <c r="U693" s="4"/>
      <c r="V693" s="4"/>
      <c r="W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25"/>
      <c r="O694" s="4"/>
      <c r="P694" s="4"/>
      <c r="Q694" s="4"/>
      <c r="R694" s="4"/>
      <c r="S694" s="4"/>
      <c r="T694" s="4"/>
      <c r="U694" s="4"/>
      <c r="V694" s="4"/>
      <c r="W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25"/>
      <c r="O695" s="4"/>
      <c r="P695" s="4"/>
      <c r="Q695" s="4"/>
      <c r="R695" s="4"/>
      <c r="S695" s="4"/>
      <c r="T695" s="4"/>
      <c r="U695" s="4"/>
      <c r="V695" s="4"/>
      <c r="W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25"/>
      <c r="O696" s="4"/>
      <c r="P696" s="4"/>
      <c r="Q696" s="4"/>
      <c r="R696" s="4"/>
      <c r="S696" s="4"/>
      <c r="T696" s="4"/>
      <c r="U696" s="4"/>
      <c r="V696" s="4"/>
      <c r="W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25"/>
      <c r="O697" s="4"/>
      <c r="P697" s="4"/>
      <c r="Q697" s="4"/>
      <c r="R697" s="4"/>
      <c r="S697" s="4"/>
      <c r="T697" s="4"/>
      <c r="U697" s="4"/>
      <c r="V697" s="4"/>
      <c r="W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25"/>
      <c r="O698" s="4"/>
      <c r="P698" s="4"/>
      <c r="Q698" s="4"/>
      <c r="R698" s="4"/>
      <c r="S698" s="4"/>
      <c r="T698" s="4"/>
      <c r="U698" s="4"/>
      <c r="V698" s="4"/>
      <c r="W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25"/>
      <c r="O699" s="4"/>
      <c r="P699" s="4"/>
      <c r="Q699" s="4"/>
      <c r="R699" s="4"/>
      <c r="S699" s="4"/>
      <c r="T699" s="4"/>
      <c r="U699" s="4"/>
      <c r="V699" s="4"/>
      <c r="W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25"/>
      <c r="O700" s="4"/>
      <c r="P700" s="4"/>
      <c r="Q700" s="4"/>
      <c r="R700" s="4"/>
      <c r="S700" s="4"/>
      <c r="T700" s="4"/>
      <c r="U700" s="4"/>
      <c r="V700" s="4"/>
      <c r="W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25"/>
      <c r="O701" s="4"/>
      <c r="P701" s="4"/>
      <c r="Q701" s="4"/>
      <c r="R701" s="4"/>
      <c r="S701" s="4"/>
      <c r="T701" s="4"/>
      <c r="U701" s="4"/>
      <c r="V701" s="4"/>
      <c r="W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25"/>
      <c r="O702" s="4"/>
      <c r="P702" s="4"/>
      <c r="Q702" s="4"/>
      <c r="R702" s="4"/>
      <c r="S702" s="4"/>
      <c r="T702" s="4"/>
      <c r="U702" s="4"/>
      <c r="V702" s="4"/>
      <c r="W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25"/>
      <c r="O703" s="4"/>
      <c r="P703" s="4"/>
      <c r="Q703" s="4"/>
      <c r="R703" s="4"/>
      <c r="S703" s="4"/>
      <c r="T703" s="4"/>
      <c r="U703" s="4"/>
      <c r="V703" s="4"/>
      <c r="W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25"/>
      <c r="O704" s="4"/>
      <c r="P704" s="4"/>
      <c r="Q704" s="4"/>
      <c r="R704" s="4"/>
      <c r="S704" s="4"/>
      <c r="T704" s="4"/>
      <c r="U704" s="4"/>
      <c r="V704" s="4"/>
      <c r="W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25"/>
      <c r="O705" s="4"/>
      <c r="P705" s="4"/>
      <c r="Q705" s="4"/>
      <c r="R705" s="4"/>
      <c r="S705" s="4"/>
      <c r="T705" s="4"/>
      <c r="U705" s="4"/>
      <c r="V705" s="4"/>
      <c r="W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25"/>
      <c r="O706" s="4"/>
      <c r="P706" s="4"/>
      <c r="Q706" s="4"/>
      <c r="R706" s="4"/>
      <c r="S706" s="4"/>
      <c r="T706" s="4"/>
      <c r="U706" s="4"/>
      <c r="V706" s="4"/>
      <c r="W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25"/>
      <c r="O707" s="4"/>
      <c r="P707" s="4"/>
      <c r="Q707" s="4"/>
      <c r="R707" s="4"/>
      <c r="S707" s="4"/>
      <c r="T707" s="4"/>
      <c r="U707" s="4"/>
      <c r="V707" s="4"/>
      <c r="W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25"/>
      <c r="O708" s="4"/>
      <c r="P708" s="4"/>
      <c r="Q708" s="4"/>
      <c r="R708" s="4"/>
      <c r="S708" s="4"/>
      <c r="T708" s="4"/>
      <c r="U708" s="4"/>
      <c r="V708" s="4"/>
      <c r="W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25"/>
      <c r="O709" s="4"/>
      <c r="P709" s="4"/>
      <c r="Q709" s="4"/>
      <c r="R709" s="4"/>
      <c r="S709" s="4"/>
      <c r="T709" s="4"/>
      <c r="U709" s="4"/>
      <c r="V709" s="4"/>
      <c r="W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25"/>
      <c r="O710" s="4"/>
      <c r="P710" s="4"/>
      <c r="Q710" s="4"/>
      <c r="R710" s="4"/>
      <c r="S710" s="4"/>
      <c r="T710" s="4"/>
      <c r="U710" s="4"/>
      <c r="V710" s="4"/>
      <c r="W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25"/>
      <c r="O711" s="4"/>
      <c r="P711" s="4"/>
      <c r="Q711" s="4"/>
      <c r="R711" s="4"/>
      <c r="S711" s="4"/>
      <c r="T711" s="4"/>
      <c r="U711" s="4"/>
      <c r="V711" s="4"/>
      <c r="W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25"/>
      <c r="O712" s="4"/>
      <c r="P712" s="4"/>
      <c r="Q712" s="4"/>
      <c r="R712" s="4"/>
      <c r="S712" s="4"/>
      <c r="T712" s="4"/>
      <c r="U712" s="4"/>
      <c r="V712" s="4"/>
      <c r="W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25"/>
      <c r="O713" s="4"/>
      <c r="P713" s="4"/>
      <c r="Q713" s="4"/>
      <c r="R713" s="4"/>
      <c r="S713" s="4"/>
      <c r="T713" s="4"/>
      <c r="U713" s="4"/>
      <c r="V713" s="4"/>
      <c r="W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25"/>
      <c r="O714" s="4"/>
      <c r="P714" s="4"/>
      <c r="Q714" s="4"/>
      <c r="R714" s="4"/>
      <c r="S714" s="4"/>
      <c r="T714" s="4"/>
      <c r="U714" s="4"/>
      <c r="V714" s="4"/>
      <c r="W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25"/>
      <c r="O715" s="4"/>
      <c r="P715" s="4"/>
      <c r="Q715" s="4"/>
      <c r="R715" s="4"/>
      <c r="S715" s="4"/>
      <c r="T715" s="4"/>
      <c r="U715" s="4"/>
      <c r="V715" s="4"/>
      <c r="W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25"/>
      <c r="O716" s="4"/>
      <c r="P716" s="4"/>
      <c r="Q716" s="4"/>
      <c r="R716" s="4"/>
      <c r="S716" s="4"/>
      <c r="T716" s="4"/>
      <c r="U716" s="4"/>
      <c r="V716" s="4"/>
      <c r="W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25"/>
      <c r="O717" s="4"/>
      <c r="P717" s="4"/>
      <c r="Q717" s="4"/>
      <c r="R717" s="4"/>
      <c r="S717" s="4"/>
      <c r="T717" s="4"/>
      <c r="U717" s="4"/>
      <c r="V717" s="4"/>
      <c r="W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25"/>
      <c r="O718" s="4"/>
      <c r="P718" s="4"/>
      <c r="Q718" s="4"/>
      <c r="R718" s="4"/>
      <c r="S718" s="4"/>
      <c r="T718" s="4"/>
      <c r="U718" s="4"/>
      <c r="V718" s="4"/>
      <c r="W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25"/>
      <c r="O719" s="4"/>
      <c r="P719" s="4"/>
      <c r="Q719" s="4"/>
      <c r="R719" s="4"/>
      <c r="S719" s="4"/>
      <c r="T719" s="4"/>
      <c r="U719" s="4"/>
      <c r="V719" s="4"/>
      <c r="W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25"/>
      <c r="O720" s="4"/>
      <c r="P720" s="4"/>
      <c r="Q720" s="4"/>
      <c r="R720" s="4"/>
      <c r="S720" s="4"/>
      <c r="T720" s="4"/>
      <c r="U720" s="4"/>
      <c r="V720" s="4"/>
      <c r="W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25"/>
      <c r="O721" s="4"/>
      <c r="P721" s="4"/>
      <c r="Q721" s="4"/>
      <c r="R721" s="4"/>
      <c r="S721" s="4"/>
      <c r="T721" s="4"/>
      <c r="U721" s="4"/>
      <c r="V721" s="4"/>
      <c r="W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25"/>
      <c r="O722" s="4"/>
      <c r="P722" s="4"/>
      <c r="Q722" s="4"/>
      <c r="R722" s="4"/>
      <c r="S722" s="4"/>
      <c r="T722" s="4"/>
      <c r="U722" s="4"/>
      <c r="V722" s="4"/>
      <c r="W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25"/>
      <c r="O723" s="4"/>
      <c r="P723" s="4"/>
      <c r="Q723" s="4"/>
      <c r="R723" s="4"/>
      <c r="S723" s="4"/>
      <c r="T723" s="4"/>
      <c r="U723" s="4"/>
      <c r="V723" s="4"/>
      <c r="W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25"/>
      <c r="O724" s="4"/>
      <c r="P724" s="4"/>
      <c r="Q724" s="4"/>
      <c r="R724" s="4"/>
      <c r="S724" s="4"/>
      <c r="T724" s="4"/>
      <c r="U724" s="4"/>
      <c r="V724" s="4"/>
      <c r="W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25"/>
      <c r="O725" s="4"/>
      <c r="P725" s="4"/>
      <c r="Q725" s="4"/>
      <c r="R725" s="4"/>
      <c r="S725" s="4"/>
      <c r="T725" s="4"/>
      <c r="U725" s="4"/>
      <c r="V725" s="4"/>
      <c r="W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25"/>
      <c r="O726" s="4"/>
      <c r="P726" s="4"/>
      <c r="Q726" s="4"/>
      <c r="R726" s="4"/>
      <c r="S726" s="4"/>
      <c r="T726" s="4"/>
      <c r="U726" s="4"/>
      <c r="V726" s="4"/>
      <c r="W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25"/>
      <c r="O727" s="4"/>
      <c r="P727" s="4"/>
      <c r="Q727" s="4"/>
      <c r="R727" s="4"/>
      <c r="S727" s="4"/>
      <c r="T727" s="4"/>
      <c r="U727" s="4"/>
      <c r="V727" s="4"/>
      <c r="W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25"/>
      <c r="O728" s="4"/>
      <c r="P728" s="4"/>
      <c r="Q728" s="4"/>
      <c r="R728" s="4"/>
      <c r="S728" s="4"/>
      <c r="T728" s="4"/>
      <c r="U728" s="4"/>
      <c r="V728" s="4"/>
      <c r="W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25"/>
      <c r="O729" s="4"/>
      <c r="P729" s="4"/>
      <c r="Q729" s="4"/>
      <c r="R729" s="4"/>
      <c r="S729" s="4"/>
      <c r="T729" s="4"/>
      <c r="U729" s="4"/>
      <c r="V729" s="4"/>
      <c r="W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25"/>
      <c r="O730" s="4"/>
      <c r="P730" s="4"/>
      <c r="Q730" s="4"/>
      <c r="R730" s="4"/>
      <c r="S730" s="4"/>
      <c r="T730" s="4"/>
      <c r="U730" s="4"/>
      <c r="V730" s="4"/>
      <c r="W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25"/>
      <c r="O731" s="4"/>
      <c r="P731" s="4"/>
      <c r="Q731" s="4"/>
      <c r="R731" s="4"/>
      <c r="S731" s="4"/>
      <c r="T731" s="4"/>
      <c r="U731" s="4"/>
      <c r="V731" s="4"/>
      <c r="W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25"/>
      <c r="O732" s="4"/>
      <c r="P732" s="4"/>
      <c r="Q732" s="4"/>
      <c r="R732" s="4"/>
      <c r="S732" s="4"/>
      <c r="T732" s="4"/>
      <c r="U732" s="4"/>
      <c r="V732" s="4"/>
      <c r="W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25"/>
      <c r="O733" s="4"/>
      <c r="P733" s="4"/>
      <c r="Q733" s="4"/>
      <c r="R733" s="4"/>
      <c r="S733" s="4"/>
      <c r="T733" s="4"/>
      <c r="U733" s="4"/>
      <c r="V733" s="4"/>
      <c r="W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25"/>
      <c r="O734" s="4"/>
      <c r="P734" s="4"/>
      <c r="Q734" s="4"/>
      <c r="R734" s="4"/>
      <c r="S734" s="4"/>
      <c r="T734" s="4"/>
      <c r="U734" s="4"/>
      <c r="V734" s="4"/>
      <c r="W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25"/>
      <c r="O735" s="4"/>
      <c r="P735" s="4"/>
      <c r="Q735" s="4"/>
      <c r="R735" s="4"/>
      <c r="S735" s="4"/>
      <c r="T735" s="4"/>
      <c r="U735" s="4"/>
      <c r="V735" s="4"/>
      <c r="W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25"/>
      <c r="O736" s="4"/>
      <c r="P736" s="4"/>
      <c r="Q736" s="4"/>
      <c r="R736" s="4"/>
      <c r="S736" s="4"/>
      <c r="T736" s="4"/>
      <c r="U736" s="4"/>
      <c r="V736" s="4"/>
      <c r="W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25"/>
      <c r="O737" s="4"/>
      <c r="P737" s="4"/>
      <c r="Q737" s="4"/>
      <c r="R737" s="4"/>
      <c r="S737" s="4"/>
      <c r="T737" s="4"/>
      <c r="U737" s="4"/>
      <c r="V737" s="4"/>
      <c r="W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25"/>
      <c r="O738" s="4"/>
      <c r="P738" s="4"/>
      <c r="Q738" s="4"/>
      <c r="R738" s="4"/>
      <c r="S738" s="4"/>
      <c r="T738" s="4"/>
      <c r="U738" s="4"/>
      <c r="V738" s="4"/>
      <c r="W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25"/>
      <c r="O739" s="4"/>
      <c r="P739" s="4"/>
      <c r="Q739" s="4"/>
      <c r="R739" s="4"/>
      <c r="S739" s="4"/>
      <c r="T739" s="4"/>
      <c r="U739" s="4"/>
      <c r="V739" s="4"/>
      <c r="W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25"/>
      <c r="O740" s="4"/>
      <c r="P740" s="4"/>
      <c r="Q740" s="4"/>
      <c r="R740" s="4"/>
      <c r="S740" s="4"/>
      <c r="T740" s="4"/>
      <c r="U740" s="4"/>
      <c r="V740" s="4"/>
      <c r="W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25"/>
      <c r="O741" s="4"/>
      <c r="P741" s="4"/>
      <c r="Q741" s="4"/>
      <c r="R741" s="4"/>
      <c r="S741" s="4"/>
      <c r="T741" s="4"/>
      <c r="U741" s="4"/>
      <c r="V741" s="4"/>
      <c r="W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25"/>
      <c r="O742" s="4"/>
      <c r="P742" s="4"/>
      <c r="Q742" s="4"/>
      <c r="R742" s="4"/>
      <c r="S742" s="4"/>
      <c r="T742" s="4"/>
      <c r="U742" s="4"/>
      <c r="V742" s="4"/>
      <c r="W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25"/>
      <c r="O743" s="4"/>
      <c r="P743" s="4"/>
      <c r="Q743" s="4"/>
      <c r="R743" s="4"/>
      <c r="S743" s="4"/>
      <c r="T743" s="4"/>
      <c r="U743" s="4"/>
      <c r="V743" s="4"/>
      <c r="W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25"/>
      <c r="O744" s="4"/>
      <c r="P744" s="4"/>
      <c r="Q744" s="4"/>
      <c r="R744" s="4"/>
      <c r="S744" s="4"/>
      <c r="T744" s="4"/>
      <c r="U744" s="4"/>
      <c r="V744" s="4"/>
      <c r="W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25"/>
      <c r="O745" s="4"/>
      <c r="P745" s="4"/>
      <c r="Q745" s="4"/>
      <c r="R745" s="4"/>
      <c r="S745" s="4"/>
      <c r="T745" s="4"/>
      <c r="U745" s="4"/>
      <c r="V745" s="4"/>
      <c r="W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25"/>
      <c r="O746" s="4"/>
      <c r="P746" s="4"/>
      <c r="Q746" s="4"/>
      <c r="R746" s="4"/>
      <c r="S746" s="4"/>
      <c r="T746" s="4"/>
      <c r="U746" s="4"/>
      <c r="V746" s="4"/>
      <c r="W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25"/>
      <c r="O747" s="4"/>
      <c r="P747" s="4"/>
      <c r="Q747" s="4"/>
      <c r="R747" s="4"/>
      <c r="S747" s="4"/>
      <c r="T747" s="4"/>
      <c r="U747" s="4"/>
      <c r="V747" s="4"/>
      <c r="W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25"/>
      <c r="O748" s="4"/>
      <c r="P748" s="4"/>
      <c r="Q748" s="4"/>
      <c r="R748" s="4"/>
      <c r="S748" s="4"/>
      <c r="T748" s="4"/>
      <c r="U748" s="4"/>
      <c r="V748" s="4"/>
      <c r="W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25"/>
      <c r="O749" s="4"/>
      <c r="P749" s="4"/>
      <c r="Q749" s="4"/>
      <c r="R749" s="4"/>
      <c r="S749" s="4"/>
      <c r="T749" s="4"/>
      <c r="U749" s="4"/>
      <c r="V749" s="4"/>
      <c r="W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25"/>
      <c r="O750" s="4"/>
      <c r="P750" s="4"/>
      <c r="Q750" s="4"/>
      <c r="R750" s="4"/>
      <c r="S750" s="4"/>
      <c r="T750" s="4"/>
      <c r="U750" s="4"/>
      <c r="V750" s="4"/>
      <c r="W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25"/>
      <c r="O751" s="4"/>
      <c r="P751" s="4"/>
      <c r="Q751" s="4"/>
      <c r="R751" s="4"/>
      <c r="S751" s="4"/>
      <c r="T751" s="4"/>
      <c r="U751" s="4"/>
      <c r="V751" s="4"/>
      <c r="W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25"/>
      <c r="O752" s="4"/>
      <c r="P752" s="4"/>
      <c r="Q752" s="4"/>
      <c r="R752" s="4"/>
      <c r="S752" s="4"/>
      <c r="T752" s="4"/>
      <c r="U752" s="4"/>
      <c r="V752" s="4"/>
      <c r="W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25"/>
      <c r="O753" s="4"/>
      <c r="P753" s="4"/>
      <c r="Q753" s="4"/>
      <c r="R753" s="4"/>
      <c r="S753" s="4"/>
      <c r="T753" s="4"/>
      <c r="U753" s="4"/>
      <c r="V753" s="4"/>
      <c r="W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25"/>
      <c r="O754" s="4"/>
      <c r="P754" s="4"/>
      <c r="Q754" s="4"/>
      <c r="R754" s="4"/>
      <c r="S754" s="4"/>
      <c r="T754" s="4"/>
      <c r="U754" s="4"/>
      <c r="V754" s="4"/>
      <c r="W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25"/>
      <c r="O755" s="4"/>
      <c r="P755" s="4"/>
      <c r="Q755" s="4"/>
      <c r="R755" s="4"/>
      <c r="S755" s="4"/>
      <c r="T755" s="4"/>
      <c r="U755" s="4"/>
      <c r="V755" s="4"/>
      <c r="W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25"/>
      <c r="O756" s="4"/>
      <c r="P756" s="4"/>
      <c r="Q756" s="4"/>
      <c r="R756" s="4"/>
      <c r="S756" s="4"/>
      <c r="T756" s="4"/>
      <c r="U756" s="4"/>
      <c r="V756" s="4"/>
      <c r="W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25"/>
      <c r="O757" s="4"/>
      <c r="P757" s="4"/>
      <c r="Q757" s="4"/>
      <c r="R757" s="4"/>
      <c r="S757" s="4"/>
      <c r="T757" s="4"/>
      <c r="U757" s="4"/>
      <c r="V757" s="4"/>
      <c r="W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25"/>
      <c r="O758" s="4"/>
      <c r="P758" s="4"/>
      <c r="Q758" s="4"/>
      <c r="R758" s="4"/>
      <c r="S758" s="4"/>
      <c r="T758" s="4"/>
      <c r="U758" s="4"/>
      <c r="V758" s="4"/>
      <c r="W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25"/>
      <c r="O759" s="4"/>
      <c r="P759" s="4"/>
      <c r="Q759" s="4"/>
      <c r="R759" s="4"/>
      <c r="S759" s="4"/>
      <c r="T759" s="4"/>
      <c r="U759" s="4"/>
      <c r="V759" s="4"/>
      <c r="W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25"/>
      <c r="O760" s="4"/>
      <c r="P760" s="4"/>
      <c r="Q760" s="4"/>
      <c r="R760" s="4"/>
      <c r="S760" s="4"/>
      <c r="T760" s="4"/>
      <c r="U760" s="4"/>
      <c r="V760" s="4"/>
      <c r="W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25"/>
      <c r="O761" s="4"/>
      <c r="P761" s="4"/>
      <c r="Q761" s="4"/>
      <c r="R761" s="4"/>
      <c r="S761" s="4"/>
      <c r="T761" s="4"/>
      <c r="U761" s="4"/>
      <c r="V761" s="4"/>
      <c r="W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25"/>
      <c r="O762" s="4"/>
      <c r="P762" s="4"/>
      <c r="Q762" s="4"/>
      <c r="R762" s="4"/>
      <c r="S762" s="4"/>
      <c r="T762" s="4"/>
      <c r="U762" s="4"/>
      <c r="V762" s="4"/>
      <c r="W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25"/>
      <c r="O763" s="4"/>
      <c r="P763" s="4"/>
      <c r="Q763" s="4"/>
      <c r="R763" s="4"/>
      <c r="S763" s="4"/>
      <c r="T763" s="4"/>
      <c r="U763" s="4"/>
      <c r="V763" s="4"/>
      <c r="W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25"/>
      <c r="O764" s="4"/>
      <c r="P764" s="4"/>
      <c r="Q764" s="4"/>
      <c r="R764" s="4"/>
      <c r="S764" s="4"/>
      <c r="T764" s="4"/>
      <c r="U764" s="4"/>
      <c r="V764" s="4"/>
      <c r="W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25"/>
      <c r="O765" s="4"/>
      <c r="P765" s="4"/>
      <c r="Q765" s="4"/>
      <c r="R765" s="4"/>
      <c r="S765" s="4"/>
      <c r="T765" s="4"/>
      <c r="U765" s="4"/>
      <c r="V765" s="4"/>
      <c r="W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25"/>
      <c r="O766" s="4"/>
      <c r="P766" s="4"/>
      <c r="Q766" s="4"/>
      <c r="R766" s="4"/>
      <c r="S766" s="4"/>
      <c r="T766" s="4"/>
      <c r="U766" s="4"/>
      <c r="V766" s="4"/>
      <c r="W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25"/>
      <c r="O767" s="4"/>
      <c r="P767" s="4"/>
      <c r="Q767" s="4"/>
      <c r="R767" s="4"/>
      <c r="S767" s="4"/>
      <c r="T767" s="4"/>
      <c r="U767" s="4"/>
      <c r="V767" s="4"/>
      <c r="W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25"/>
      <c r="O768" s="4"/>
      <c r="P768" s="4"/>
      <c r="Q768" s="4"/>
      <c r="R768" s="4"/>
      <c r="S768" s="4"/>
      <c r="T768" s="4"/>
      <c r="U768" s="4"/>
      <c r="V768" s="4"/>
      <c r="W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25"/>
      <c r="O769" s="4"/>
      <c r="P769" s="4"/>
      <c r="Q769" s="4"/>
      <c r="R769" s="4"/>
      <c r="S769" s="4"/>
      <c r="T769" s="4"/>
      <c r="U769" s="4"/>
      <c r="V769" s="4"/>
      <c r="W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25"/>
      <c r="O770" s="4"/>
      <c r="P770" s="4"/>
      <c r="Q770" s="4"/>
      <c r="R770" s="4"/>
      <c r="S770" s="4"/>
      <c r="T770" s="4"/>
      <c r="U770" s="4"/>
      <c r="V770" s="4"/>
      <c r="W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25"/>
      <c r="O771" s="4"/>
      <c r="P771" s="4"/>
      <c r="Q771" s="4"/>
      <c r="R771" s="4"/>
      <c r="S771" s="4"/>
      <c r="T771" s="4"/>
      <c r="U771" s="4"/>
      <c r="V771" s="4"/>
      <c r="W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25"/>
      <c r="O772" s="4"/>
      <c r="P772" s="4"/>
      <c r="Q772" s="4"/>
      <c r="R772" s="4"/>
      <c r="S772" s="4"/>
      <c r="T772" s="4"/>
      <c r="U772" s="4"/>
      <c r="V772" s="4"/>
      <c r="W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25"/>
      <c r="O773" s="4"/>
      <c r="P773" s="4"/>
      <c r="Q773" s="4"/>
      <c r="R773" s="4"/>
      <c r="S773" s="4"/>
      <c r="T773" s="4"/>
      <c r="U773" s="4"/>
      <c r="V773" s="4"/>
      <c r="W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25"/>
      <c r="O774" s="4"/>
      <c r="P774" s="4"/>
      <c r="Q774" s="4"/>
      <c r="R774" s="4"/>
      <c r="S774" s="4"/>
      <c r="T774" s="4"/>
      <c r="U774" s="4"/>
      <c r="V774" s="4"/>
      <c r="W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25"/>
      <c r="O775" s="4"/>
      <c r="P775" s="4"/>
      <c r="Q775" s="4"/>
      <c r="R775" s="4"/>
      <c r="S775" s="4"/>
      <c r="T775" s="4"/>
      <c r="U775" s="4"/>
      <c r="V775" s="4"/>
      <c r="W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25"/>
      <c r="O776" s="4"/>
      <c r="P776" s="4"/>
      <c r="Q776" s="4"/>
      <c r="R776" s="4"/>
      <c r="S776" s="4"/>
      <c r="T776" s="4"/>
      <c r="U776" s="4"/>
      <c r="V776" s="4"/>
      <c r="W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25"/>
      <c r="O777" s="4"/>
      <c r="P777" s="4"/>
      <c r="Q777" s="4"/>
      <c r="R777" s="4"/>
      <c r="S777" s="4"/>
      <c r="T777" s="4"/>
      <c r="U777" s="4"/>
      <c r="V777" s="4"/>
      <c r="W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25"/>
      <c r="O778" s="4"/>
      <c r="P778" s="4"/>
      <c r="Q778" s="4"/>
      <c r="R778" s="4"/>
      <c r="S778" s="4"/>
      <c r="T778" s="4"/>
      <c r="U778" s="4"/>
      <c r="V778" s="4"/>
      <c r="W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25"/>
      <c r="O779" s="4"/>
      <c r="P779" s="4"/>
      <c r="Q779" s="4"/>
      <c r="R779" s="4"/>
      <c r="S779" s="4"/>
      <c r="T779" s="4"/>
      <c r="U779" s="4"/>
      <c r="V779" s="4"/>
      <c r="W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25"/>
      <c r="O780" s="4"/>
      <c r="P780" s="4"/>
      <c r="Q780" s="4"/>
      <c r="R780" s="4"/>
      <c r="S780" s="4"/>
      <c r="T780" s="4"/>
      <c r="U780" s="4"/>
      <c r="V780" s="4"/>
      <c r="W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25"/>
      <c r="O781" s="4"/>
      <c r="P781" s="4"/>
      <c r="Q781" s="4"/>
      <c r="R781" s="4"/>
      <c r="S781" s="4"/>
      <c r="T781" s="4"/>
      <c r="U781" s="4"/>
      <c r="V781" s="4"/>
      <c r="W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25"/>
      <c r="O782" s="4"/>
      <c r="P782" s="4"/>
      <c r="Q782" s="4"/>
      <c r="R782" s="4"/>
      <c r="S782" s="4"/>
      <c r="T782" s="4"/>
      <c r="U782" s="4"/>
      <c r="V782" s="4"/>
      <c r="W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25"/>
      <c r="O783" s="4"/>
      <c r="P783" s="4"/>
      <c r="Q783" s="4"/>
      <c r="R783" s="4"/>
      <c r="S783" s="4"/>
      <c r="T783" s="4"/>
      <c r="U783" s="4"/>
      <c r="V783" s="4"/>
      <c r="W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25"/>
      <c r="O784" s="4"/>
      <c r="P784" s="4"/>
      <c r="Q784" s="4"/>
      <c r="R784" s="4"/>
      <c r="S784" s="4"/>
      <c r="T784" s="4"/>
      <c r="U784" s="4"/>
      <c r="V784" s="4"/>
      <c r="W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25"/>
      <c r="O785" s="4"/>
      <c r="P785" s="4"/>
      <c r="Q785" s="4"/>
      <c r="R785" s="4"/>
      <c r="S785" s="4"/>
      <c r="T785" s="4"/>
      <c r="U785" s="4"/>
      <c r="V785" s="4"/>
      <c r="W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25"/>
      <c r="O786" s="4"/>
      <c r="P786" s="4"/>
      <c r="Q786" s="4"/>
      <c r="R786" s="4"/>
      <c r="S786" s="4"/>
      <c r="T786" s="4"/>
      <c r="U786" s="4"/>
      <c r="V786" s="4"/>
      <c r="W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25"/>
      <c r="O787" s="4"/>
      <c r="P787" s="4"/>
      <c r="Q787" s="4"/>
      <c r="R787" s="4"/>
      <c r="S787" s="4"/>
      <c r="T787" s="4"/>
      <c r="U787" s="4"/>
      <c r="V787" s="4"/>
      <c r="W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25"/>
      <c r="O788" s="4"/>
      <c r="P788" s="4"/>
      <c r="Q788" s="4"/>
      <c r="R788" s="4"/>
      <c r="S788" s="4"/>
      <c r="T788" s="4"/>
      <c r="U788" s="4"/>
      <c r="V788" s="4"/>
      <c r="W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25"/>
      <c r="O789" s="4"/>
      <c r="P789" s="4"/>
      <c r="Q789" s="4"/>
      <c r="R789" s="4"/>
      <c r="S789" s="4"/>
      <c r="T789" s="4"/>
      <c r="U789" s="4"/>
      <c r="V789" s="4"/>
      <c r="W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25"/>
      <c r="O790" s="4"/>
      <c r="P790" s="4"/>
      <c r="Q790" s="4"/>
      <c r="R790" s="4"/>
      <c r="S790" s="4"/>
      <c r="T790" s="4"/>
      <c r="U790" s="4"/>
      <c r="V790" s="4"/>
      <c r="W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25"/>
      <c r="O791" s="4"/>
      <c r="P791" s="4"/>
      <c r="Q791" s="4"/>
      <c r="R791" s="4"/>
      <c r="S791" s="4"/>
      <c r="T791" s="4"/>
      <c r="U791" s="4"/>
      <c r="V791" s="4"/>
      <c r="W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25"/>
      <c r="O792" s="4"/>
      <c r="P792" s="4"/>
      <c r="Q792" s="4"/>
      <c r="R792" s="4"/>
      <c r="S792" s="4"/>
      <c r="T792" s="4"/>
      <c r="U792" s="4"/>
      <c r="V792" s="4"/>
      <c r="W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25"/>
      <c r="O793" s="4"/>
      <c r="P793" s="4"/>
      <c r="Q793" s="4"/>
      <c r="R793" s="4"/>
      <c r="S793" s="4"/>
      <c r="T793" s="4"/>
      <c r="U793" s="4"/>
      <c r="V793" s="4"/>
      <c r="W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25"/>
      <c r="O794" s="4"/>
      <c r="P794" s="4"/>
      <c r="Q794" s="4"/>
      <c r="R794" s="4"/>
      <c r="S794" s="4"/>
      <c r="T794" s="4"/>
      <c r="U794" s="4"/>
      <c r="V794" s="4"/>
      <c r="W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25"/>
      <c r="O795" s="4"/>
      <c r="P795" s="4"/>
      <c r="Q795" s="4"/>
      <c r="R795" s="4"/>
      <c r="S795" s="4"/>
      <c r="T795" s="4"/>
      <c r="U795" s="4"/>
      <c r="V795" s="4"/>
      <c r="W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25"/>
      <c r="O796" s="4"/>
      <c r="P796" s="4"/>
      <c r="Q796" s="4"/>
      <c r="R796" s="4"/>
      <c r="S796" s="4"/>
      <c r="T796" s="4"/>
      <c r="U796" s="4"/>
      <c r="V796" s="4"/>
      <c r="W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25"/>
      <c r="O797" s="4"/>
      <c r="P797" s="4"/>
      <c r="Q797" s="4"/>
      <c r="R797" s="4"/>
      <c r="S797" s="4"/>
      <c r="T797" s="4"/>
      <c r="U797" s="4"/>
      <c r="V797" s="4"/>
      <c r="W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25"/>
      <c r="O798" s="4"/>
      <c r="P798" s="4"/>
      <c r="Q798" s="4"/>
      <c r="R798" s="4"/>
      <c r="S798" s="4"/>
      <c r="T798" s="4"/>
      <c r="U798" s="4"/>
      <c r="V798" s="4"/>
      <c r="W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25"/>
      <c r="O799" s="4"/>
      <c r="P799" s="4"/>
      <c r="Q799" s="4"/>
      <c r="R799" s="4"/>
      <c r="S799" s="4"/>
      <c r="T799" s="4"/>
      <c r="U799" s="4"/>
      <c r="V799" s="4"/>
      <c r="W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25"/>
      <c r="O800" s="4"/>
      <c r="P800" s="4"/>
      <c r="Q800" s="4"/>
      <c r="R800" s="4"/>
      <c r="S800" s="4"/>
      <c r="T800" s="4"/>
      <c r="U800" s="4"/>
      <c r="V800" s="4"/>
      <c r="W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25"/>
      <c r="O801" s="4"/>
      <c r="P801" s="4"/>
      <c r="Q801" s="4"/>
      <c r="R801" s="4"/>
      <c r="S801" s="4"/>
      <c r="T801" s="4"/>
      <c r="U801" s="4"/>
      <c r="V801" s="4"/>
      <c r="W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25"/>
      <c r="O802" s="4"/>
      <c r="P802" s="4"/>
      <c r="Q802" s="4"/>
      <c r="R802" s="4"/>
      <c r="S802" s="4"/>
      <c r="T802" s="4"/>
      <c r="U802" s="4"/>
      <c r="V802" s="4"/>
      <c r="W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25"/>
      <c r="O803" s="4"/>
      <c r="P803" s="4"/>
      <c r="Q803" s="4"/>
      <c r="R803" s="4"/>
      <c r="S803" s="4"/>
      <c r="T803" s="4"/>
      <c r="U803" s="4"/>
      <c r="V803" s="4"/>
      <c r="W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25"/>
      <c r="O804" s="4"/>
      <c r="P804" s="4"/>
      <c r="Q804" s="4"/>
      <c r="R804" s="4"/>
      <c r="S804" s="4"/>
      <c r="T804" s="4"/>
      <c r="U804" s="4"/>
      <c r="V804" s="4"/>
      <c r="W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25"/>
      <c r="O805" s="4"/>
      <c r="P805" s="4"/>
      <c r="Q805" s="4"/>
      <c r="R805" s="4"/>
      <c r="S805" s="4"/>
      <c r="T805" s="4"/>
      <c r="U805" s="4"/>
      <c r="V805" s="4"/>
      <c r="W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25"/>
      <c r="O806" s="4"/>
      <c r="P806" s="4"/>
      <c r="Q806" s="4"/>
      <c r="R806" s="4"/>
      <c r="S806" s="4"/>
      <c r="T806" s="4"/>
      <c r="U806" s="4"/>
      <c r="V806" s="4"/>
      <c r="W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25"/>
      <c r="O807" s="4"/>
      <c r="P807" s="4"/>
      <c r="Q807" s="4"/>
      <c r="R807" s="4"/>
      <c r="S807" s="4"/>
      <c r="T807" s="4"/>
      <c r="U807" s="4"/>
      <c r="V807" s="4"/>
      <c r="W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25"/>
      <c r="O808" s="4"/>
      <c r="P808" s="4"/>
      <c r="Q808" s="4"/>
      <c r="R808" s="4"/>
      <c r="S808" s="4"/>
      <c r="T808" s="4"/>
      <c r="U808" s="4"/>
      <c r="V808" s="4"/>
      <c r="W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25"/>
      <c r="O809" s="4"/>
      <c r="P809" s="4"/>
      <c r="Q809" s="4"/>
      <c r="R809" s="4"/>
      <c r="S809" s="4"/>
      <c r="T809" s="4"/>
      <c r="U809" s="4"/>
      <c r="V809" s="4"/>
      <c r="W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25"/>
      <c r="O810" s="4"/>
      <c r="P810" s="4"/>
      <c r="Q810" s="4"/>
      <c r="R810" s="4"/>
      <c r="S810" s="4"/>
      <c r="T810" s="4"/>
      <c r="U810" s="4"/>
      <c r="V810" s="4"/>
      <c r="W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25"/>
      <c r="O811" s="4"/>
      <c r="P811" s="4"/>
      <c r="Q811" s="4"/>
      <c r="R811" s="4"/>
      <c r="S811" s="4"/>
      <c r="T811" s="4"/>
      <c r="U811" s="4"/>
      <c r="V811" s="4"/>
      <c r="W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25"/>
      <c r="O812" s="4"/>
      <c r="P812" s="4"/>
      <c r="Q812" s="4"/>
      <c r="R812" s="4"/>
      <c r="S812" s="4"/>
      <c r="T812" s="4"/>
      <c r="U812" s="4"/>
      <c r="V812" s="4"/>
      <c r="W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25"/>
      <c r="O813" s="4"/>
      <c r="P813" s="4"/>
      <c r="Q813" s="4"/>
      <c r="R813" s="4"/>
      <c r="S813" s="4"/>
      <c r="T813" s="4"/>
      <c r="U813" s="4"/>
      <c r="V813" s="4"/>
      <c r="W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25"/>
      <c r="O814" s="4"/>
      <c r="P814" s="4"/>
      <c r="Q814" s="4"/>
      <c r="R814" s="4"/>
      <c r="S814" s="4"/>
      <c r="T814" s="4"/>
      <c r="U814" s="4"/>
      <c r="V814" s="4"/>
      <c r="W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25"/>
      <c r="O815" s="4"/>
      <c r="P815" s="4"/>
      <c r="Q815" s="4"/>
      <c r="R815" s="4"/>
      <c r="S815" s="4"/>
      <c r="T815" s="4"/>
      <c r="U815" s="4"/>
      <c r="V815" s="4"/>
      <c r="W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25"/>
      <c r="O816" s="4"/>
      <c r="P816" s="4"/>
      <c r="Q816" s="4"/>
      <c r="R816" s="4"/>
      <c r="S816" s="4"/>
      <c r="T816" s="4"/>
      <c r="U816" s="4"/>
      <c r="V816" s="4"/>
      <c r="W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25"/>
      <c r="O817" s="4"/>
      <c r="P817" s="4"/>
      <c r="Q817" s="4"/>
      <c r="R817" s="4"/>
      <c r="S817" s="4"/>
      <c r="T817" s="4"/>
      <c r="U817" s="4"/>
      <c r="V817" s="4"/>
      <c r="W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25"/>
      <c r="O818" s="4"/>
      <c r="P818" s="4"/>
      <c r="Q818" s="4"/>
      <c r="R818" s="4"/>
      <c r="S818" s="4"/>
      <c r="T818" s="4"/>
      <c r="U818" s="4"/>
      <c r="V818" s="4"/>
      <c r="W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25"/>
      <c r="O819" s="4"/>
      <c r="P819" s="4"/>
      <c r="Q819" s="4"/>
      <c r="R819" s="4"/>
      <c r="S819" s="4"/>
      <c r="T819" s="4"/>
      <c r="U819" s="4"/>
      <c r="V819" s="4"/>
      <c r="W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25"/>
      <c r="O820" s="4"/>
      <c r="P820" s="4"/>
      <c r="Q820" s="4"/>
      <c r="R820" s="4"/>
      <c r="S820" s="4"/>
      <c r="T820" s="4"/>
      <c r="U820" s="4"/>
      <c r="V820" s="4"/>
      <c r="W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25"/>
      <c r="O821" s="4"/>
      <c r="P821" s="4"/>
      <c r="Q821" s="4"/>
      <c r="R821" s="4"/>
      <c r="S821" s="4"/>
      <c r="T821" s="4"/>
      <c r="U821" s="4"/>
      <c r="V821" s="4"/>
      <c r="W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25"/>
      <c r="O822" s="4"/>
      <c r="P822" s="4"/>
      <c r="Q822" s="4"/>
      <c r="R822" s="4"/>
      <c r="S822" s="4"/>
      <c r="T822" s="4"/>
      <c r="U822" s="4"/>
      <c r="V822" s="4"/>
      <c r="W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25"/>
      <c r="O823" s="4"/>
      <c r="P823" s="4"/>
      <c r="Q823" s="4"/>
      <c r="R823" s="4"/>
      <c r="S823" s="4"/>
      <c r="T823" s="4"/>
      <c r="U823" s="4"/>
      <c r="V823" s="4"/>
      <c r="W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25"/>
      <c r="O824" s="4"/>
      <c r="P824" s="4"/>
      <c r="Q824" s="4"/>
      <c r="R824" s="4"/>
      <c r="S824" s="4"/>
      <c r="T824" s="4"/>
      <c r="U824" s="4"/>
      <c r="V824" s="4"/>
      <c r="W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25"/>
      <c r="O825" s="4"/>
      <c r="P825" s="4"/>
      <c r="Q825" s="4"/>
      <c r="R825" s="4"/>
      <c r="S825" s="4"/>
      <c r="T825" s="4"/>
      <c r="U825" s="4"/>
      <c r="V825" s="4"/>
      <c r="W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25"/>
      <c r="O826" s="4"/>
      <c r="P826" s="4"/>
      <c r="Q826" s="4"/>
      <c r="R826" s="4"/>
      <c r="S826" s="4"/>
      <c r="T826" s="4"/>
      <c r="U826" s="4"/>
      <c r="V826" s="4"/>
      <c r="W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25"/>
      <c r="O827" s="4"/>
      <c r="P827" s="4"/>
      <c r="Q827" s="4"/>
      <c r="R827" s="4"/>
      <c r="S827" s="4"/>
      <c r="T827" s="4"/>
      <c r="U827" s="4"/>
      <c r="V827" s="4"/>
      <c r="W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25"/>
      <c r="O828" s="4"/>
      <c r="P828" s="4"/>
      <c r="Q828" s="4"/>
      <c r="R828" s="4"/>
      <c r="S828" s="4"/>
      <c r="T828" s="4"/>
      <c r="U828" s="4"/>
      <c r="V828" s="4"/>
      <c r="W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25"/>
      <c r="O829" s="4"/>
      <c r="P829" s="4"/>
      <c r="Q829" s="4"/>
      <c r="R829" s="4"/>
      <c r="S829" s="4"/>
      <c r="T829" s="4"/>
      <c r="U829" s="4"/>
      <c r="V829" s="4"/>
      <c r="W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25"/>
      <c r="O830" s="4"/>
      <c r="P830" s="4"/>
      <c r="Q830" s="4"/>
      <c r="R830" s="4"/>
      <c r="S830" s="4"/>
      <c r="T830" s="4"/>
      <c r="U830" s="4"/>
      <c r="V830" s="4"/>
      <c r="W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25"/>
      <c r="O831" s="4"/>
      <c r="P831" s="4"/>
      <c r="Q831" s="4"/>
      <c r="R831" s="4"/>
      <c r="S831" s="4"/>
      <c r="T831" s="4"/>
      <c r="U831" s="4"/>
      <c r="V831" s="4"/>
      <c r="W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25"/>
      <c r="O832" s="4"/>
      <c r="P832" s="4"/>
      <c r="Q832" s="4"/>
      <c r="R832" s="4"/>
      <c r="S832" s="4"/>
      <c r="T832" s="4"/>
      <c r="U832" s="4"/>
      <c r="V832" s="4"/>
      <c r="W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25"/>
      <c r="O833" s="4"/>
      <c r="P833" s="4"/>
      <c r="Q833" s="4"/>
      <c r="R833" s="4"/>
      <c r="S833" s="4"/>
      <c r="T833" s="4"/>
      <c r="U833" s="4"/>
      <c r="V833" s="4"/>
      <c r="W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25"/>
      <c r="O834" s="4"/>
      <c r="P834" s="4"/>
      <c r="Q834" s="4"/>
      <c r="R834" s="4"/>
      <c r="S834" s="4"/>
      <c r="T834" s="4"/>
      <c r="U834" s="4"/>
      <c r="V834" s="4"/>
      <c r="W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25"/>
      <c r="O835" s="4"/>
      <c r="P835" s="4"/>
      <c r="Q835" s="4"/>
      <c r="R835" s="4"/>
      <c r="S835" s="4"/>
      <c r="T835" s="4"/>
      <c r="U835" s="4"/>
      <c r="V835" s="4"/>
      <c r="W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25"/>
      <c r="O836" s="4"/>
      <c r="P836" s="4"/>
      <c r="Q836" s="4"/>
      <c r="R836" s="4"/>
      <c r="S836" s="4"/>
      <c r="T836" s="4"/>
      <c r="U836" s="4"/>
      <c r="V836" s="4"/>
      <c r="W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25"/>
      <c r="O837" s="4"/>
      <c r="P837" s="4"/>
      <c r="Q837" s="4"/>
      <c r="R837" s="4"/>
      <c r="S837" s="4"/>
      <c r="T837" s="4"/>
      <c r="U837" s="4"/>
      <c r="V837" s="4"/>
      <c r="W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25"/>
      <c r="O838" s="4"/>
      <c r="P838" s="4"/>
      <c r="Q838" s="4"/>
      <c r="R838" s="4"/>
      <c r="S838" s="4"/>
      <c r="T838" s="4"/>
      <c r="U838" s="4"/>
      <c r="V838" s="4"/>
      <c r="W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25"/>
      <c r="O839" s="4"/>
      <c r="P839" s="4"/>
      <c r="Q839" s="4"/>
      <c r="R839" s="4"/>
      <c r="S839" s="4"/>
      <c r="T839" s="4"/>
      <c r="U839" s="4"/>
      <c r="V839" s="4"/>
      <c r="W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25"/>
      <c r="O840" s="4"/>
      <c r="P840" s="4"/>
      <c r="Q840" s="4"/>
      <c r="R840" s="4"/>
      <c r="S840" s="4"/>
      <c r="T840" s="4"/>
      <c r="U840" s="4"/>
      <c r="V840" s="4"/>
      <c r="W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25"/>
      <c r="O841" s="4"/>
      <c r="P841" s="4"/>
      <c r="Q841" s="4"/>
      <c r="R841" s="4"/>
      <c r="S841" s="4"/>
      <c r="T841" s="4"/>
      <c r="U841" s="4"/>
      <c r="V841" s="4"/>
      <c r="W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25"/>
      <c r="O842" s="4"/>
      <c r="P842" s="4"/>
      <c r="Q842" s="4"/>
      <c r="R842" s="4"/>
      <c r="S842" s="4"/>
      <c r="T842" s="4"/>
      <c r="U842" s="4"/>
      <c r="V842" s="4"/>
      <c r="W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25"/>
      <c r="O843" s="4"/>
      <c r="P843" s="4"/>
      <c r="Q843" s="4"/>
      <c r="R843" s="4"/>
      <c r="S843" s="4"/>
      <c r="T843" s="4"/>
      <c r="U843" s="4"/>
      <c r="V843" s="4"/>
      <c r="W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25"/>
      <c r="O844" s="4"/>
      <c r="P844" s="4"/>
      <c r="Q844" s="4"/>
      <c r="R844" s="4"/>
      <c r="S844" s="4"/>
      <c r="T844" s="4"/>
      <c r="U844" s="4"/>
      <c r="V844" s="4"/>
      <c r="W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25"/>
      <c r="O845" s="4"/>
      <c r="P845" s="4"/>
      <c r="Q845" s="4"/>
      <c r="R845" s="4"/>
      <c r="S845" s="4"/>
      <c r="T845" s="4"/>
      <c r="U845" s="4"/>
      <c r="V845" s="4"/>
      <c r="W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25"/>
      <c r="O846" s="4"/>
      <c r="P846" s="4"/>
      <c r="Q846" s="4"/>
      <c r="R846" s="4"/>
      <c r="S846" s="4"/>
      <c r="T846" s="4"/>
      <c r="U846" s="4"/>
      <c r="V846" s="4"/>
      <c r="W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25"/>
      <c r="O847" s="4"/>
      <c r="P847" s="4"/>
      <c r="Q847" s="4"/>
      <c r="R847" s="4"/>
      <c r="S847" s="4"/>
      <c r="T847" s="4"/>
      <c r="U847" s="4"/>
      <c r="V847" s="4"/>
      <c r="W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25"/>
      <c r="O848" s="4"/>
      <c r="P848" s="4"/>
      <c r="Q848" s="4"/>
      <c r="R848" s="4"/>
      <c r="S848" s="4"/>
      <c r="T848" s="4"/>
      <c r="U848" s="4"/>
      <c r="V848" s="4"/>
      <c r="W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25"/>
      <c r="O849" s="4"/>
      <c r="P849" s="4"/>
      <c r="Q849" s="4"/>
      <c r="R849" s="4"/>
      <c r="S849" s="4"/>
      <c r="T849" s="4"/>
      <c r="U849" s="4"/>
      <c r="V849" s="4"/>
      <c r="W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25"/>
      <c r="O850" s="4"/>
      <c r="P850" s="4"/>
      <c r="Q850" s="4"/>
      <c r="R850" s="4"/>
      <c r="S850" s="4"/>
      <c r="T850" s="4"/>
      <c r="U850" s="4"/>
      <c r="V850" s="4"/>
      <c r="W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25"/>
      <c r="O851" s="4"/>
      <c r="P851" s="4"/>
      <c r="Q851" s="4"/>
      <c r="R851" s="4"/>
      <c r="S851" s="4"/>
      <c r="T851" s="4"/>
      <c r="U851" s="4"/>
      <c r="V851" s="4"/>
      <c r="W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25"/>
      <c r="O852" s="4"/>
      <c r="P852" s="4"/>
      <c r="Q852" s="4"/>
      <c r="R852" s="4"/>
      <c r="S852" s="4"/>
      <c r="T852" s="4"/>
      <c r="U852" s="4"/>
      <c r="V852" s="4"/>
      <c r="W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25"/>
      <c r="O853" s="4"/>
      <c r="P853" s="4"/>
      <c r="Q853" s="4"/>
      <c r="R853" s="4"/>
      <c r="S853" s="4"/>
      <c r="T853" s="4"/>
      <c r="U853" s="4"/>
      <c r="V853" s="4"/>
      <c r="W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25"/>
      <c r="O854" s="4"/>
      <c r="P854" s="4"/>
      <c r="Q854" s="4"/>
      <c r="R854" s="4"/>
      <c r="S854" s="4"/>
      <c r="T854" s="4"/>
      <c r="U854" s="4"/>
      <c r="V854" s="4"/>
      <c r="W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25"/>
      <c r="O855" s="4"/>
      <c r="P855" s="4"/>
      <c r="Q855" s="4"/>
      <c r="R855" s="4"/>
      <c r="S855" s="4"/>
      <c r="T855" s="4"/>
      <c r="U855" s="4"/>
      <c r="V855" s="4"/>
      <c r="W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25"/>
      <c r="O856" s="4"/>
      <c r="P856" s="4"/>
      <c r="Q856" s="4"/>
      <c r="R856" s="4"/>
      <c r="S856" s="4"/>
      <c r="T856" s="4"/>
      <c r="U856" s="4"/>
      <c r="V856" s="4"/>
      <c r="W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25"/>
      <c r="O857" s="4"/>
      <c r="P857" s="4"/>
      <c r="Q857" s="4"/>
      <c r="R857" s="4"/>
      <c r="S857" s="4"/>
      <c r="T857" s="4"/>
      <c r="U857" s="4"/>
      <c r="V857" s="4"/>
      <c r="W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25"/>
      <c r="O858" s="4"/>
      <c r="P858" s="4"/>
      <c r="Q858" s="4"/>
      <c r="R858" s="4"/>
      <c r="S858" s="4"/>
      <c r="T858" s="4"/>
      <c r="U858" s="4"/>
      <c r="V858" s="4"/>
      <c r="W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25"/>
      <c r="O859" s="4"/>
      <c r="P859" s="4"/>
      <c r="Q859" s="4"/>
      <c r="R859" s="4"/>
      <c r="S859" s="4"/>
      <c r="T859" s="4"/>
      <c r="U859" s="4"/>
      <c r="V859" s="4"/>
      <c r="W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25"/>
      <c r="O860" s="4"/>
      <c r="P860" s="4"/>
      <c r="Q860" s="4"/>
      <c r="R860" s="4"/>
      <c r="S860" s="4"/>
      <c r="T860" s="4"/>
      <c r="U860" s="4"/>
      <c r="V860" s="4"/>
      <c r="W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25"/>
      <c r="O861" s="4"/>
      <c r="P861" s="4"/>
      <c r="Q861" s="4"/>
      <c r="R861" s="4"/>
      <c r="S861" s="4"/>
      <c r="T861" s="4"/>
      <c r="U861" s="4"/>
      <c r="V861" s="4"/>
      <c r="W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25"/>
      <c r="O862" s="4"/>
      <c r="P862" s="4"/>
      <c r="Q862" s="4"/>
      <c r="R862" s="4"/>
      <c r="S862" s="4"/>
      <c r="T862" s="4"/>
      <c r="U862" s="4"/>
      <c r="V862" s="4"/>
      <c r="W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25"/>
      <c r="O863" s="4"/>
      <c r="P863" s="4"/>
      <c r="Q863" s="4"/>
      <c r="R863" s="4"/>
      <c r="S863" s="4"/>
      <c r="T863" s="4"/>
      <c r="U863" s="4"/>
      <c r="V863" s="4"/>
      <c r="W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25"/>
      <c r="O864" s="4"/>
      <c r="P864" s="4"/>
      <c r="Q864" s="4"/>
      <c r="R864" s="4"/>
      <c r="S864" s="4"/>
      <c r="T864" s="4"/>
      <c r="U864" s="4"/>
      <c r="V864" s="4"/>
      <c r="W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25"/>
      <c r="O865" s="4"/>
      <c r="P865" s="4"/>
      <c r="Q865" s="4"/>
      <c r="R865" s="4"/>
      <c r="S865" s="4"/>
      <c r="T865" s="4"/>
      <c r="U865" s="4"/>
      <c r="V865" s="4"/>
      <c r="W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25"/>
      <c r="O866" s="4"/>
      <c r="P866" s="4"/>
      <c r="Q866" s="4"/>
      <c r="R866" s="4"/>
      <c r="S866" s="4"/>
      <c r="T866" s="4"/>
      <c r="U866" s="4"/>
      <c r="V866" s="4"/>
      <c r="W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25"/>
      <c r="O867" s="4"/>
      <c r="P867" s="4"/>
      <c r="Q867" s="4"/>
      <c r="R867" s="4"/>
      <c r="S867" s="4"/>
      <c r="T867" s="4"/>
      <c r="U867" s="4"/>
      <c r="V867" s="4"/>
      <c r="W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25"/>
      <c r="O868" s="4"/>
      <c r="P868" s="4"/>
      <c r="Q868" s="4"/>
      <c r="R868" s="4"/>
      <c r="S868" s="4"/>
      <c r="T868" s="4"/>
      <c r="U868" s="4"/>
      <c r="V868" s="4"/>
      <c r="W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25"/>
      <c r="O869" s="4"/>
      <c r="P869" s="4"/>
      <c r="Q869" s="4"/>
      <c r="R869" s="4"/>
      <c r="S869" s="4"/>
      <c r="T869" s="4"/>
      <c r="U869" s="4"/>
      <c r="V869" s="4"/>
      <c r="W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25"/>
      <c r="O870" s="4"/>
      <c r="P870" s="4"/>
      <c r="Q870" s="4"/>
      <c r="R870" s="4"/>
      <c r="S870" s="4"/>
      <c r="T870" s="4"/>
      <c r="U870" s="4"/>
      <c r="V870" s="4"/>
      <c r="W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25"/>
      <c r="O871" s="4"/>
      <c r="P871" s="4"/>
      <c r="Q871" s="4"/>
      <c r="R871" s="4"/>
      <c r="S871" s="4"/>
      <c r="T871" s="4"/>
      <c r="U871" s="4"/>
      <c r="V871" s="4"/>
      <c r="W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25"/>
      <c r="O872" s="4"/>
      <c r="P872" s="4"/>
      <c r="Q872" s="4"/>
      <c r="R872" s="4"/>
      <c r="S872" s="4"/>
      <c r="T872" s="4"/>
      <c r="U872" s="4"/>
      <c r="V872" s="4"/>
      <c r="W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25"/>
      <c r="O873" s="4"/>
      <c r="P873" s="4"/>
      <c r="Q873" s="4"/>
      <c r="R873" s="4"/>
      <c r="S873" s="4"/>
      <c r="T873" s="4"/>
      <c r="U873" s="4"/>
      <c r="V873" s="4"/>
      <c r="W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25"/>
      <c r="O874" s="4"/>
      <c r="P874" s="4"/>
      <c r="Q874" s="4"/>
      <c r="R874" s="4"/>
      <c r="S874" s="4"/>
      <c r="T874" s="4"/>
      <c r="U874" s="4"/>
      <c r="V874" s="4"/>
      <c r="W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25"/>
      <c r="O875" s="4"/>
      <c r="P875" s="4"/>
      <c r="Q875" s="4"/>
      <c r="R875" s="4"/>
      <c r="S875" s="4"/>
      <c r="T875" s="4"/>
      <c r="U875" s="4"/>
      <c r="V875" s="4"/>
      <c r="W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25"/>
      <c r="O876" s="4"/>
      <c r="P876" s="4"/>
      <c r="Q876" s="4"/>
      <c r="R876" s="4"/>
      <c r="S876" s="4"/>
      <c r="T876" s="4"/>
      <c r="U876" s="4"/>
      <c r="V876" s="4"/>
      <c r="W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25"/>
      <c r="O877" s="4"/>
      <c r="P877" s="4"/>
      <c r="Q877" s="4"/>
      <c r="R877" s="4"/>
      <c r="S877" s="4"/>
      <c r="T877" s="4"/>
      <c r="U877" s="4"/>
      <c r="V877" s="4"/>
      <c r="W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25"/>
      <c r="O878" s="4"/>
      <c r="P878" s="4"/>
      <c r="Q878" s="4"/>
      <c r="R878" s="4"/>
      <c r="S878" s="4"/>
      <c r="T878" s="4"/>
      <c r="U878" s="4"/>
      <c r="V878" s="4"/>
      <c r="W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25"/>
      <c r="O879" s="4"/>
      <c r="P879" s="4"/>
      <c r="Q879" s="4"/>
      <c r="R879" s="4"/>
      <c r="S879" s="4"/>
      <c r="T879" s="4"/>
      <c r="U879" s="4"/>
      <c r="V879" s="4"/>
      <c r="W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25"/>
      <c r="O880" s="4"/>
      <c r="P880" s="4"/>
      <c r="Q880" s="4"/>
      <c r="R880" s="4"/>
      <c r="S880" s="4"/>
      <c r="T880" s="4"/>
      <c r="U880" s="4"/>
      <c r="V880" s="4"/>
      <c r="W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25"/>
      <c r="O881" s="4"/>
      <c r="P881" s="4"/>
      <c r="Q881" s="4"/>
      <c r="R881" s="4"/>
      <c r="S881" s="4"/>
      <c r="T881" s="4"/>
      <c r="U881" s="4"/>
      <c r="V881" s="4"/>
      <c r="W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25"/>
      <c r="O882" s="4"/>
      <c r="P882" s="4"/>
      <c r="Q882" s="4"/>
      <c r="R882" s="4"/>
      <c r="S882" s="4"/>
      <c r="T882" s="4"/>
      <c r="U882" s="4"/>
      <c r="V882" s="4"/>
      <c r="W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25"/>
      <c r="O883" s="4"/>
      <c r="P883" s="4"/>
      <c r="Q883" s="4"/>
      <c r="R883" s="4"/>
      <c r="S883" s="4"/>
      <c r="T883" s="4"/>
      <c r="U883" s="4"/>
      <c r="V883" s="4"/>
      <c r="W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25"/>
      <c r="O884" s="4"/>
      <c r="P884" s="4"/>
      <c r="Q884" s="4"/>
      <c r="R884" s="4"/>
      <c r="S884" s="4"/>
      <c r="T884" s="4"/>
      <c r="U884" s="4"/>
      <c r="V884" s="4"/>
      <c r="W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25"/>
      <c r="O885" s="4"/>
      <c r="P885" s="4"/>
      <c r="Q885" s="4"/>
      <c r="R885" s="4"/>
      <c r="S885" s="4"/>
      <c r="T885" s="4"/>
      <c r="U885" s="4"/>
      <c r="V885" s="4"/>
      <c r="W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25"/>
      <c r="O886" s="4"/>
      <c r="P886" s="4"/>
      <c r="Q886" s="4"/>
      <c r="R886" s="4"/>
      <c r="S886" s="4"/>
      <c r="T886" s="4"/>
      <c r="U886" s="4"/>
      <c r="V886" s="4"/>
      <c r="W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25"/>
      <c r="O887" s="4"/>
      <c r="P887" s="4"/>
      <c r="Q887" s="4"/>
      <c r="R887" s="4"/>
      <c r="S887" s="4"/>
      <c r="T887" s="4"/>
      <c r="U887" s="4"/>
      <c r="V887" s="4"/>
      <c r="W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25"/>
      <c r="O888" s="4"/>
      <c r="P888" s="4"/>
      <c r="Q888" s="4"/>
      <c r="R888" s="4"/>
      <c r="S888" s="4"/>
      <c r="T888" s="4"/>
      <c r="U888" s="4"/>
      <c r="V888" s="4"/>
      <c r="W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25"/>
      <c r="O889" s="4"/>
      <c r="P889" s="4"/>
      <c r="Q889" s="4"/>
      <c r="R889" s="4"/>
      <c r="S889" s="4"/>
      <c r="T889" s="4"/>
      <c r="U889" s="4"/>
      <c r="V889" s="4"/>
      <c r="W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25"/>
      <c r="O890" s="4"/>
      <c r="P890" s="4"/>
      <c r="Q890" s="4"/>
      <c r="R890" s="4"/>
      <c r="S890" s="4"/>
      <c r="T890" s="4"/>
      <c r="U890" s="4"/>
      <c r="V890" s="4"/>
      <c r="W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25"/>
      <c r="O891" s="4"/>
      <c r="P891" s="4"/>
      <c r="Q891" s="4"/>
      <c r="R891" s="4"/>
      <c r="S891" s="4"/>
      <c r="T891" s="4"/>
      <c r="U891" s="4"/>
      <c r="V891" s="4"/>
      <c r="W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25"/>
      <c r="O892" s="4"/>
      <c r="P892" s="4"/>
      <c r="Q892" s="4"/>
      <c r="R892" s="4"/>
      <c r="S892" s="4"/>
      <c r="T892" s="4"/>
      <c r="U892" s="4"/>
      <c r="V892" s="4"/>
      <c r="W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25"/>
      <c r="O893" s="4"/>
      <c r="P893" s="4"/>
      <c r="Q893" s="4"/>
      <c r="R893" s="4"/>
      <c r="S893" s="4"/>
      <c r="T893" s="4"/>
      <c r="U893" s="4"/>
      <c r="V893" s="4"/>
      <c r="W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25"/>
      <c r="O894" s="4"/>
      <c r="P894" s="4"/>
      <c r="Q894" s="4"/>
      <c r="R894" s="4"/>
      <c r="S894" s="4"/>
      <c r="T894" s="4"/>
      <c r="U894" s="4"/>
      <c r="V894" s="4"/>
      <c r="W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25"/>
      <c r="O895" s="4"/>
      <c r="P895" s="4"/>
      <c r="Q895" s="4"/>
      <c r="R895" s="4"/>
      <c r="S895" s="4"/>
      <c r="T895" s="4"/>
      <c r="U895" s="4"/>
      <c r="V895" s="4"/>
      <c r="W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25"/>
      <c r="O896" s="4"/>
      <c r="P896" s="4"/>
      <c r="Q896" s="4"/>
      <c r="R896" s="4"/>
      <c r="S896" s="4"/>
      <c r="T896" s="4"/>
      <c r="U896" s="4"/>
      <c r="V896" s="4"/>
      <c r="W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25"/>
      <c r="O897" s="4"/>
      <c r="P897" s="4"/>
      <c r="Q897" s="4"/>
      <c r="R897" s="4"/>
      <c r="S897" s="4"/>
      <c r="T897" s="4"/>
      <c r="U897" s="4"/>
      <c r="V897" s="4"/>
      <c r="W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25"/>
      <c r="O898" s="4"/>
      <c r="P898" s="4"/>
      <c r="Q898" s="4"/>
      <c r="R898" s="4"/>
      <c r="S898" s="4"/>
      <c r="T898" s="4"/>
      <c r="U898" s="4"/>
      <c r="V898" s="4"/>
      <c r="W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25"/>
      <c r="O899" s="4"/>
      <c r="P899" s="4"/>
      <c r="Q899" s="4"/>
      <c r="R899" s="4"/>
      <c r="S899" s="4"/>
      <c r="T899" s="4"/>
      <c r="U899" s="4"/>
      <c r="V899" s="4"/>
      <c r="W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25"/>
      <c r="O900" s="4"/>
      <c r="P900" s="4"/>
      <c r="Q900" s="4"/>
      <c r="R900" s="4"/>
      <c r="S900" s="4"/>
      <c r="T900" s="4"/>
      <c r="U900" s="4"/>
      <c r="V900" s="4"/>
      <c r="W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25"/>
      <c r="O901" s="4"/>
      <c r="P901" s="4"/>
      <c r="Q901" s="4"/>
      <c r="R901" s="4"/>
      <c r="S901" s="4"/>
      <c r="T901" s="4"/>
      <c r="U901" s="4"/>
      <c r="V901" s="4"/>
      <c r="W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25"/>
      <c r="O902" s="4"/>
      <c r="P902" s="4"/>
      <c r="Q902" s="4"/>
      <c r="R902" s="4"/>
      <c r="S902" s="4"/>
      <c r="T902" s="4"/>
      <c r="U902" s="4"/>
      <c r="V902" s="4"/>
      <c r="W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25"/>
      <c r="O903" s="4"/>
      <c r="P903" s="4"/>
      <c r="Q903" s="4"/>
      <c r="R903" s="4"/>
      <c r="S903" s="4"/>
      <c r="T903" s="4"/>
      <c r="U903" s="4"/>
      <c r="V903" s="4"/>
      <c r="W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25"/>
      <c r="O904" s="4"/>
      <c r="P904" s="4"/>
      <c r="Q904" s="4"/>
      <c r="R904" s="4"/>
      <c r="S904" s="4"/>
      <c r="T904" s="4"/>
      <c r="U904" s="4"/>
      <c r="V904" s="4"/>
      <c r="W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25"/>
      <c r="O905" s="4"/>
      <c r="P905" s="4"/>
      <c r="Q905" s="4"/>
      <c r="R905" s="4"/>
      <c r="S905" s="4"/>
      <c r="T905" s="4"/>
      <c r="U905" s="4"/>
      <c r="V905" s="4"/>
      <c r="W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25"/>
      <c r="O906" s="4"/>
      <c r="P906" s="4"/>
      <c r="Q906" s="4"/>
      <c r="R906" s="4"/>
      <c r="S906" s="4"/>
      <c r="T906" s="4"/>
      <c r="U906" s="4"/>
      <c r="V906" s="4"/>
      <c r="W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25"/>
      <c r="O907" s="4"/>
      <c r="P907" s="4"/>
      <c r="Q907" s="4"/>
      <c r="R907" s="4"/>
      <c r="S907" s="4"/>
      <c r="T907" s="4"/>
      <c r="U907" s="4"/>
      <c r="V907" s="4"/>
      <c r="W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25"/>
      <c r="O908" s="4"/>
      <c r="P908" s="4"/>
      <c r="Q908" s="4"/>
      <c r="R908" s="4"/>
      <c r="S908" s="4"/>
      <c r="T908" s="4"/>
      <c r="U908" s="4"/>
      <c r="V908" s="4"/>
      <c r="W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25"/>
      <c r="O909" s="4"/>
      <c r="P909" s="4"/>
      <c r="Q909" s="4"/>
      <c r="R909" s="4"/>
      <c r="S909" s="4"/>
      <c r="T909" s="4"/>
      <c r="U909" s="4"/>
      <c r="V909" s="4"/>
      <c r="W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25"/>
      <c r="O910" s="4"/>
      <c r="P910" s="4"/>
      <c r="Q910" s="4"/>
      <c r="R910" s="4"/>
      <c r="S910" s="4"/>
      <c r="T910" s="4"/>
      <c r="U910" s="4"/>
      <c r="V910" s="4"/>
      <c r="W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25"/>
      <c r="O911" s="4"/>
      <c r="P911" s="4"/>
      <c r="Q911" s="4"/>
      <c r="R911" s="4"/>
      <c r="S911" s="4"/>
      <c r="T911" s="4"/>
      <c r="U911" s="4"/>
      <c r="V911" s="4"/>
      <c r="W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25"/>
      <c r="O912" s="4"/>
      <c r="P912" s="4"/>
      <c r="Q912" s="4"/>
      <c r="R912" s="4"/>
      <c r="S912" s="4"/>
      <c r="T912" s="4"/>
      <c r="U912" s="4"/>
      <c r="V912" s="4"/>
      <c r="W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25"/>
      <c r="O913" s="4"/>
      <c r="P913" s="4"/>
      <c r="Q913" s="4"/>
      <c r="R913" s="4"/>
      <c r="S913" s="4"/>
      <c r="T913" s="4"/>
      <c r="U913" s="4"/>
      <c r="V913" s="4"/>
      <c r="W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25"/>
      <c r="O914" s="4"/>
      <c r="P914" s="4"/>
      <c r="Q914" s="4"/>
      <c r="R914" s="4"/>
      <c r="S914" s="4"/>
      <c r="T914" s="4"/>
      <c r="U914" s="4"/>
      <c r="V914" s="4"/>
      <c r="W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25"/>
      <c r="O915" s="4"/>
      <c r="P915" s="4"/>
      <c r="Q915" s="4"/>
      <c r="R915" s="4"/>
      <c r="S915" s="4"/>
      <c r="T915" s="4"/>
      <c r="U915" s="4"/>
      <c r="V915" s="4"/>
      <c r="W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25"/>
      <c r="O916" s="4"/>
      <c r="P916" s="4"/>
      <c r="Q916" s="4"/>
      <c r="R916" s="4"/>
      <c r="S916" s="4"/>
      <c r="T916" s="4"/>
      <c r="U916" s="4"/>
      <c r="V916" s="4"/>
      <c r="W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25"/>
      <c r="O917" s="4"/>
      <c r="P917" s="4"/>
      <c r="Q917" s="4"/>
      <c r="R917" s="4"/>
      <c r="S917" s="4"/>
      <c r="T917" s="4"/>
      <c r="U917" s="4"/>
      <c r="V917" s="4"/>
      <c r="W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25"/>
      <c r="O918" s="4"/>
      <c r="P918" s="4"/>
      <c r="Q918" s="4"/>
      <c r="R918" s="4"/>
      <c r="S918" s="4"/>
      <c r="T918" s="4"/>
      <c r="U918" s="4"/>
      <c r="V918" s="4"/>
      <c r="W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25"/>
      <c r="O919" s="4"/>
      <c r="P919" s="4"/>
      <c r="Q919" s="4"/>
      <c r="R919" s="4"/>
      <c r="S919" s="4"/>
      <c r="T919" s="4"/>
      <c r="U919" s="4"/>
      <c r="V919" s="4"/>
      <c r="W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25"/>
      <c r="O920" s="4"/>
      <c r="P920" s="4"/>
      <c r="Q920" s="4"/>
      <c r="R920" s="4"/>
      <c r="S920" s="4"/>
      <c r="T920" s="4"/>
      <c r="U920" s="4"/>
      <c r="V920" s="4"/>
      <c r="W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25"/>
      <c r="O921" s="4"/>
      <c r="P921" s="4"/>
      <c r="Q921" s="4"/>
      <c r="R921" s="4"/>
      <c r="S921" s="4"/>
      <c r="T921" s="4"/>
      <c r="U921" s="4"/>
      <c r="V921" s="4"/>
      <c r="W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25"/>
      <c r="O922" s="4"/>
      <c r="P922" s="4"/>
      <c r="Q922" s="4"/>
      <c r="R922" s="4"/>
      <c r="S922" s="4"/>
      <c r="T922" s="4"/>
      <c r="U922" s="4"/>
      <c r="V922" s="4"/>
      <c r="W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25"/>
      <c r="O923" s="4"/>
      <c r="P923" s="4"/>
      <c r="Q923" s="4"/>
      <c r="R923" s="4"/>
      <c r="S923" s="4"/>
      <c r="T923" s="4"/>
      <c r="U923" s="4"/>
      <c r="V923" s="4"/>
      <c r="W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25"/>
      <c r="O924" s="4"/>
      <c r="P924" s="4"/>
      <c r="Q924" s="4"/>
      <c r="R924" s="4"/>
      <c r="S924" s="4"/>
      <c r="T924" s="4"/>
      <c r="U924" s="4"/>
      <c r="V924" s="4"/>
      <c r="W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25"/>
      <c r="O925" s="4"/>
      <c r="P925" s="4"/>
      <c r="Q925" s="4"/>
      <c r="R925" s="4"/>
      <c r="S925" s="4"/>
      <c r="T925" s="4"/>
      <c r="U925" s="4"/>
      <c r="V925" s="4"/>
      <c r="W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25"/>
      <c r="O926" s="4"/>
      <c r="P926" s="4"/>
      <c r="Q926" s="4"/>
      <c r="R926" s="4"/>
      <c r="S926" s="4"/>
      <c r="T926" s="4"/>
      <c r="U926" s="4"/>
      <c r="V926" s="4"/>
      <c r="W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25"/>
      <c r="O927" s="4"/>
      <c r="P927" s="4"/>
      <c r="Q927" s="4"/>
      <c r="R927" s="4"/>
      <c r="S927" s="4"/>
      <c r="T927" s="4"/>
      <c r="U927" s="4"/>
      <c r="V927" s="4"/>
      <c r="W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25"/>
      <c r="O928" s="4"/>
      <c r="P928" s="4"/>
      <c r="Q928" s="4"/>
      <c r="R928" s="4"/>
      <c r="S928" s="4"/>
      <c r="T928" s="4"/>
      <c r="U928" s="4"/>
      <c r="V928" s="4"/>
      <c r="W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25"/>
      <c r="O929" s="4"/>
      <c r="P929" s="4"/>
      <c r="Q929" s="4"/>
      <c r="R929" s="4"/>
      <c r="S929" s="4"/>
      <c r="T929" s="4"/>
      <c r="U929" s="4"/>
      <c r="V929" s="4"/>
      <c r="W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25"/>
      <c r="O930" s="4"/>
      <c r="P930" s="4"/>
      <c r="Q930" s="4"/>
      <c r="R930" s="4"/>
      <c r="S930" s="4"/>
      <c r="T930" s="4"/>
      <c r="U930" s="4"/>
      <c r="V930" s="4"/>
      <c r="W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25"/>
      <c r="O931" s="4"/>
      <c r="P931" s="4"/>
      <c r="Q931" s="4"/>
      <c r="R931" s="4"/>
      <c r="S931" s="4"/>
      <c r="T931" s="4"/>
      <c r="U931" s="4"/>
      <c r="V931" s="4"/>
      <c r="W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25"/>
      <c r="O932" s="4"/>
      <c r="P932" s="4"/>
      <c r="Q932" s="4"/>
      <c r="R932" s="4"/>
      <c r="S932" s="4"/>
      <c r="T932" s="4"/>
      <c r="U932" s="4"/>
      <c r="V932" s="4"/>
      <c r="W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25"/>
      <c r="O933" s="4"/>
      <c r="P933" s="4"/>
      <c r="Q933" s="4"/>
      <c r="R933" s="4"/>
      <c r="S933" s="4"/>
      <c r="T933" s="4"/>
      <c r="U933" s="4"/>
      <c r="V933" s="4"/>
      <c r="W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25"/>
      <c r="O934" s="4"/>
      <c r="P934" s="4"/>
      <c r="Q934" s="4"/>
      <c r="R934" s="4"/>
      <c r="S934" s="4"/>
      <c r="T934" s="4"/>
      <c r="U934" s="4"/>
      <c r="V934" s="4"/>
      <c r="W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25"/>
      <c r="O935" s="4"/>
      <c r="P935" s="4"/>
      <c r="Q935" s="4"/>
      <c r="R935" s="4"/>
      <c r="S935" s="4"/>
      <c r="T935" s="4"/>
      <c r="U935" s="4"/>
      <c r="V935" s="4"/>
      <c r="W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25"/>
      <c r="O936" s="4"/>
      <c r="P936" s="4"/>
      <c r="Q936" s="4"/>
      <c r="R936" s="4"/>
      <c r="S936" s="4"/>
      <c r="T936" s="4"/>
      <c r="U936" s="4"/>
      <c r="V936" s="4"/>
      <c r="W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25"/>
      <c r="O937" s="4"/>
      <c r="P937" s="4"/>
      <c r="Q937" s="4"/>
      <c r="R937" s="4"/>
      <c r="S937" s="4"/>
      <c r="T937" s="4"/>
      <c r="U937" s="4"/>
      <c r="V937" s="4"/>
      <c r="W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25"/>
      <c r="O938" s="4"/>
      <c r="P938" s="4"/>
      <c r="Q938" s="4"/>
      <c r="R938" s="4"/>
      <c r="S938" s="4"/>
      <c r="T938" s="4"/>
      <c r="U938" s="4"/>
      <c r="V938" s="4"/>
      <c r="W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25"/>
      <c r="O939" s="4"/>
      <c r="P939" s="4"/>
      <c r="Q939" s="4"/>
      <c r="R939" s="4"/>
      <c r="S939" s="4"/>
      <c r="T939" s="4"/>
      <c r="U939" s="4"/>
      <c r="V939" s="4"/>
      <c r="W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25"/>
      <c r="O940" s="4"/>
      <c r="P940" s="4"/>
      <c r="Q940" s="4"/>
      <c r="R940" s="4"/>
      <c r="S940" s="4"/>
      <c r="T940" s="4"/>
      <c r="U940" s="4"/>
      <c r="V940" s="4"/>
      <c r="W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25"/>
      <c r="O941" s="4"/>
      <c r="P941" s="4"/>
      <c r="Q941" s="4"/>
      <c r="R941" s="4"/>
      <c r="S941" s="4"/>
      <c r="T941" s="4"/>
      <c r="U941" s="4"/>
      <c r="V941" s="4"/>
      <c r="W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25"/>
      <c r="O942" s="4"/>
      <c r="P942" s="4"/>
      <c r="Q942" s="4"/>
      <c r="R942" s="4"/>
      <c r="S942" s="4"/>
      <c r="T942" s="4"/>
      <c r="U942" s="4"/>
      <c r="V942" s="4"/>
      <c r="W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25"/>
      <c r="O943" s="4"/>
      <c r="P943" s="4"/>
      <c r="Q943" s="4"/>
      <c r="R943" s="4"/>
      <c r="S943" s="4"/>
      <c r="T943" s="4"/>
      <c r="U943" s="4"/>
      <c r="V943" s="4"/>
      <c r="W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25"/>
      <c r="O944" s="4"/>
      <c r="P944" s="4"/>
      <c r="Q944" s="4"/>
      <c r="R944" s="4"/>
      <c r="S944" s="4"/>
      <c r="T944" s="4"/>
      <c r="U944" s="4"/>
      <c r="V944" s="4"/>
      <c r="W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25"/>
      <c r="O945" s="4"/>
      <c r="P945" s="4"/>
      <c r="Q945" s="4"/>
      <c r="R945" s="4"/>
      <c r="S945" s="4"/>
      <c r="T945" s="4"/>
      <c r="U945" s="4"/>
      <c r="V945" s="4"/>
      <c r="W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25"/>
      <c r="O946" s="4"/>
      <c r="P946" s="4"/>
      <c r="Q946" s="4"/>
      <c r="R946" s="4"/>
      <c r="S946" s="4"/>
      <c r="T946" s="4"/>
      <c r="U946" s="4"/>
      <c r="V946" s="4"/>
      <c r="W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25"/>
      <c r="O947" s="4"/>
      <c r="P947" s="4"/>
      <c r="Q947" s="4"/>
      <c r="R947" s="4"/>
      <c r="S947" s="4"/>
      <c r="T947" s="4"/>
      <c r="U947" s="4"/>
      <c r="V947" s="4"/>
      <c r="W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25"/>
      <c r="O948" s="4"/>
      <c r="P948" s="4"/>
      <c r="Q948" s="4"/>
      <c r="R948" s="4"/>
      <c r="S948" s="4"/>
      <c r="T948" s="4"/>
      <c r="U948" s="4"/>
      <c r="V948" s="4"/>
      <c r="W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25"/>
      <c r="O949" s="4"/>
      <c r="P949" s="4"/>
      <c r="Q949" s="4"/>
      <c r="R949" s="4"/>
      <c r="S949" s="4"/>
      <c r="T949" s="4"/>
      <c r="U949" s="4"/>
      <c r="V949" s="4"/>
      <c r="W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25"/>
      <c r="O950" s="4"/>
      <c r="P950" s="4"/>
      <c r="Q950" s="4"/>
      <c r="R950" s="4"/>
      <c r="S950" s="4"/>
      <c r="T950" s="4"/>
      <c r="U950" s="4"/>
      <c r="V950" s="4"/>
      <c r="W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25"/>
      <c r="O951" s="4"/>
      <c r="P951" s="4"/>
      <c r="Q951" s="4"/>
      <c r="R951" s="4"/>
      <c r="S951" s="4"/>
      <c r="T951" s="4"/>
      <c r="U951" s="4"/>
      <c r="V951" s="4"/>
      <c r="W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25"/>
      <c r="O952" s="4"/>
      <c r="P952" s="4"/>
      <c r="Q952" s="4"/>
      <c r="R952" s="4"/>
      <c r="S952" s="4"/>
      <c r="T952" s="4"/>
      <c r="U952" s="4"/>
      <c r="V952" s="4"/>
      <c r="W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25"/>
      <c r="O953" s="4"/>
      <c r="P953" s="4"/>
      <c r="Q953" s="4"/>
      <c r="R953" s="4"/>
      <c r="S953" s="4"/>
      <c r="T953" s="4"/>
      <c r="U953" s="4"/>
      <c r="V953" s="4"/>
      <c r="W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25"/>
      <c r="O954" s="4"/>
      <c r="P954" s="4"/>
      <c r="Q954" s="4"/>
      <c r="R954" s="4"/>
      <c r="S954" s="4"/>
      <c r="T954" s="4"/>
      <c r="U954" s="4"/>
      <c r="V954" s="4"/>
      <c r="W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25"/>
      <c r="O955" s="4"/>
      <c r="P955" s="4"/>
      <c r="Q955" s="4"/>
      <c r="R955" s="4"/>
      <c r="S955" s="4"/>
      <c r="T955" s="4"/>
      <c r="U955" s="4"/>
      <c r="V955" s="4"/>
      <c r="W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25"/>
      <c r="O956" s="4"/>
      <c r="P956" s="4"/>
      <c r="Q956" s="4"/>
      <c r="R956" s="4"/>
      <c r="S956" s="4"/>
      <c r="T956" s="4"/>
      <c r="U956" s="4"/>
      <c r="V956" s="4"/>
      <c r="W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25"/>
      <c r="O957" s="4"/>
      <c r="P957" s="4"/>
      <c r="Q957" s="4"/>
      <c r="R957" s="4"/>
      <c r="S957" s="4"/>
      <c r="T957" s="4"/>
      <c r="U957" s="4"/>
      <c r="V957" s="4"/>
      <c r="W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25"/>
      <c r="O958" s="4"/>
      <c r="P958" s="4"/>
      <c r="Q958" s="4"/>
      <c r="R958" s="4"/>
      <c r="S958" s="4"/>
      <c r="T958" s="4"/>
      <c r="U958" s="4"/>
      <c r="V958" s="4"/>
      <c r="W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25"/>
      <c r="O959" s="4"/>
      <c r="P959" s="4"/>
      <c r="Q959" s="4"/>
      <c r="R959" s="4"/>
      <c r="S959" s="4"/>
      <c r="T959" s="4"/>
      <c r="U959" s="4"/>
      <c r="V959" s="4"/>
      <c r="W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25"/>
      <c r="O960" s="4"/>
      <c r="P960" s="4"/>
      <c r="Q960" s="4"/>
      <c r="R960" s="4"/>
      <c r="S960" s="4"/>
      <c r="T960" s="4"/>
      <c r="U960" s="4"/>
      <c r="V960" s="4"/>
      <c r="W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25"/>
      <c r="O961" s="4"/>
      <c r="P961" s="4"/>
      <c r="Q961" s="4"/>
      <c r="R961" s="4"/>
      <c r="S961" s="4"/>
      <c r="T961" s="4"/>
      <c r="U961" s="4"/>
      <c r="V961" s="4"/>
      <c r="W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25"/>
      <c r="O962" s="4"/>
      <c r="P962" s="4"/>
      <c r="Q962" s="4"/>
      <c r="R962" s="4"/>
      <c r="S962" s="4"/>
      <c r="T962" s="4"/>
      <c r="U962" s="4"/>
      <c r="V962" s="4"/>
      <c r="W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25"/>
      <c r="O963" s="4"/>
      <c r="P963" s="4"/>
      <c r="Q963" s="4"/>
      <c r="R963" s="4"/>
      <c r="S963" s="4"/>
      <c r="T963" s="4"/>
      <c r="U963" s="4"/>
      <c r="V963" s="4"/>
      <c r="W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25"/>
      <c r="O964" s="4"/>
      <c r="P964" s="4"/>
      <c r="Q964" s="4"/>
      <c r="R964" s="4"/>
      <c r="S964" s="4"/>
      <c r="T964" s="4"/>
      <c r="U964" s="4"/>
      <c r="V964" s="4"/>
      <c r="W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25"/>
      <c r="O965" s="4"/>
      <c r="P965" s="4"/>
      <c r="Q965" s="4"/>
      <c r="R965" s="4"/>
      <c r="S965" s="4"/>
      <c r="T965" s="4"/>
      <c r="U965" s="4"/>
      <c r="V965" s="4"/>
      <c r="W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25"/>
      <c r="O966" s="4"/>
      <c r="P966" s="4"/>
      <c r="Q966" s="4"/>
      <c r="R966" s="4"/>
      <c r="S966" s="4"/>
      <c r="T966" s="4"/>
      <c r="U966" s="4"/>
      <c r="V966" s="4"/>
      <c r="W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25"/>
      <c r="O967" s="4"/>
      <c r="P967" s="4"/>
      <c r="Q967" s="4"/>
      <c r="R967" s="4"/>
      <c r="S967" s="4"/>
      <c r="T967" s="4"/>
      <c r="U967" s="4"/>
      <c r="V967" s="4"/>
      <c r="W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25"/>
      <c r="O968" s="4"/>
      <c r="P968" s="4"/>
      <c r="Q968" s="4"/>
      <c r="R968" s="4"/>
      <c r="S968" s="4"/>
      <c r="T968" s="4"/>
      <c r="U968" s="4"/>
      <c r="V968" s="4"/>
      <c r="W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25"/>
      <c r="O969" s="4"/>
      <c r="P969" s="4"/>
      <c r="Q969" s="4"/>
      <c r="R969" s="4"/>
      <c r="S969" s="4"/>
      <c r="T969" s="4"/>
      <c r="U969" s="4"/>
      <c r="V969" s="4"/>
      <c r="W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25"/>
      <c r="O970" s="4"/>
      <c r="P970" s="4"/>
      <c r="Q970" s="4"/>
      <c r="R970" s="4"/>
      <c r="S970" s="4"/>
      <c r="T970" s="4"/>
      <c r="U970" s="4"/>
      <c r="V970" s="4"/>
      <c r="W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25"/>
      <c r="O971" s="4"/>
      <c r="P971" s="4"/>
      <c r="Q971" s="4"/>
      <c r="R971" s="4"/>
      <c r="S971" s="4"/>
      <c r="T971" s="4"/>
      <c r="U971" s="4"/>
      <c r="V971" s="4"/>
      <c r="W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25"/>
      <c r="O972" s="4"/>
      <c r="P972" s="4"/>
      <c r="Q972" s="4"/>
      <c r="R972" s="4"/>
      <c r="S972" s="4"/>
      <c r="T972" s="4"/>
      <c r="U972" s="4"/>
      <c r="V972" s="4"/>
      <c r="W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25"/>
      <c r="O973" s="4"/>
      <c r="P973" s="4"/>
      <c r="Q973" s="4"/>
      <c r="R973" s="4"/>
      <c r="S973" s="4"/>
      <c r="T973" s="4"/>
      <c r="U973" s="4"/>
      <c r="V973" s="4"/>
      <c r="W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25"/>
      <c r="O974" s="4"/>
      <c r="P974" s="4"/>
      <c r="Q974" s="4"/>
      <c r="R974" s="4"/>
      <c r="S974" s="4"/>
      <c r="T974" s="4"/>
      <c r="U974" s="4"/>
      <c r="V974" s="4"/>
      <c r="W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25"/>
      <c r="O975" s="4"/>
      <c r="P975" s="4"/>
      <c r="Q975" s="4"/>
      <c r="R975" s="4"/>
      <c r="S975" s="4"/>
      <c r="T975" s="4"/>
      <c r="U975" s="4"/>
      <c r="V975" s="4"/>
      <c r="W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25"/>
      <c r="O976" s="4"/>
      <c r="P976" s="4"/>
      <c r="Q976" s="4"/>
      <c r="R976" s="4"/>
      <c r="S976" s="4"/>
      <c r="T976" s="4"/>
      <c r="U976" s="4"/>
      <c r="V976" s="4"/>
      <c r="W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25"/>
      <c r="O977" s="4"/>
      <c r="P977" s="4"/>
      <c r="Q977" s="4"/>
      <c r="R977" s="4"/>
      <c r="S977" s="4"/>
      <c r="T977" s="4"/>
      <c r="U977" s="4"/>
      <c r="V977" s="4"/>
      <c r="W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25"/>
      <c r="O978" s="4"/>
      <c r="P978" s="4"/>
      <c r="Q978" s="4"/>
      <c r="R978" s="4"/>
      <c r="S978" s="4"/>
      <c r="T978" s="4"/>
      <c r="U978" s="4"/>
      <c r="V978" s="4"/>
      <c r="W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25"/>
      <c r="O979" s="4"/>
      <c r="P979" s="4"/>
      <c r="Q979" s="4"/>
      <c r="R979" s="4"/>
      <c r="S979" s="4"/>
      <c r="T979" s="4"/>
      <c r="U979" s="4"/>
      <c r="V979" s="4"/>
      <c r="W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25"/>
      <c r="O980" s="4"/>
      <c r="P980" s="4"/>
      <c r="Q980" s="4"/>
      <c r="R980" s="4"/>
      <c r="S980" s="4"/>
      <c r="T980" s="4"/>
      <c r="U980" s="4"/>
      <c r="V980" s="4"/>
      <c r="W980" s="4"/>
    </row>
  </sheetData>
  <dataValidations>
    <dataValidation type="custom" allowBlank="1" showDropDown="1" sqref="N2:N207">
      <formula1>OR(NOT(ISERROR(DATEVALUE(N2))), AND(ISNUMBER(N2), LEFT(CELL("format", N2))="D"))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7.43"/>
    <col customWidth="1" min="3" max="3" width="15.71"/>
  </cols>
  <sheetData>
    <row r="1">
      <c r="A1" s="42" t="s">
        <v>668</v>
      </c>
      <c r="B1" s="43" t="s">
        <v>669</v>
      </c>
      <c r="C1" s="43" t="s">
        <v>670</v>
      </c>
      <c r="D1" s="44" t="s">
        <v>671</v>
      </c>
    </row>
    <row r="2">
      <c r="A2" s="45">
        <v>275.0</v>
      </c>
      <c r="B2" s="46" t="s">
        <v>672</v>
      </c>
      <c r="C2" s="46" t="s">
        <v>673</v>
      </c>
      <c r="D2" s="47">
        <v>1.0</v>
      </c>
    </row>
    <row r="3">
      <c r="A3" s="48">
        <v>444.0</v>
      </c>
      <c r="B3" s="49" t="s">
        <v>674</v>
      </c>
      <c r="C3" s="49" t="s">
        <v>675</v>
      </c>
      <c r="D3" s="50">
        <v>1.0</v>
      </c>
    </row>
    <row r="4">
      <c r="A4" s="45">
        <v>527.0</v>
      </c>
      <c r="B4" s="46" t="s">
        <v>676</v>
      </c>
      <c r="C4" s="46" t="s">
        <v>677</v>
      </c>
      <c r="D4" s="47">
        <v>1.0</v>
      </c>
    </row>
    <row r="5">
      <c r="A5" s="48">
        <v>543.0</v>
      </c>
      <c r="B5" s="49" t="s">
        <v>678</v>
      </c>
      <c r="C5" s="49" t="s">
        <v>679</v>
      </c>
      <c r="D5" s="50">
        <v>1.0</v>
      </c>
    </row>
    <row r="6">
      <c r="A6" s="45">
        <v>560.0</v>
      </c>
      <c r="B6" s="46" t="s">
        <v>680</v>
      </c>
      <c r="C6" s="46" t="s">
        <v>681</v>
      </c>
      <c r="D6" s="47">
        <v>1.0</v>
      </c>
    </row>
    <row r="7">
      <c r="A7" s="48">
        <v>754.0</v>
      </c>
      <c r="B7" s="49" t="s">
        <v>682</v>
      </c>
      <c r="C7" s="49" t="s">
        <v>683</v>
      </c>
      <c r="D7" s="50">
        <v>1.0</v>
      </c>
    </row>
    <row r="8">
      <c r="A8" s="45">
        <v>769.0</v>
      </c>
      <c r="B8" s="46" t="s">
        <v>602</v>
      </c>
      <c r="C8" s="46" t="s">
        <v>684</v>
      </c>
      <c r="D8" s="47">
        <v>1.0</v>
      </c>
    </row>
    <row r="9">
      <c r="A9" s="48">
        <v>773.0</v>
      </c>
      <c r="B9" s="49" t="s">
        <v>685</v>
      </c>
      <c r="C9" s="49" t="s">
        <v>686</v>
      </c>
      <c r="D9" s="50">
        <v>1.0</v>
      </c>
    </row>
    <row r="10">
      <c r="A10" s="45">
        <v>909.0</v>
      </c>
      <c r="B10" s="46" t="s">
        <v>687</v>
      </c>
      <c r="C10" s="46" t="s">
        <v>688</v>
      </c>
      <c r="D10" s="47">
        <v>1.0</v>
      </c>
    </row>
    <row r="11">
      <c r="A11" s="48">
        <v>941.0</v>
      </c>
      <c r="B11" s="49" t="s">
        <v>689</v>
      </c>
      <c r="C11" s="49" t="s">
        <v>690</v>
      </c>
      <c r="D11" s="50">
        <v>1.0</v>
      </c>
    </row>
    <row r="12">
      <c r="A12" s="45">
        <v>1004.0</v>
      </c>
      <c r="B12" s="46" t="s">
        <v>691</v>
      </c>
      <c r="C12" s="46" t="s">
        <v>692</v>
      </c>
      <c r="D12" s="47">
        <v>1.0</v>
      </c>
    </row>
    <row r="13">
      <c r="A13" s="48">
        <v>1023.0</v>
      </c>
      <c r="B13" s="49" t="s">
        <v>693</v>
      </c>
      <c r="C13" s="49" t="s">
        <v>694</v>
      </c>
      <c r="D13" s="50">
        <v>1.0</v>
      </c>
    </row>
    <row r="14">
      <c r="A14" s="45">
        <v>1025.0</v>
      </c>
      <c r="B14" s="46" t="s">
        <v>695</v>
      </c>
      <c r="C14" s="46" t="s">
        <v>696</v>
      </c>
      <c r="D14" s="47">
        <v>1.0</v>
      </c>
    </row>
    <row r="15">
      <c r="A15" s="48">
        <v>1065.0</v>
      </c>
      <c r="B15" s="49" t="s">
        <v>697</v>
      </c>
      <c r="C15" s="49" t="s">
        <v>698</v>
      </c>
      <c r="D15" s="50">
        <v>1.0</v>
      </c>
    </row>
    <row r="16">
      <c r="A16" s="45">
        <v>1116.0</v>
      </c>
      <c r="B16" s="46" t="s">
        <v>699</v>
      </c>
      <c r="C16" s="46" t="s">
        <v>700</v>
      </c>
      <c r="D16" s="47">
        <v>1.0</v>
      </c>
    </row>
    <row r="17">
      <c r="A17" s="48">
        <v>1143.0</v>
      </c>
      <c r="B17" s="49" t="s">
        <v>701</v>
      </c>
      <c r="C17" s="49" t="s">
        <v>702</v>
      </c>
      <c r="D17" s="50">
        <v>1.0</v>
      </c>
    </row>
    <row r="18">
      <c r="A18" s="45">
        <v>1344.0</v>
      </c>
      <c r="B18" s="46" t="s">
        <v>703</v>
      </c>
      <c r="C18" s="46" t="s">
        <v>704</v>
      </c>
      <c r="D18" s="47">
        <v>1.0</v>
      </c>
    </row>
    <row r="19">
      <c r="A19" s="48">
        <v>1365.0</v>
      </c>
      <c r="B19" s="49" t="s">
        <v>705</v>
      </c>
      <c r="C19" s="49" t="s">
        <v>706</v>
      </c>
      <c r="D19" s="50">
        <v>1.0</v>
      </c>
    </row>
    <row r="20">
      <c r="A20" s="45">
        <v>1410.0</v>
      </c>
      <c r="B20" s="46" t="s">
        <v>707</v>
      </c>
      <c r="C20" s="46" t="s">
        <v>708</v>
      </c>
      <c r="D20" s="47">
        <v>1.0</v>
      </c>
    </row>
    <row r="21">
      <c r="A21" s="48">
        <v>1449.0</v>
      </c>
      <c r="B21" s="49" t="s">
        <v>709</v>
      </c>
      <c r="C21" s="49" t="s">
        <v>710</v>
      </c>
      <c r="D21" s="50">
        <v>1.0</v>
      </c>
    </row>
    <row r="22">
      <c r="A22" s="45">
        <v>1583.0</v>
      </c>
      <c r="B22" s="46" t="s">
        <v>711</v>
      </c>
      <c r="C22" s="46" t="s">
        <v>712</v>
      </c>
      <c r="D22" s="47">
        <v>1.0</v>
      </c>
    </row>
    <row r="23">
      <c r="A23" s="48">
        <v>1636.0</v>
      </c>
      <c r="B23" s="49" t="s">
        <v>713</v>
      </c>
      <c r="C23" s="49" t="s">
        <v>714</v>
      </c>
      <c r="D23" s="50">
        <v>1.0</v>
      </c>
    </row>
    <row r="24">
      <c r="A24" s="45">
        <v>1644.0</v>
      </c>
      <c r="B24" s="46" t="s">
        <v>715</v>
      </c>
      <c r="C24" s="46" t="s">
        <v>716</v>
      </c>
      <c r="D24" s="47">
        <v>1.0</v>
      </c>
    </row>
    <row r="25">
      <c r="A25" s="48">
        <v>1645.0</v>
      </c>
      <c r="B25" s="49" t="s">
        <v>717</v>
      </c>
      <c r="C25" s="49" t="s">
        <v>718</v>
      </c>
      <c r="D25" s="50">
        <v>1.0</v>
      </c>
    </row>
    <row r="26">
      <c r="A26" s="45">
        <v>1654.0</v>
      </c>
      <c r="B26" s="46" t="s">
        <v>719</v>
      </c>
      <c r="C26" s="46" t="s">
        <v>720</v>
      </c>
      <c r="D26" s="47">
        <v>1.0</v>
      </c>
    </row>
    <row r="27">
      <c r="A27" s="48">
        <v>1674.0</v>
      </c>
      <c r="B27" s="49" t="s">
        <v>721</v>
      </c>
      <c r="C27" s="49" t="s">
        <v>722</v>
      </c>
      <c r="D27" s="50">
        <v>1.0</v>
      </c>
    </row>
    <row r="28">
      <c r="A28" s="45">
        <v>1677.0</v>
      </c>
      <c r="B28" s="46" t="s">
        <v>723</v>
      </c>
      <c r="C28" s="46" t="s">
        <v>724</v>
      </c>
      <c r="D28" s="47">
        <v>1.0</v>
      </c>
    </row>
    <row r="29">
      <c r="A29" s="48">
        <v>1746.0</v>
      </c>
      <c r="B29" s="49" t="s">
        <v>607</v>
      </c>
      <c r="C29" s="49" t="s">
        <v>725</v>
      </c>
      <c r="D29" s="50">
        <v>1.0</v>
      </c>
    </row>
    <row r="30">
      <c r="A30" s="45">
        <v>1775.0</v>
      </c>
      <c r="B30" s="46" t="s">
        <v>726</v>
      </c>
      <c r="C30" s="46" t="s">
        <v>727</v>
      </c>
      <c r="D30" s="47">
        <v>1.0</v>
      </c>
    </row>
    <row r="31">
      <c r="A31" s="48">
        <v>1784.0</v>
      </c>
      <c r="B31" s="49" t="s">
        <v>550</v>
      </c>
      <c r="C31" s="49" t="s">
        <v>699</v>
      </c>
      <c r="D31" s="50">
        <v>1.0</v>
      </c>
    </row>
    <row r="32">
      <c r="A32" s="45">
        <v>1852.0</v>
      </c>
      <c r="B32" s="46" t="s">
        <v>728</v>
      </c>
      <c r="C32" s="46" t="s">
        <v>729</v>
      </c>
      <c r="D32" s="47">
        <v>1.0</v>
      </c>
    </row>
    <row r="33">
      <c r="A33" s="48">
        <v>1873.0</v>
      </c>
      <c r="B33" s="49" t="s">
        <v>550</v>
      </c>
      <c r="C33" s="49" t="s">
        <v>730</v>
      </c>
      <c r="D33" s="50">
        <v>1.0</v>
      </c>
    </row>
    <row r="34">
      <c r="A34" s="45">
        <v>1878.0</v>
      </c>
      <c r="B34" s="46" t="s">
        <v>731</v>
      </c>
      <c r="C34" s="46" t="s">
        <v>732</v>
      </c>
      <c r="D34" s="47">
        <v>1.0</v>
      </c>
    </row>
    <row r="35">
      <c r="A35" s="48">
        <v>1923.0</v>
      </c>
      <c r="B35" s="49" t="s">
        <v>733</v>
      </c>
      <c r="C35" s="49" t="s">
        <v>734</v>
      </c>
      <c r="D35" s="50">
        <v>1.0</v>
      </c>
    </row>
    <row r="36">
      <c r="A36" s="45">
        <v>1940.0</v>
      </c>
      <c r="B36" s="46" t="s">
        <v>735</v>
      </c>
      <c r="C36" s="46" t="s">
        <v>736</v>
      </c>
      <c r="D36" s="47">
        <v>1.0</v>
      </c>
    </row>
    <row r="37">
      <c r="A37" s="48">
        <v>1942.0</v>
      </c>
      <c r="B37" s="49" t="s">
        <v>737</v>
      </c>
      <c r="C37" s="49" t="s">
        <v>738</v>
      </c>
      <c r="D37" s="50">
        <v>1.0</v>
      </c>
    </row>
    <row r="38">
      <c r="A38" s="45">
        <v>1944.0</v>
      </c>
      <c r="B38" s="46" t="s">
        <v>739</v>
      </c>
      <c r="C38" s="46" t="s">
        <v>740</v>
      </c>
      <c r="D38" s="47">
        <v>1.0</v>
      </c>
    </row>
    <row r="39">
      <c r="A39" s="48">
        <v>1951.0</v>
      </c>
      <c r="B39" s="49" t="s">
        <v>741</v>
      </c>
      <c r="C39" s="49" t="s">
        <v>742</v>
      </c>
      <c r="D39" s="50">
        <v>1.0</v>
      </c>
    </row>
    <row r="40">
      <c r="A40" s="45">
        <v>1953.0</v>
      </c>
      <c r="B40" s="46" t="s">
        <v>743</v>
      </c>
      <c r="C40" s="46" t="s">
        <v>744</v>
      </c>
      <c r="D40" s="47">
        <v>1.0</v>
      </c>
    </row>
    <row r="41">
      <c r="A41" s="48">
        <v>1955.0</v>
      </c>
      <c r="B41" s="49" t="s">
        <v>745</v>
      </c>
      <c r="C41" s="49" t="s">
        <v>740</v>
      </c>
      <c r="D41" s="50">
        <v>1.0</v>
      </c>
    </row>
    <row r="42">
      <c r="A42" s="45">
        <v>1968.0</v>
      </c>
      <c r="B42" s="46" t="s">
        <v>746</v>
      </c>
      <c r="C42" s="46" t="s">
        <v>747</v>
      </c>
      <c r="D42" s="47">
        <v>1.0</v>
      </c>
    </row>
    <row r="43">
      <c r="A43" s="48">
        <v>1969.0</v>
      </c>
      <c r="B43" s="49" t="s">
        <v>748</v>
      </c>
      <c r="C43" s="49" t="s">
        <v>749</v>
      </c>
      <c r="D43" s="50">
        <v>1.0</v>
      </c>
    </row>
    <row r="44">
      <c r="A44" s="45">
        <v>1970.0</v>
      </c>
      <c r="B44" s="46" t="s">
        <v>750</v>
      </c>
      <c r="C44" s="46" t="s">
        <v>751</v>
      </c>
      <c r="D44" s="47">
        <v>1.0</v>
      </c>
    </row>
    <row r="45">
      <c r="A45" s="48">
        <v>1971.0</v>
      </c>
      <c r="B45" s="49" t="s">
        <v>752</v>
      </c>
      <c r="C45" s="49" t="s">
        <v>753</v>
      </c>
      <c r="D45" s="50">
        <v>1.0</v>
      </c>
    </row>
    <row r="46">
      <c r="A46" s="45">
        <v>1974.0</v>
      </c>
      <c r="B46" s="46" t="s">
        <v>754</v>
      </c>
      <c r="C46" s="46" t="s">
        <v>755</v>
      </c>
      <c r="D46" s="47">
        <v>1.0</v>
      </c>
    </row>
    <row r="47">
      <c r="A47" s="48">
        <v>1975.0</v>
      </c>
      <c r="B47" s="49" t="s">
        <v>756</v>
      </c>
      <c r="C47" s="49" t="s">
        <v>675</v>
      </c>
      <c r="D47" s="50">
        <v>1.0</v>
      </c>
    </row>
    <row r="48">
      <c r="A48" s="45">
        <v>1978.0</v>
      </c>
      <c r="B48" s="46" t="s">
        <v>757</v>
      </c>
      <c r="C48" s="46" t="s">
        <v>758</v>
      </c>
      <c r="D48" s="47">
        <v>1.0</v>
      </c>
    </row>
    <row r="49">
      <c r="A49" s="48">
        <v>1979.0</v>
      </c>
      <c r="B49" s="49" t="s">
        <v>759</v>
      </c>
      <c r="C49" s="49" t="s">
        <v>736</v>
      </c>
      <c r="D49" s="50">
        <v>1.0</v>
      </c>
    </row>
    <row r="50">
      <c r="A50" s="45">
        <v>1981.0</v>
      </c>
      <c r="B50" s="46" t="s">
        <v>760</v>
      </c>
      <c r="C50" s="46" t="s">
        <v>761</v>
      </c>
      <c r="D50" s="47">
        <v>1.0</v>
      </c>
    </row>
    <row r="51">
      <c r="A51" s="48">
        <v>1984.0</v>
      </c>
      <c r="B51" s="49" t="s">
        <v>762</v>
      </c>
      <c r="C51" s="49" t="s">
        <v>763</v>
      </c>
      <c r="D51" s="50">
        <v>1.0</v>
      </c>
    </row>
    <row r="52">
      <c r="A52" s="45">
        <v>1988.0</v>
      </c>
      <c r="B52" s="46" t="s">
        <v>764</v>
      </c>
      <c r="C52" s="46" t="s">
        <v>765</v>
      </c>
      <c r="D52" s="47">
        <v>1.0</v>
      </c>
    </row>
    <row r="53">
      <c r="A53" s="48">
        <v>1989.0</v>
      </c>
      <c r="B53" s="49" t="s">
        <v>550</v>
      </c>
      <c r="C53" s="49" t="s">
        <v>766</v>
      </c>
      <c r="D53" s="50">
        <v>1.0</v>
      </c>
    </row>
    <row r="54">
      <c r="A54" s="45">
        <v>1999.0</v>
      </c>
      <c r="B54" s="46" t="s">
        <v>767</v>
      </c>
      <c r="C54" s="46" t="s">
        <v>768</v>
      </c>
      <c r="D54" s="47">
        <v>1.0</v>
      </c>
    </row>
    <row r="55">
      <c r="A55" s="48">
        <v>2001.0</v>
      </c>
      <c r="B55" s="49" t="s">
        <v>769</v>
      </c>
      <c r="C55" s="49" t="s">
        <v>770</v>
      </c>
      <c r="D55" s="50">
        <v>1.0</v>
      </c>
    </row>
    <row r="56">
      <c r="A56" s="45">
        <v>2114.0</v>
      </c>
      <c r="B56" s="46" t="s">
        <v>771</v>
      </c>
      <c r="C56" s="46" t="s">
        <v>772</v>
      </c>
      <c r="D56" s="47">
        <v>1.0</v>
      </c>
    </row>
    <row r="57">
      <c r="A57" s="48">
        <v>2131.0</v>
      </c>
      <c r="B57" s="49" t="s">
        <v>773</v>
      </c>
      <c r="C57" s="49" t="s">
        <v>774</v>
      </c>
      <c r="D57" s="50">
        <v>1.0</v>
      </c>
    </row>
    <row r="58">
      <c r="A58" s="45">
        <v>2201.0</v>
      </c>
      <c r="B58" s="46" t="s">
        <v>775</v>
      </c>
      <c r="C58" s="46" t="s">
        <v>776</v>
      </c>
      <c r="D58" s="47">
        <v>1.0</v>
      </c>
    </row>
    <row r="59">
      <c r="A59" s="48">
        <v>2209.0</v>
      </c>
      <c r="B59" s="49" t="s">
        <v>777</v>
      </c>
      <c r="C59" s="49" t="s">
        <v>716</v>
      </c>
      <c r="D59" s="50">
        <v>1.0</v>
      </c>
    </row>
    <row r="60">
      <c r="A60" s="45">
        <v>2229.0</v>
      </c>
      <c r="B60" s="46" t="s">
        <v>778</v>
      </c>
      <c r="C60" s="46" t="s">
        <v>768</v>
      </c>
      <c r="D60" s="47">
        <v>1.0</v>
      </c>
    </row>
    <row r="61">
      <c r="A61" s="48">
        <v>2245.0</v>
      </c>
      <c r="B61" s="49" t="s">
        <v>779</v>
      </c>
      <c r="C61" s="49" t="s">
        <v>780</v>
      </c>
      <c r="D61" s="50">
        <v>1.0</v>
      </c>
    </row>
    <row r="62">
      <c r="A62" s="45">
        <v>2253.0</v>
      </c>
      <c r="B62" s="46" t="s">
        <v>781</v>
      </c>
      <c r="C62" s="46" t="s">
        <v>782</v>
      </c>
      <c r="D62" s="47">
        <v>1.0</v>
      </c>
    </row>
    <row r="63">
      <c r="A63" s="48">
        <v>2266.0</v>
      </c>
      <c r="B63" s="49" t="s">
        <v>783</v>
      </c>
      <c r="C63" s="49" t="s">
        <v>784</v>
      </c>
      <c r="D63" s="50">
        <v>1.0</v>
      </c>
    </row>
    <row r="64">
      <c r="A64" s="45">
        <v>2267.0</v>
      </c>
      <c r="B64" s="46" t="s">
        <v>785</v>
      </c>
      <c r="C64" s="46" t="s">
        <v>786</v>
      </c>
      <c r="D64" s="47">
        <v>1.0</v>
      </c>
    </row>
    <row r="65">
      <c r="A65" s="48">
        <v>2289.0</v>
      </c>
      <c r="B65" s="49" t="s">
        <v>787</v>
      </c>
      <c r="C65" s="49" t="s">
        <v>788</v>
      </c>
      <c r="D65" s="50">
        <v>1.0</v>
      </c>
    </row>
    <row r="66">
      <c r="A66" s="45">
        <v>2322.0</v>
      </c>
      <c r="B66" s="46" t="s">
        <v>789</v>
      </c>
      <c r="C66" s="46" t="s">
        <v>729</v>
      </c>
      <c r="D66" s="47">
        <v>1.0</v>
      </c>
    </row>
    <row r="67">
      <c r="A67" s="48">
        <v>2324.0</v>
      </c>
      <c r="B67" s="49" t="s">
        <v>790</v>
      </c>
      <c r="C67" s="49" t="s">
        <v>791</v>
      </c>
      <c r="D67" s="50">
        <v>1.0</v>
      </c>
    </row>
    <row r="68">
      <c r="A68" s="45">
        <v>2340.0</v>
      </c>
      <c r="B68" s="46" t="s">
        <v>705</v>
      </c>
      <c r="C68" s="46" t="s">
        <v>675</v>
      </c>
      <c r="D68" s="47">
        <v>1.0</v>
      </c>
    </row>
    <row r="69">
      <c r="A69" s="48">
        <v>2351.0</v>
      </c>
      <c r="B69" s="49" t="s">
        <v>792</v>
      </c>
      <c r="C69" s="49" t="s">
        <v>793</v>
      </c>
      <c r="D69" s="50">
        <v>1.0</v>
      </c>
    </row>
    <row r="70">
      <c r="A70" s="45">
        <v>2378.0</v>
      </c>
      <c r="B70" s="46" t="s">
        <v>794</v>
      </c>
      <c r="C70" s="46" t="s">
        <v>795</v>
      </c>
      <c r="D70" s="47">
        <v>1.0</v>
      </c>
    </row>
    <row r="71">
      <c r="A71" s="48">
        <v>2379.0</v>
      </c>
      <c r="B71" s="49" t="s">
        <v>794</v>
      </c>
      <c r="C71" s="49" t="s">
        <v>796</v>
      </c>
      <c r="D71" s="50">
        <v>1.0</v>
      </c>
    </row>
    <row r="72">
      <c r="A72" s="45">
        <v>2428.0</v>
      </c>
      <c r="B72" s="46" t="s">
        <v>797</v>
      </c>
      <c r="C72" s="46" t="s">
        <v>798</v>
      </c>
      <c r="D72" s="47">
        <v>1.0</v>
      </c>
    </row>
    <row r="73">
      <c r="A73" s="48">
        <v>2473.0</v>
      </c>
      <c r="B73" s="49" t="s">
        <v>799</v>
      </c>
      <c r="C73" s="49" t="s">
        <v>800</v>
      </c>
      <c r="D73" s="50">
        <v>1.0</v>
      </c>
    </row>
    <row r="74">
      <c r="A74" s="45">
        <v>2512.0</v>
      </c>
      <c r="B74" s="46" t="s">
        <v>801</v>
      </c>
      <c r="C74" s="46" t="s">
        <v>698</v>
      </c>
      <c r="D74" s="47">
        <v>1.0</v>
      </c>
    </row>
    <row r="75">
      <c r="A75" s="48">
        <v>2518.0</v>
      </c>
      <c r="B75" s="49" t="s">
        <v>743</v>
      </c>
      <c r="C75" s="49" t="s">
        <v>740</v>
      </c>
      <c r="D75" s="50">
        <v>1.0</v>
      </c>
    </row>
    <row r="76">
      <c r="A76" s="45">
        <v>2532.0</v>
      </c>
      <c r="B76" s="46" t="s">
        <v>802</v>
      </c>
      <c r="C76" s="46" t="s">
        <v>803</v>
      </c>
      <c r="D76" s="47">
        <v>1.0</v>
      </c>
    </row>
    <row r="77">
      <c r="A77" s="48">
        <v>2537.0</v>
      </c>
      <c r="B77" s="49" t="s">
        <v>695</v>
      </c>
      <c r="C77" s="49" t="s">
        <v>804</v>
      </c>
      <c r="D77" s="50">
        <v>1.0</v>
      </c>
    </row>
    <row r="78">
      <c r="A78" s="45">
        <v>2596.0</v>
      </c>
      <c r="B78" s="46" t="s">
        <v>805</v>
      </c>
      <c r="C78" s="46" t="s">
        <v>806</v>
      </c>
      <c r="D78" s="47">
        <v>1.0</v>
      </c>
    </row>
    <row r="79">
      <c r="A79" s="48">
        <v>2680.0</v>
      </c>
      <c r="B79" s="49" t="s">
        <v>807</v>
      </c>
      <c r="C79" s="49" t="s">
        <v>808</v>
      </c>
      <c r="D79" s="50">
        <v>1.0</v>
      </c>
    </row>
    <row r="80">
      <c r="A80" s="45">
        <v>2693.0</v>
      </c>
      <c r="B80" s="46" t="s">
        <v>809</v>
      </c>
      <c r="C80" s="46" t="s">
        <v>810</v>
      </c>
      <c r="D80" s="47">
        <v>1.0</v>
      </c>
    </row>
    <row r="81">
      <c r="A81" s="48">
        <v>2788.0</v>
      </c>
      <c r="B81" s="49" t="s">
        <v>811</v>
      </c>
      <c r="C81" s="49" t="s">
        <v>812</v>
      </c>
      <c r="D81" s="50">
        <v>1.0</v>
      </c>
    </row>
    <row r="82">
      <c r="A82" s="45">
        <v>2800.0</v>
      </c>
      <c r="B82" s="46" t="s">
        <v>813</v>
      </c>
      <c r="C82" s="46" t="s">
        <v>814</v>
      </c>
      <c r="D82" s="47">
        <v>1.0</v>
      </c>
    </row>
    <row r="83">
      <c r="A83" s="48">
        <v>2812.0</v>
      </c>
      <c r="B83" s="49" t="s">
        <v>815</v>
      </c>
      <c r="C83" s="49" t="s">
        <v>816</v>
      </c>
      <c r="D83" s="50">
        <v>1.0</v>
      </c>
    </row>
    <row r="84">
      <c r="A84" s="45">
        <v>2883.0</v>
      </c>
      <c r="B84" s="46" t="s">
        <v>817</v>
      </c>
      <c r="C84" s="46" t="s">
        <v>818</v>
      </c>
      <c r="D84" s="47">
        <v>1.0</v>
      </c>
    </row>
    <row r="85">
      <c r="A85" s="48">
        <v>3037.0</v>
      </c>
      <c r="B85" s="49" t="s">
        <v>819</v>
      </c>
      <c r="C85" s="49" t="s">
        <v>716</v>
      </c>
      <c r="D85" s="50">
        <v>1.0</v>
      </c>
    </row>
    <row r="86">
      <c r="A86" s="45">
        <v>3047.0</v>
      </c>
      <c r="B86" s="46" t="s">
        <v>820</v>
      </c>
      <c r="C86" s="46" t="s">
        <v>821</v>
      </c>
      <c r="D86" s="47">
        <v>1.0</v>
      </c>
    </row>
    <row r="87">
      <c r="A87" s="48">
        <v>3077.0</v>
      </c>
      <c r="B87" s="49" t="s">
        <v>822</v>
      </c>
      <c r="C87" s="49" t="s">
        <v>823</v>
      </c>
      <c r="D87" s="50">
        <v>1.0</v>
      </c>
    </row>
    <row r="88">
      <c r="A88" s="45">
        <v>3192.0</v>
      </c>
      <c r="B88" s="46" t="s">
        <v>757</v>
      </c>
      <c r="C88" s="46" t="s">
        <v>824</v>
      </c>
      <c r="D88" s="47">
        <v>1.0</v>
      </c>
    </row>
    <row r="89">
      <c r="A89" s="48">
        <v>3203.0</v>
      </c>
      <c r="B89" s="49" t="s">
        <v>825</v>
      </c>
      <c r="C89" s="49" t="s">
        <v>698</v>
      </c>
      <c r="D89" s="50">
        <v>1.0</v>
      </c>
    </row>
    <row r="90">
      <c r="A90" s="45">
        <v>2450.0</v>
      </c>
      <c r="B90" s="46" t="s">
        <v>826</v>
      </c>
      <c r="C90" s="46" t="s">
        <v>740</v>
      </c>
      <c r="D90" s="47">
        <v>1.0</v>
      </c>
    </row>
    <row r="91">
      <c r="A91" s="48">
        <v>2177.0</v>
      </c>
      <c r="B91" s="49" t="s">
        <v>827</v>
      </c>
      <c r="C91" s="49" t="s">
        <v>798</v>
      </c>
      <c r="D91" s="50">
        <v>1.0</v>
      </c>
    </row>
    <row r="92">
      <c r="A92" s="45" t="s">
        <v>828</v>
      </c>
      <c r="B92" s="46" t="s">
        <v>829</v>
      </c>
      <c r="C92" s="46" t="s">
        <v>830</v>
      </c>
      <c r="D92" s="47">
        <v>1.0</v>
      </c>
    </row>
    <row r="93">
      <c r="A93" s="48" t="s">
        <v>828</v>
      </c>
      <c r="B93" s="49" t="s">
        <v>689</v>
      </c>
      <c r="C93" s="49" t="s">
        <v>831</v>
      </c>
      <c r="D93" s="50">
        <v>1.0</v>
      </c>
    </row>
    <row r="94">
      <c r="A94" s="45">
        <v>1124.0</v>
      </c>
      <c r="B94" s="46" t="s">
        <v>832</v>
      </c>
      <c r="C94" s="46" t="s">
        <v>833</v>
      </c>
      <c r="D94" s="47">
        <v>1.0</v>
      </c>
    </row>
    <row r="95">
      <c r="A95" s="48" t="s">
        <v>828</v>
      </c>
      <c r="B95" s="49" t="s">
        <v>834</v>
      </c>
      <c r="C95" s="49" t="s">
        <v>798</v>
      </c>
      <c r="D95" s="50">
        <v>1.0</v>
      </c>
    </row>
    <row r="96">
      <c r="A96" s="51" t="s">
        <v>828</v>
      </c>
      <c r="B96" s="52" t="s">
        <v>835</v>
      </c>
      <c r="C96" s="52" t="s">
        <v>836</v>
      </c>
      <c r="D96" s="53">
        <v>1.0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14"/>
    <col customWidth="1" min="3" max="3" width="26.0"/>
    <col customWidth="1" min="4" max="4" width="37.0"/>
    <col customWidth="1" min="5" max="5" width="37.57"/>
    <col customWidth="1" min="6" max="6" width="35.43"/>
    <col customWidth="1" min="7" max="7" width="17.86"/>
    <col customWidth="1" min="8" max="8" width="30.43"/>
    <col customWidth="1" min="9" max="9" width="35.43"/>
    <col customWidth="1" min="10" max="10" width="17.86"/>
    <col customWidth="1" min="11" max="11" width="30.43"/>
    <col customWidth="1" min="12" max="12" width="35.43"/>
    <col customWidth="1" min="13" max="13" width="17.86"/>
    <col customWidth="1" min="14" max="14" width="30.43"/>
    <col customWidth="1" min="15" max="15" width="35.43"/>
    <col customWidth="1" min="16" max="16" width="17.86"/>
    <col customWidth="1" min="17" max="17" width="30.43"/>
    <col customWidth="1" min="18" max="18" width="35.43"/>
    <col customWidth="1" min="19" max="19" width="17.86"/>
    <col customWidth="1" min="20" max="20" width="30.43"/>
    <col customWidth="1" min="21" max="21" width="35.43"/>
    <col customWidth="1" min="22" max="22" width="17.86"/>
    <col customWidth="1" min="23" max="23" width="30.43"/>
    <col customWidth="1" min="24" max="24" width="35.43"/>
    <col customWidth="1" min="25" max="25" width="17.86"/>
    <col customWidth="1" min="26" max="26" width="30.43"/>
  </cols>
  <sheetData>
    <row r="1">
      <c r="A1" s="42" t="s">
        <v>837</v>
      </c>
      <c r="B1" s="43" t="s">
        <v>838</v>
      </c>
      <c r="C1" s="43" t="s">
        <v>839</v>
      </c>
      <c r="D1" s="43" t="s">
        <v>840</v>
      </c>
      <c r="E1" s="43" t="s">
        <v>841</v>
      </c>
      <c r="F1" s="43" t="s">
        <v>842</v>
      </c>
      <c r="G1" s="43" t="s">
        <v>843</v>
      </c>
      <c r="H1" s="43" t="s">
        <v>844</v>
      </c>
      <c r="I1" s="43" t="s">
        <v>845</v>
      </c>
      <c r="J1" s="43" t="s">
        <v>846</v>
      </c>
      <c r="K1" s="43" t="s">
        <v>847</v>
      </c>
      <c r="L1" s="43" t="s">
        <v>848</v>
      </c>
      <c r="M1" s="43" t="s">
        <v>849</v>
      </c>
      <c r="N1" s="43" t="s">
        <v>850</v>
      </c>
      <c r="O1" s="43" t="s">
        <v>851</v>
      </c>
      <c r="P1" s="43" t="s">
        <v>852</v>
      </c>
      <c r="Q1" s="43" t="s">
        <v>853</v>
      </c>
      <c r="R1" s="43" t="s">
        <v>854</v>
      </c>
      <c r="S1" s="43" t="s">
        <v>855</v>
      </c>
      <c r="T1" s="43" t="s">
        <v>856</v>
      </c>
      <c r="U1" s="43" t="s">
        <v>857</v>
      </c>
      <c r="V1" s="43" t="s">
        <v>858</v>
      </c>
      <c r="W1" s="43" t="s">
        <v>859</v>
      </c>
      <c r="X1" s="43" t="s">
        <v>860</v>
      </c>
      <c r="Y1" s="43" t="s">
        <v>861</v>
      </c>
      <c r="Z1" s="54" t="s">
        <v>862</v>
      </c>
    </row>
    <row r="2">
      <c r="A2" s="45" t="s">
        <v>863</v>
      </c>
      <c r="B2" s="46">
        <v>180.0</v>
      </c>
      <c r="C2" s="46">
        <v>1.160531098E9</v>
      </c>
      <c r="D2" s="55">
        <v>42655.0</v>
      </c>
      <c r="E2" s="46" t="s">
        <v>864</v>
      </c>
      <c r="F2" s="46" t="s">
        <v>865</v>
      </c>
      <c r="G2" s="46">
        <v>5.5389451E7</v>
      </c>
      <c r="H2" s="55">
        <v>42398.0</v>
      </c>
      <c r="I2" s="46" t="s">
        <v>866</v>
      </c>
      <c r="J2" s="46" t="s">
        <v>866</v>
      </c>
    </row>
    <row r="3">
      <c r="A3" s="48" t="s">
        <v>867</v>
      </c>
      <c r="B3" s="49">
        <v>275.0</v>
      </c>
      <c r="C3" s="49">
        <v>1.126921416E9</v>
      </c>
      <c r="D3" s="56">
        <v>42884.0</v>
      </c>
      <c r="E3" s="49" t="s">
        <v>868</v>
      </c>
      <c r="F3" s="49" t="s">
        <v>869</v>
      </c>
      <c r="G3" s="49">
        <v>5.3171566E7</v>
      </c>
      <c r="H3" s="56">
        <v>41358.0</v>
      </c>
    </row>
    <row r="4">
      <c r="A4" s="45" t="s">
        <v>870</v>
      </c>
      <c r="B4" s="46">
        <v>413.0</v>
      </c>
      <c r="C4" s="46">
        <v>1.124773534E9</v>
      </c>
      <c r="D4" s="55">
        <v>42884.0</v>
      </c>
      <c r="E4" s="46">
        <v>12.0</v>
      </c>
      <c r="F4" s="46" t="s">
        <v>871</v>
      </c>
      <c r="G4" s="46">
        <v>5.0289508E7</v>
      </c>
      <c r="H4" s="55">
        <v>40276.0</v>
      </c>
    </row>
    <row r="5">
      <c r="A5" s="48" t="s">
        <v>872</v>
      </c>
      <c r="B5" s="49">
        <v>444.0</v>
      </c>
      <c r="C5" s="49">
        <v>1.156294264E9</v>
      </c>
      <c r="D5" s="56">
        <v>42917.0</v>
      </c>
      <c r="E5" s="49" t="s">
        <v>873</v>
      </c>
      <c r="F5" s="49" t="s">
        <v>874</v>
      </c>
      <c r="G5" s="49">
        <v>4.9002653E7</v>
      </c>
      <c r="H5" s="56">
        <v>39879.0</v>
      </c>
      <c r="I5" s="49" t="s">
        <v>875</v>
      </c>
      <c r="J5" s="49">
        <v>5.4185111E7</v>
      </c>
      <c r="K5" s="56">
        <v>41872.0</v>
      </c>
    </row>
    <row r="6">
      <c r="A6" s="45" t="s">
        <v>876</v>
      </c>
      <c r="B6" s="46">
        <v>526.0</v>
      </c>
      <c r="C6" s="46">
        <v>1.136983612E9</v>
      </c>
      <c r="D6" s="55">
        <v>42921.0</v>
      </c>
      <c r="E6" s="46">
        <v>8.0</v>
      </c>
      <c r="F6" s="46" t="s">
        <v>877</v>
      </c>
      <c r="G6" s="46">
        <v>4.970183E7</v>
      </c>
      <c r="H6" s="55">
        <v>40030.0</v>
      </c>
      <c r="I6" s="46" t="s">
        <v>878</v>
      </c>
      <c r="J6" s="46">
        <v>5.4100632E7</v>
      </c>
      <c r="K6" s="55">
        <v>41815.0</v>
      </c>
    </row>
    <row r="7">
      <c r="A7" s="48" t="s">
        <v>879</v>
      </c>
      <c r="B7" s="49">
        <v>543.0</v>
      </c>
      <c r="C7" s="49">
        <v>1.130404995E9</v>
      </c>
      <c r="D7" s="56">
        <v>42919.0</v>
      </c>
      <c r="E7" s="49">
        <v>5.0</v>
      </c>
      <c r="F7" s="49" t="s">
        <v>880</v>
      </c>
      <c r="G7" s="49">
        <v>5.0156592E7</v>
      </c>
      <c r="H7" s="56">
        <v>40234.0</v>
      </c>
    </row>
    <row r="8">
      <c r="A8" s="45" t="s">
        <v>881</v>
      </c>
      <c r="B8" s="46">
        <v>740.0</v>
      </c>
      <c r="C8" s="46">
        <v>1.124302371E9</v>
      </c>
      <c r="D8" s="55">
        <v>42950.0</v>
      </c>
      <c r="E8" s="46">
        <v>8.0</v>
      </c>
      <c r="F8" s="46" t="s">
        <v>882</v>
      </c>
      <c r="G8" s="46">
        <v>5.0501211E7</v>
      </c>
      <c r="H8" s="55">
        <v>40433.0</v>
      </c>
    </row>
    <row r="9">
      <c r="A9" s="48" t="s">
        <v>883</v>
      </c>
      <c r="B9" s="49">
        <v>754.0</v>
      </c>
      <c r="C9" s="49">
        <v>1.128666648E9</v>
      </c>
      <c r="D9" s="56">
        <v>42954.0</v>
      </c>
      <c r="E9" s="49">
        <v>14.0</v>
      </c>
      <c r="F9" s="49" t="s">
        <v>884</v>
      </c>
      <c r="G9" s="49">
        <v>4.9002705E7</v>
      </c>
      <c r="H9" s="56">
        <v>39910.0</v>
      </c>
      <c r="I9" s="49" t="s">
        <v>885</v>
      </c>
      <c r="J9" s="49">
        <v>5.0289552E7</v>
      </c>
      <c r="K9" s="56">
        <v>40537.0</v>
      </c>
      <c r="L9" s="49" t="s">
        <v>886</v>
      </c>
      <c r="M9" s="49">
        <v>5.6385774E7</v>
      </c>
      <c r="N9" s="56">
        <v>42893.0</v>
      </c>
    </row>
    <row r="10">
      <c r="A10" s="45" t="s">
        <v>887</v>
      </c>
      <c r="B10" s="46">
        <v>769.0</v>
      </c>
      <c r="C10" s="46">
        <v>1.141633096E9</v>
      </c>
      <c r="D10" s="55">
        <v>42948.0</v>
      </c>
      <c r="E10" s="46">
        <v>1.0</v>
      </c>
      <c r="F10" s="46" t="s">
        <v>888</v>
      </c>
      <c r="G10" s="46">
        <v>5.479255E7</v>
      </c>
      <c r="H10" s="55">
        <v>42108.0</v>
      </c>
      <c r="I10" s="46" t="s">
        <v>889</v>
      </c>
      <c r="J10" s="46">
        <v>5.8026189E7</v>
      </c>
      <c r="K10" s="55">
        <v>43766.0</v>
      </c>
      <c r="L10" s="46" t="s">
        <v>890</v>
      </c>
      <c r="M10" s="46">
        <v>5.8873165E7</v>
      </c>
      <c r="N10" s="55">
        <v>44361.0</v>
      </c>
    </row>
    <row r="11">
      <c r="A11" s="48" t="s">
        <v>891</v>
      </c>
      <c r="B11" s="49">
        <v>909.0</v>
      </c>
      <c r="C11" s="49">
        <v>1.124936411E9</v>
      </c>
      <c r="D11" s="56">
        <v>42954.0</v>
      </c>
      <c r="E11" s="49">
        <v>7.0</v>
      </c>
      <c r="F11" s="49" t="s">
        <v>892</v>
      </c>
      <c r="G11" s="49">
        <v>9.5189739E7</v>
      </c>
      <c r="H11" s="56">
        <v>46148.0</v>
      </c>
      <c r="I11" s="49" t="s">
        <v>893</v>
      </c>
      <c r="J11" s="49">
        <v>9.5189738E7</v>
      </c>
      <c r="K11" s="56">
        <v>39336.0</v>
      </c>
      <c r="L11" s="49" t="s">
        <v>894</v>
      </c>
      <c r="M11" s="49">
        <v>9.5189737E7</v>
      </c>
      <c r="N11" s="56">
        <v>40095.0</v>
      </c>
      <c r="O11" s="49" t="s">
        <v>895</v>
      </c>
      <c r="P11" s="49">
        <v>5.3649865E7</v>
      </c>
      <c r="Q11" s="56">
        <v>41651.0</v>
      </c>
    </row>
    <row r="12">
      <c r="A12" s="45" t="s">
        <v>896</v>
      </c>
      <c r="B12" s="46">
        <v>996.0</v>
      </c>
      <c r="C12" s="46">
        <v>1.138863933E9</v>
      </c>
      <c r="D12" s="55">
        <v>42951.0</v>
      </c>
      <c r="E12" s="46" t="s">
        <v>897</v>
      </c>
      <c r="F12" s="46" t="s">
        <v>898</v>
      </c>
      <c r="G12" s="46">
        <v>4.8463113E7</v>
      </c>
      <c r="H12" s="55">
        <v>39475.0</v>
      </c>
      <c r="I12" s="46" t="s">
        <v>899</v>
      </c>
      <c r="J12" s="46">
        <v>5.0437489E7</v>
      </c>
      <c r="K12" s="55">
        <v>40381.0</v>
      </c>
    </row>
    <row r="13">
      <c r="A13" s="48" t="s">
        <v>900</v>
      </c>
      <c r="B13" s="49">
        <v>1023.0</v>
      </c>
      <c r="C13" s="49">
        <v>1.165037377E9</v>
      </c>
      <c r="D13" s="56">
        <v>42948.0</v>
      </c>
      <c r="E13" s="49" t="s">
        <v>901</v>
      </c>
      <c r="F13" s="49" t="s">
        <v>902</v>
      </c>
      <c r="G13" s="49">
        <v>4.9008586E7</v>
      </c>
      <c r="H13" s="56">
        <v>39710.0</v>
      </c>
      <c r="I13" s="49" t="s">
        <v>903</v>
      </c>
      <c r="K13" s="56">
        <v>45435.0</v>
      </c>
    </row>
    <row r="14">
      <c r="A14" s="45" t="s">
        <v>904</v>
      </c>
      <c r="B14" s="46">
        <v>1065.0</v>
      </c>
      <c r="C14" s="46">
        <v>1.156952628E9</v>
      </c>
      <c r="D14" s="55">
        <v>42948.0</v>
      </c>
      <c r="E14" s="46">
        <v>6.0</v>
      </c>
      <c r="F14" s="46" t="s">
        <v>905</v>
      </c>
      <c r="G14" s="46">
        <v>5.028852E7</v>
      </c>
      <c r="H14" s="55">
        <v>40303.0</v>
      </c>
    </row>
    <row r="15">
      <c r="A15" s="48" t="s">
        <v>906</v>
      </c>
      <c r="B15" s="49">
        <v>1142.0</v>
      </c>
      <c r="C15" s="49">
        <v>1.130700402E9</v>
      </c>
      <c r="D15" s="56">
        <v>42954.0</v>
      </c>
      <c r="E15" s="49" t="s">
        <v>907</v>
      </c>
      <c r="F15" s="49" t="s">
        <v>908</v>
      </c>
      <c r="G15" s="49">
        <v>5.4699167E7</v>
      </c>
      <c r="H15" s="56">
        <v>42117.0</v>
      </c>
    </row>
    <row r="16">
      <c r="A16" s="45" t="s">
        <v>909</v>
      </c>
      <c r="B16" s="46">
        <v>1234.0</v>
      </c>
      <c r="C16" s="46">
        <v>1.161708518E9</v>
      </c>
      <c r="D16" s="55">
        <v>43164.0</v>
      </c>
      <c r="E16" s="46">
        <v>1.0</v>
      </c>
      <c r="F16" s="46" t="s">
        <v>910</v>
      </c>
      <c r="G16" s="46">
        <v>5.973882E7</v>
      </c>
      <c r="H16" s="55">
        <v>45030.0</v>
      </c>
    </row>
    <row r="17">
      <c r="A17" s="48" t="s">
        <v>911</v>
      </c>
      <c r="B17" s="49">
        <v>1536.0</v>
      </c>
      <c r="C17" s="49">
        <v>1.166665806E9</v>
      </c>
      <c r="D17" s="56">
        <v>43405.0</v>
      </c>
      <c r="E17" s="49" t="s">
        <v>912</v>
      </c>
      <c r="F17" s="49" t="s">
        <v>913</v>
      </c>
      <c r="G17" s="49">
        <v>5.0678363E7</v>
      </c>
      <c r="H17" s="56">
        <v>40455.0</v>
      </c>
      <c r="I17" s="49" t="s">
        <v>914</v>
      </c>
      <c r="J17" s="49">
        <v>5.2656821E7</v>
      </c>
      <c r="K17" s="56">
        <v>41121.0</v>
      </c>
    </row>
    <row r="18">
      <c r="A18" s="45" t="s">
        <v>915</v>
      </c>
      <c r="B18" s="46">
        <v>1597.0</v>
      </c>
      <c r="C18" s="46">
        <v>1.168039045E9</v>
      </c>
      <c r="D18" s="55">
        <v>43497.0</v>
      </c>
      <c r="E18" s="46">
        <v>1.0</v>
      </c>
      <c r="F18" s="46" t="s">
        <v>916</v>
      </c>
      <c r="G18" s="46" t="s">
        <v>917</v>
      </c>
      <c r="H18" s="55">
        <v>45336.0</v>
      </c>
    </row>
    <row r="19">
      <c r="A19" s="48" t="s">
        <v>918</v>
      </c>
      <c r="B19" s="49">
        <v>1644.0</v>
      </c>
      <c r="C19" s="49">
        <v>1.139323687E9</v>
      </c>
      <c r="D19" s="56">
        <v>43525.0</v>
      </c>
      <c r="E19" s="49">
        <v>8.0</v>
      </c>
      <c r="F19" s="49" t="s">
        <v>919</v>
      </c>
      <c r="G19" s="49">
        <v>5.3653388E7</v>
      </c>
      <c r="H19" s="56">
        <v>41641.0</v>
      </c>
    </row>
    <row r="20">
      <c r="A20" s="45" t="s">
        <v>920</v>
      </c>
      <c r="B20" s="46">
        <v>1645.0</v>
      </c>
      <c r="C20" s="46">
        <v>1.125475896E9</v>
      </c>
      <c r="D20" s="55">
        <v>43537.0</v>
      </c>
      <c r="E20" s="46">
        <v>10.0</v>
      </c>
      <c r="F20" s="46" t="s">
        <v>921</v>
      </c>
      <c r="G20" s="46">
        <v>5.829578E7</v>
      </c>
      <c r="H20" s="55">
        <v>43946.0</v>
      </c>
    </row>
    <row r="21">
      <c r="A21" s="48" t="s">
        <v>922</v>
      </c>
      <c r="B21" s="49">
        <v>1657.0</v>
      </c>
      <c r="C21" s="49">
        <v>1.124014213E9</v>
      </c>
      <c r="D21" s="56">
        <v>43525.0</v>
      </c>
      <c r="E21" s="49">
        <v>11.0</v>
      </c>
      <c r="F21" s="49" t="s">
        <v>923</v>
      </c>
      <c r="G21" s="49">
        <v>5.5761712E7</v>
      </c>
      <c r="H21" s="56">
        <v>42604.0</v>
      </c>
    </row>
    <row r="22">
      <c r="A22" s="45" t="s">
        <v>924</v>
      </c>
      <c r="B22" s="46">
        <v>1665.0</v>
      </c>
      <c r="C22" s="46">
        <v>1.168069316E9</v>
      </c>
      <c r="D22" s="55">
        <v>29196.0</v>
      </c>
      <c r="E22" s="46" t="s">
        <v>925</v>
      </c>
      <c r="F22" s="46" t="s">
        <v>926</v>
      </c>
      <c r="G22" s="46" t="s">
        <v>927</v>
      </c>
      <c r="I22" s="46" t="s">
        <v>928</v>
      </c>
      <c r="J22" s="46" t="s">
        <v>929</v>
      </c>
    </row>
    <row r="23">
      <c r="A23" s="48" t="s">
        <v>930</v>
      </c>
      <c r="B23" s="49">
        <v>1683.0</v>
      </c>
      <c r="C23" s="49">
        <v>1.121759987E9</v>
      </c>
      <c r="D23" s="56">
        <v>43586.0</v>
      </c>
      <c r="E23" s="49">
        <v>9.0</v>
      </c>
      <c r="F23" s="49" t="s">
        <v>931</v>
      </c>
      <c r="G23" s="49">
        <v>5.1267277E7</v>
      </c>
      <c r="H23" s="56">
        <v>40728.0</v>
      </c>
    </row>
    <row r="24">
      <c r="A24" s="45" t="s">
        <v>932</v>
      </c>
      <c r="B24" s="46">
        <v>1736.0</v>
      </c>
      <c r="C24" s="46">
        <v>1.162777192E9</v>
      </c>
      <c r="D24" s="55">
        <v>43678.0</v>
      </c>
      <c r="E24" s="46" t="s">
        <v>933</v>
      </c>
      <c r="F24" s="46" t="s">
        <v>934</v>
      </c>
      <c r="G24" s="46">
        <v>5.5167991E7</v>
      </c>
      <c r="H24" s="55">
        <v>42354.0</v>
      </c>
    </row>
    <row r="25">
      <c r="A25" s="48" t="s">
        <v>935</v>
      </c>
      <c r="B25" s="49">
        <v>1753.0</v>
      </c>
      <c r="C25" s="49">
        <v>1.169603036E9</v>
      </c>
      <c r="D25" s="56">
        <v>43754.0</v>
      </c>
      <c r="E25" s="49">
        <v>8.0</v>
      </c>
      <c r="F25" s="49" t="s">
        <v>936</v>
      </c>
      <c r="G25" s="49">
        <v>5.4299563E7</v>
      </c>
      <c r="H25" s="56">
        <v>41910.0</v>
      </c>
      <c r="I25" s="49" t="s">
        <v>937</v>
      </c>
      <c r="J25" s="49">
        <v>5.7477622E7</v>
      </c>
      <c r="K25" s="56">
        <v>43505.0</v>
      </c>
    </row>
    <row r="26">
      <c r="A26" s="45" t="s">
        <v>938</v>
      </c>
      <c r="B26" s="46">
        <v>1768.0</v>
      </c>
      <c r="C26" s="46">
        <v>1.122973101E9</v>
      </c>
      <c r="D26" s="55">
        <v>43727.0</v>
      </c>
      <c r="E26" s="46">
        <v>9.0</v>
      </c>
      <c r="F26" s="46" t="s">
        <v>939</v>
      </c>
      <c r="G26" s="46">
        <v>4.7867049E7</v>
      </c>
      <c r="H26" s="55">
        <v>39172.0</v>
      </c>
      <c r="I26" s="46" t="s">
        <v>940</v>
      </c>
      <c r="J26" s="46">
        <v>5.9553145E7</v>
      </c>
      <c r="K26" s="55">
        <v>45165.0</v>
      </c>
    </row>
    <row r="27">
      <c r="A27" s="48" t="s">
        <v>941</v>
      </c>
      <c r="B27" s="49">
        <v>1777.0</v>
      </c>
      <c r="C27" s="49">
        <v>1.137587184E9</v>
      </c>
      <c r="D27" s="56">
        <v>43748.0</v>
      </c>
      <c r="E27" s="49">
        <v>8.0</v>
      </c>
      <c r="F27" s="49" t="s">
        <v>942</v>
      </c>
      <c r="G27" s="49">
        <v>5.4631191E7</v>
      </c>
      <c r="H27" s="56">
        <v>42067.0</v>
      </c>
    </row>
    <row r="28">
      <c r="A28" s="45" t="s">
        <v>943</v>
      </c>
      <c r="B28" s="46">
        <v>1873.0</v>
      </c>
      <c r="C28" s="46">
        <v>1.15620154E9</v>
      </c>
      <c r="D28" s="55">
        <v>44319.0</v>
      </c>
      <c r="E28" s="46">
        <v>3.0</v>
      </c>
      <c r="F28" s="46" t="s">
        <v>944</v>
      </c>
      <c r="G28" s="46">
        <v>5.4055608E7</v>
      </c>
      <c r="H28" s="55">
        <v>41808.0</v>
      </c>
      <c r="I28" s="46" t="s">
        <v>945</v>
      </c>
      <c r="J28" s="46">
        <v>5.6052831E7</v>
      </c>
      <c r="K28" s="55">
        <v>42763.0</v>
      </c>
    </row>
    <row r="29">
      <c r="A29" s="48" t="s">
        <v>946</v>
      </c>
      <c r="B29" s="49">
        <v>1919.0</v>
      </c>
      <c r="C29" s="49">
        <v>1.138122802E9</v>
      </c>
      <c r="D29" s="56">
        <v>44666.0</v>
      </c>
      <c r="E29" s="49">
        <v>8.0</v>
      </c>
      <c r="F29" s="49" t="s">
        <v>947</v>
      </c>
      <c r="G29" s="49">
        <v>9.5765873E7</v>
      </c>
      <c r="H29" s="56">
        <v>38763.0</v>
      </c>
    </row>
    <row r="30">
      <c r="A30" s="45" t="s">
        <v>948</v>
      </c>
      <c r="B30" s="46">
        <v>1931.0</v>
      </c>
      <c r="C30" s="46">
        <v>1.141697938E9</v>
      </c>
      <c r="D30" s="55">
        <v>44683.0</v>
      </c>
      <c r="E30" s="46">
        <v>6.0</v>
      </c>
      <c r="F30" s="46" t="s">
        <v>949</v>
      </c>
      <c r="G30" s="46">
        <v>4.7170109E7</v>
      </c>
    </row>
    <row r="31">
      <c r="A31" s="48" t="s">
        <v>950</v>
      </c>
      <c r="B31" s="49">
        <v>1953.0</v>
      </c>
      <c r="C31" s="49">
        <v>1.126573366E9</v>
      </c>
      <c r="D31" s="56">
        <v>44703.0</v>
      </c>
      <c r="E31" s="49" t="s">
        <v>951</v>
      </c>
      <c r="F31" s="49" t="s">
        <v>952</v>
      </c>
      <c r="G31" s="49">
        <v>5.2768578E7</v>
      </c>
      <c r="H31" s="56">
        <v>41242.0</v>
      </c>
    </row>
    <row r="32">
      <c r="A32" s="45" t="s">
        <v>953</v>
      </c>
      <c r="B32" s="46">
        <v>1970.0</v>
      </c>
      <c r="C32" s="46">
        <v>1.138958145E9</v>
      </c>
      <c r="D32" s="55">
        <v>44490.0</v>
      </c>
      <c r="E32" s="46" t="s">
        <v>912</v>
      </c>
      <c r="F32" s="46" t="s">
        <v>954</v>
      </c>
      <c r="G32" s="46">
        <v>5.4352952E7</v>
      </c>
      <c r="H32" s="55">
        <v>41936.0</v>
      </c>
    </row>
    <row r="33">
      <c r="A33" s="48" t="s">
        <v>955</v>
      </c>
      <c r="B33" s="49">
        <v>1978.0</v>
      </c>
      <c r="C33" s="49">
        <v>1.557802702E9</v>
      </c>
      <c r="D33" s="56">
        <v>44809.0</v>
      </c>
      <c r="E33" s="49" t="s">
        <v>956</v>
      </c>
      <c r="F33" s="49" t="s">
        <v>957</v>
      </c>
      <c r="G33" s="49">
        <v>5.1576533E7</v>
      </c>
      <c r="H33" s="56">
        <v>40903.0</v>
      </c>
    </row>
    <row r="34">
      <c r="A34" s="45" t="s">
        <v>958</v>
      </c>
      <c r="B34" s="46">
        <v>1989.0</v>
      </c>
      <c r="C34" s="46">
        <v>1.151065312E9</v>
      </c>
      <c r="D34" s="55">
        <v>44743.0</v>
      </c>
      <c r="E34" s="46">
        <v>5.0</v>
      </c>
      <c r="F34" s="46" t="s">
        <v>959</v>
      </c>
      <c r="G34" s="46">
        <v>5.4519818E7</v>
      </c>
      <c r="H34" s="55">
        <v>42015.0</v>
      </c>
      <c r="I34" s="46" t="s">
        <v>960</v>
      </c>
      <c r="J34" s="46">
        <v>5.5885848E7</v>
      </c>
      <c r="K34" s="55">
        <v>42680.0</v>
      </c>
    </row>
    <row r="35">
      <c r="A35" s="48" t="s">
        <v>961</v>
      </c>
      <c r="B35" s="49">
        <v>2005.0</v>
      </c>
      <c r="C35" s="49">
        <v>1.156602116E9</v>
      </c>
      <c r="D35" s="56">
        <v>44900.0</v>
      </c>
      <c r="E35" s="49" t="s">
        <v>907</v>
      </c>
      <c r="F35" s="49" t="s">
        <v>962</v>
      </c>
      <c r="G35" s="49">
        <v>5.5990157E7</v>
      </c>
      <c r="H35" s="56">
        <v>42745.0</v>
      </c>
    </row>
    <row r="36">
      <c r="A36" s="45" t="s">
        <v>963</v>
      </c>
      <c r="B36" s="46">
        <v>2043.0</v>
      </c>
      <c r="C36" s="46">
        <v>1.127563862E9</v>
      </c>
      <c r="D36" s="55">
        <v>44872.0</v>
      </c>
      <c r="E36" s="46" t="s">
        <v>956</v>
      </c>
      <c r="F36" s="46" t="s">
        <v>964</v>
      </c>
      <c r="G36" s="46">
        <v>5.5696264E7</v>
      </c>
      <c r="H36" s="55">
        <v>42576.0</v>
      </c>
      <c r="I36" s="46" t="s">
        <v>965</v>
      </c>
      <c r="J36" s="46">
        <v>5.6992871E7</v>
      </c>
      <c r="K36" s="55">
        <v>43170.0</v>
      </c>
    </row>
    <row r="37">
      <c r="A37" s="48" t="s">
        <v>966</v>
      </c>
      <c r="B37" s="49">
        <v>2096.0</v>
      </c>
      <c r="C37" s="49">
        <v>1.153412891E9</v>
      </c>
      <c r="D37" s="56">
        <v>45020.0</v>
      </c>
      <c r="E37" s="49">
        <v>1.0</v>
      </c>
      <c r="F37" s="49" t="s">
        <v>967</v>
      </c>
      <c r="G37" s="49">
        <v>5.7515739E7</v>
      </c>
      <c r="H37" s="56">
        <v>43478.0</v>
      </c>
    </row>
    <row r="38">
      <c r="A38" s="45" t="s">
        <v>968</v>
      </c>
      <c r="B38" s="46">
        <v>2124.0</v>
      </c>
      <c r="C38" s="46">
        <v>1.126259891E9</v>
      </c>
      <c r="D38" s="55">
        <v>45028.0</v>
      </c>
      <c r="E38" s="46" t="s">
        <v>969</v>
      </c>
      <c r="F38" s="46" t="s">
        <v>970</v>
      </c>
      <c r="G38" s="46">
        <v>5.6197666E7</v>
      </c>
      <c r="H38" s="55">
        <v>43032.0</v>
      </c>
      <c r="I38" s="46" t="s">
        <v>971</v>
      </c>
      <c r="J38" s="46">
        <v>7.0487044E7</v>
      </c>
      <c r="K38" s="55">
        <v>45672.0</v>
      </c>
    </row>
    <row r="39">
      <c r="A39" s="48" t="s">
        <v>972</v>
      </c>
      <c r="B39" s="49">
        <v>2136.0</v>
      </c>
      <c r="C39" s="49">
        <v>1.151415767E9</v>
      </c>
      <c r="D39" s="56">
        <v>45021.0</v>
      </c>
      <c r="E39" s="49">
        <v>7.0</v>
      </c>
      <c r="F39" s="49" t="s">
        <v>973</v>
      </c>
      <c r="G39" s="49">
        <v>7.0360614E7</v>
      </c>
      <c r="H39" s="56">
        <v>45511.0</v>
      </c>
      <c r="I39" s="49" t="s">
        <v>974</v>
      </c>
      <c r="J39" s="49">
        <v>7.0360613E7</v>
      </c>
      <c r="K39" s="56">
        <v>45511.0</v>
      </c>
    </row>
    <row r="40">
      <c r="A40" s="45" t="s">
        <v>975</v>
      </c>
      <c r="B40" s="46">
        <v>2137.0</v>
      </c>
      <c r="C40" s="46">
        <v>1.165018528E9</v>
      </c>
      <c r="D40" s="55">
        <v>44991.0</v>
      </c>
      <c r="E40" s="46" t="s">
        <v>976</v>
      </c>
      <c r="F40" s="46" t="s">
        <v>977</v>
      </c>
      <c r="G40" s="46" t="s">
        <v>978</v>
      </c>
      <c r="H40" s="55">
        <v>43969.0</v>
      </c>
    </row>
    <row r="41">
      <c r="A41" s="48" t="s">
        <v>979</v>
      </c>
      <c r="B41" s="49">
        <v>2166.0</v>
      </c>
      <c r="C41" s="49">
        <v>1.128788904E9</v>
      </c>
      <c r="D41" s="56">
        <v>44991.0</v>
      </c>
      <c r="E41" s="49" t="s">
        <v>907</v>
      </c>
      <c r="F41" s="49" t="s">
        <v>980</v>
      </c>
      <c r="G41" s="49">
        <v>5.6664434E7</v>
      </c>
      <c r="H41" s="56">
        <v>43052.0</v>
      </c>
    </row>
    <row r="42">
      <c r="A42" s="45" t="s">
        <v>981</v>
      </c>
      <c r="B42" s="46">
        <v>2177.0</v>
      </c>
      <c r="C42" s="46">
        <v>1.139199525E9</v>
      </c>
      <c r="D42" s="55">
        <v>44990.0</v>
      </c>
      <c r="E42" s="46" t="s">
        <v>956</v>
      </c>
      <c r="F42" s="46" t="s">
        <v>982</v>
      </c>
      <c r="G42" s="46">
        <v>5.4215352E7</v>
      </c>
      <c r="H42" s="55">
        <v>41894.0</v>
      </c>
      <c r="I42" s="46" t="s">
        <v>983</v>
      </c>
      <c r="J42" s="46">
        <v>5.6784336E7</v>
      </c>
      <c r="K42" s="55">
        <v>43162.0</v>
      </c>
      <c r="L42" s="46" t="s">
        <v>984</v>
      </c>
      <c r="M42" s="46">
        <v>5.9558E7</v>
      </c>
      <c r="N42" s="55">
        <v>44851.0</v>
      </c>
    </row>
    <row r="43">
      <c r="A43" s="48" t="s">
        <v>985</v>
      </c>
      <c r="B43" s="49">
        <v>2201.0</v>
      </c>
      <c r="C43" s="49">
        <v>1.167466625E9</v>
      </c>
      <c r="D43" s="56">
        <v>44670.0</v>
      </c>
      <c r="E43" s="49">
        <v>8.0</v>
      </c>
      <c r="F43" s="49" t="s">
        <v>986</v>
      </c>
      <c r="G43" s="49">
        <v>5.1344771E7</v>
      </c>
      <c r="H43" s="56">
        <v>40777.0</v>
      </c>
    </row>
    <row r="44">
      <c r="A44" s="45" t="s">
        <v>987</v>
      </c>
      <c r="B44" s="46">
        <v>2275.0</v>
      </c>
      <c r="C44" s="46">
        <v>1.122416811E9</v>
      </c>
      <c r="D44" s="55">
        <v>45005.0</v>
      </c>
      <c r="E44" s="46" t="s">
        <v>912</v>
      </c>
      <c r="F44" s="46" t="s">
        <v>988</v>
      </c>
      <c r="G44" s="46">
        <v>5.5869445E7</v>
      </c>
      <c r="H44" s="55">
        <v>42658.0</v>
      </c>
      <c r="I44" s="46" t="s">
        <v>989</v>
      </c>
      <c r="J44" s="46">
        <v>5.9693785E7</v>
      </c>
      <c r="K44" s="55">
        <v>44945.0</v>
      </c>
    </row>
    <row r="45">
      <c r="A45" s="48" t="s">
        <v>990</v>
      </c>
      <c r="B45" s="49">
        <v>2323.0</v>
      </c>
      <c r="C45" s="49">
        <v>1.140450018E9</v>
      </c>
      <c r="D45" s="56">
        <v>45000.0</v>
      </c>
      <c r="E45" s="49">
        <v>9.0</v>
      </c>
      <c r="F45" s="49" t="s">
        <v>991</v>
      </c>
      <c r="G45" s="49">
        <v>4.8677298E7</v>
      </c>
      <c r="H45" s="56">
        <v>39559.0</v>
      </c>
      <c r="I45" s="49" t="s">
        <v>992</v>
      </c>
      <c r="J45" s="49">
        <v>5.4190306E7</v>
      </c>
      <c r="K45" s="56">
        <v>41885.0</v>
      </c>
    </row>
    <row r="46">
      <c r="A46" s="45" t="s">
        <v>993</v>
      </c>
      <c r="B46" s="46">
        <v>2333.0</v>
      </c>
      <c r="C46" s="46">
        <v>1.131113453E9</v>
      </c>
      <c r="D46" s="55">
        <v>44635.0</v>
      </c>
      <c r="E46" s="46">
        <v>7.0</v>
      </c>
      <c r="F46" s="46" t="s">
        <v>994</v>
      </c>
      <c r="G46" s="46">
        <v>4.8239121E7</v>
      </c>
      <c r="H46" s="55">
        <v>39364.0</v>
      </c>
      <c r="I46" s="46" t="s">
        <v>995</v>
      </c>
      <c r="J46" s="46">
        <v>5.3085021E7</v>
      </c>
      <c r="K46" s="55">
        <v>41387.0</v>
      </c>
    </row>
    <row r="47">
      <c r="A47" s="48" t="s">
        <v>996</v>
      </c>
      <c r="B47" s="49">
        <v>2340.0</v>
      </c>
      <c r="C47" s="49">
        <v>1.161636711E9</v>
      </c>
      <c r="D47" s="56">
        <v>45005.0</v>
      </c>
      <c r="E47" s="49" t="s">
        <v>997</v>
      </c>
      <c r="F47" s="49" t="s">
        <v>998</v>
      </c>
      <c r="G47" s="49">
        <v>5.7094406E7</v>
      </c>
      <c r="H47" s="56">
        <v>43295.0</v>
      </c>
    </row>
    <row r="48">
      <c r="A48" s="45" t="s">
        <v>999</v>
      </c>
      <c r="B48" s="46">
        <v>2355.0</v>
      </c>
      <c r="C48" s="46">
        <v>1.122633161E9</v>
      </c>
      <c r="D48" s="55">
        <v>44998.0</v>
      </c>
      <c r="E48" s="46" t="s">
        <v>1000</v>
      </c>
      <c r="F48" s="46" t="s">
        <v>1001</v>
      </c>
      <c r="G48" s="46">
        <v>5.4456499E7</v>
      </c>
      <c r="H48" s="55">
        <v>41988.0</v>
      </c>
      <c r="I48" s="46" t="s">
        <v>1002</v>
      </c>
      <c r="J48" s="46">
        <v>5.586479E7</v>
      </c>
      <c r="K48" s="55">
        <v>42645.0</v>
      </c>
    </row>
    <row r="49">
      <c r="A49" s="48" t="s">
        <v>1003</v>
      </c>
      <c r="B49" s="49">
        <v>2379.0</v>
      </c>
      <c r="C49" s="49">
        <v>1.131986676E9</v>
      </c>
      <c r="D49" s="56">
        <v>45005.0</v>
      </c>
      <c r="E49" s="49">
        <v>5.0</v>
      </c>
      <c r="F49" s="49" t="s">
        <v>1004</v>
      </c>
      <c r="G49" s="49">
        <v>7.0334995E7</v>
      </c>
      <c r="H49" s="56">
        <v>45439.0</v>
      </c>
      <c r="I49" s="49" t="s">
        <v>1005</v>
      </c>
      <c r="J49" s="49">
        <v>7.0334996E7</v>
      </c>
      <c r="K49" s="56">
        <v>45439.0</v>
      </c>
      <c r="L49" s="49" t="s">
        <v>1006</v>
      </c>
      <c r="M49" s="49">
        <v>7.0334997E7</v>
      </c>
      <c r="N49" s="56">
        <v>45439.0</v>
      </c>
    </row>
    <row r="50">
      <c r="A50" s="45" t="s">
        <v>1007</v>
      </c>
      <c r="B50" s="46">
        <v>2457.0</v>
      </c>
      <c r="C50" s="46">
        <v>1.134625079E9</v>
      </c>
      <c r="D50" s="55">
        <v>45024.0</v>
      </c>
      <c r="E50" s="46">
        <v>13.0</v>
      </c>
      <c r="F50" s="46" t="s">
        <v>1008</v>
      </c>
      <c r="G50" s="46">
        <v>5.7172279E7</v>
      </c>
      <c r="H50" s="55">
        <v>43316.0</v>
      </c>
    </row>
    <row r="51">
      <c r="A51" s="48" t="s">
        <v>1009</v>
      </c>
      <c r="B51" s="49">
        <v>2457.0</v>
      </c>
      <c r="C51" s="49">
        <v>1.134625079E9</v>
      </c>
      <c r="D51" s="56">
        <v>45024.0</v>
      </c>
      <c r="E51" s="49">
        <v>13.0</v>
      </c>
      <c r="F51" s="49" t="s">
        <v>1010</v>
      </c>
      <c r="G51" s="49">
        <v>5.7172279E7</v>
      </c>
      <c r="H51" s="56">
        <v>43316.0</v>
      </c>
    </row>
    <row r="52">
      <c r="A52" s="45" t="s">
        <v>1011</v>
      </c>
      <c r="B52" s="46">
        <v>2479.0</v>
      </c>
      <c r="C52" s="46">
        <v>1.161475869E9</v>
      </c>
      <c r="D52" s="55">
        <v>45020.0</v>
      </c>
      <c r="E52" s="46" t="s">
        <v>925</v>
      </c>
      <c r="F52" s="46" t="s">
        <v>1012</v>
      </c>
      <c r="G52" s="46">
        <v>5.3815519E7</v>
      </c>
      <c r="H52" s="55">
        <v>41746.0</v>
      </c>
      <c r="I52" s="46" t="s">
        <v>1013</v>
      </c>
      <c r="J52" s="46">
        <v>5.8950571E7</v>
      </c>
      <c r="K52" s="55">
        <v>44373.0</v>
      </c>
    </row>
    <row r="53">
      <c r="A53" s="48" t="s">
        <v>1014</v>
      </c>
      <c r="B53" s="49">
        <v>2487.0</v>
      </c>
      <c r="C53" s="49">
        <v>1.158241004E9</v>
      </c>
      <c r="D53" s="56">
        <v>45007.0</v>
      </c>
      <c r="E53" s="49">
        <v>4.0</v>
      </c>
      <c r="F53" s="49" t="s">
        <v>1015</v>
      </c>
      <c r="G53" s="49">
        <v>5.3301831E7</v>
      </c>
      <c r="H53" s="56">
        <v>41461.0</v>
      </c>
      <c r="I53" s="49" t="s">
        <v>1016</v>
      </c>
      <c r="J53" s="49">
        <v>5.5161019E7</v>
      </c>
      <c r="K53" s="56">
        <v>42294.0</v>
      </c>
    </row>
    <row r="54">
      <c r="A54" s="45" t="s">
        <v>1017</v>
      </c>
      <c r="B54" s="46">
        <v>2488.0</v>
      </c>
      <c r="C54" s="46">
        <v>1.131343703E9</v>
      </c>
      <c r="D54" s="55">
        <v>45019.0</v>
      </c>
      <c r="E54" s="46" t="s">
        <v>925</v>
      </c>
      <c r="F54" s="46" t="s">
        <v>1018</v>
      </c>
      <c r="G54" s="46">
        <v>5.6029621E7</v>
      </c>
      <c r="H54" s="55">
        <v>42734.0</v>
      </c>
    </row>
    <row r="55">
      <c r="A55" s="48" t="s">
        <v>1019</v>
      </c>
      <c r="B55" s="49">
        <v>2500.0</v>
      </c>
      <c r="C55" s="49">
        <v>1.137620804E9</v>
      </c>
      <c r="D55" s="56">
        <v>45026.0</v>
      </c>
      <c r="E55" s="49" t="s">
        <v>907</v>
      </c>
      <c r="F55" s="49" t="s">
        <v>1020</v>
      </c>
      <c r="G55" s="49">
        <v>5.2721749E7</v>
      </c>
      <c r="H55" s="56">
        <v>45630.0</v>
      </c>
    </row>
    <row r="56">
      <c r="A56" s="45" t="s">
        <v>1021</v>
      </c>
      <c r="B56" s="46">
        <v>2611.0</v>
      </c>
      <c r="C56" s="46">
        <v>1.133061251E9</v>
      </c>
      <c r="D56" s="55">
        <v>45047.0</v>
      </c>
      <c r="E56" s="46">
        <v>13.0</v>
      </c>
      <c r="F56" s="46" t="s">
        <v>1022</v>
      </c>
      <c r="G56" s="46">
        <v>5.3948981E7</v>
      </c>
      <c r="H56" s="55">
        <v>41738.0</v>
      </c>
    </row>
    <row r="57">
      <c r="A57" s="48" t="s">
        <v>1023</v>
      </c>
      <c r="B57" s="49">
        <v>2660.0</v>
      </c>
      <c r="C57" s="49">
        <v>1.138279435E9</v>
      </c>
      <c r="D57" s="56">
        <v>45076.0</v>
      </c>
      <c r="E57" s="49">
        <v>9.0</v>
      </c>
      <c r="F57" s="49" t="s">
        <v>1024</v>
      </c>
      <c r="G57" s="49">
        <v>5.4302083E7</v>
      </c>
      <c r="H57" s="56">
        <v>41926.0</v>
      </c>
      <c r="I57" s="49" t="s">
        <v>1025</v>
      </c>
      <c r="J57" s="49">
        <v>4.6209601E7</v>
      </c>
      <c r="K57" s="56">
        <v>38293.0</v>
      </c>
    </row>
    <row r="58">
      <c r="A58" s="45" t="s">
        <v>1026</v>
      </c>
      <c r="B58" s="46">
        <v>2698.0</v>
      </c>
      <c r="C58" s="46">
        <v>1.150272511E9</v>
      </c>
      <c r="D58" s="55">
        <v>45079.0</v>
      </c>
      <c r="E58" s="46">
        <v>4.0</v>
      </c>
      <c r="F58" s="46" t="s">
        <v>1027</v>
      </c>
      <c r="G58" s="46">
        <v>5.8814107E7</v>
      </c>
      <c r="H58" s="55">
        <v>44310.0</v>
      </c>
    </row>
    <row r="59">
      <c r="A59" s="48" t="s">
        <v>1028</v>
      </c>
      <c r="B59" s="49">
        <v>2737.0</v>
      </c>
      <c r="C59" s="49">
        <v>1.153205634E9</v>
      </c>
      <c r="D59" s="56">
        <v>44743.0</v>
      </c>
      <c r="E59" s="49" t="s">
        <v>907</v>
      </c>
      <c r="F59" s="49" t="s">
        <v>1029</v>
      </c>
      <c r="G59" s="49">
        <v>5.4881018E7</v>
      </c>
      <c r="H59" s="56">
        <v>42177.0</v>
      </c>
    </row>
    <row r="60">
      <c r="A60" s="45" t="s">
        <v>1030</v>
      </c>
      <c r="B60" s="46">
        <v>2738.0</v>
      </c>
      <c r="C60" s="46">
        <v>3.856098267E9</v>
      </c>
      <c r="D60" s="55">
        <v>45110.0</v>
      </c>
      <c r="E60" s="46">
        <v>8.0</v>
      </c>
      <c r="F60" s="46" t="s">
        <v>1031</v>
      </c>
      <c r="G60" s="46">
        <v>1.0</v>
      </c>
      <c r="H60" s="55">
        <v>41886.0</v>
      </c>
    </row>
    <row r="61">
      <c r="A61" s="48" t="s">
        <v>1032</v>
      </c>
      <c r="B61" s="49">
        <v>2741.0</v>
      </c>
      <c r="C61" s="49">
        <v>2.255620898E9</v>
      </c>
      <c r="D61" s="56">
        <v>45078.0</v>
      </c>
      <c r="E61" s="49" t="s">
        <v>925</v>
      </c>
      <c r="F61" s="49" t="s">
        <v>1033</v>
      </c>
      <c r="G61" s="49">
        <v>4.9627459E7</v>
      </c>
      <c r="H61" s="56">
        <v>40035.0</v>
      </c>
      <c r="I61" s="49" t="s">
        <v>1034</v>
      </c>
      <c r="J61" s="49">
        <v>5.1358581E7</v>
      </c>
      <c r="K61" s="56">
        <v>40793.0</v>
      </c>
      <c r="L61" s="49" t="s">
        <v>1035</v>
      </c>
      <c r="M61" s="49">
        <v>5.4828909E7</v>
      </c>
      <c r="N61" s="56">
        <v>42192.0</v>
      </c>
    </row>
    <row r="62">
      <c r="A62" s="45" t="s">
        <v>1036</v>
      </c>
      <c r="B62" s="46">
        <v>2746.0</v>
      </c>
      <c r="C62" s="46">
        <v>1.127445232E9</v>
      </c>
      <c r="D62" s="55">
        <v>45111.0</v>
      </c>
      <c r="E62" s="46" t="s">
        <v>1037</v>
      </c>
      <c r="F62" s="46" t="s">
        <v>1038</v>
      </c>
      <c r="G62" s="46" t="s">
        <v>1039</v>
      </c>
      <c r="H62" s="55">
        <v>42057.0</v>
      </c>
    </row>
    <row r="63">
      <c r="A63" s="48" t="s">
        <v>1040</v>
      </c>
      <c r="B63" s="49">
        <v>2776.0</v>
      </c>
      <c r="C63" s="49">
        <v>1.164297376E9</v>
      </c>
      <c r="D63" s="56">
        <v>45111.0</v>
      </c>
      <c r="E63" s="49" t="s">
        <v>956</v>
      </c>
      <c r="F63" s="49" t="s">
        <v>1041</v>
      </c>
      <c r="G63" s="49">
        <v>5.7651273E7</v>
      </c>
      <c r="H63" s="56">
        <v>43572.0</v>
      </c>
    </row>
    <row r="64">
      <c r="A64" s="45" t="s">
        <v>1042</v>
      </c>
      <c r="B64" s="46">
        <v>2785.0</v>
      </c>
      <c r="C64" s="46">
        <v>1.150235407E9</v>
      </c>
      <c r="D64" s="55">
        <v>45082.0</v>
      </c>
      <c r="E64" s="46">
        <v>14.0</v>
      </c>
      <c r="F64" s="46" t="s">
        <v>1043</v>
      </c>
      <c r="G64" s="46">
        <v>5.277023E7</v>
      </c>
      <c r="H64" s="55">
        <v>41184.0</v>
      </c>
      <c r="I64" s="46" t="s">
        <v>1044</v>
      </c>
      <c r="J64" s="46">
        <v>5.8454941E7</v>
      </c>
      <c r="K64" s="55">
        <v>44048.0</v>
      </c>
    </row>
    <row r="65">
      <c r="A65" s="48" t="s">
        <v>1045</v>
      </c>
      <c r="B65" s="49">
        <v>2786.0</v>
      </c>
      <c r="C65" s="49">
        <v>1.16644618E9</v>
      </c>
      <c r="D65" s="56">
        <v>45114.0</v>
      </c>
      <c r="E65" s="49">
        <v>7.0</v>
      </c>
      <c r="F65" s="49" t="s">
        <v>1046</v>
      </c>
      <c r="G65" s="49">
        <v>5.581813E7</v>
      </c>
      <c r="H65" s="56">
        <v>42645.0</v>
      </c>
    </row>
    <row r="66">
      <c r="A66" s="45" t="s">
        <v>1047</v>
      </c>
      <c r="B66" s="46">
        <v>2849.0</v>
      </c>
      <c r="C66" s="46">
        <v>1.126744764E9</v>
      </c>
      <c r="D66" s="55">
        <v>45078.0</v>
      </c>
      <c r="E66" s="46">
        <v>7.0</v>
      </c>
      <c r="F66" s="46" t="s">
        <v>1048</v>
      </c>
      <c r="G66" s="46">
        <v>5.8050642E7</v>
      </c>
      <c r="H66" s="55">
        <v>43810.0</v>
      </c>
    </row>
    <row r="67">
      <c r="A67" s="48" t="s">
        <v>1049</v>
      </c>
      <c r="B67" s="49">
        <v>2860.0</v>
      </c>
      <c r="C67" s="49">
        <v>1.125290644E9</v>
      </c>
      <c r="D67" s="56">
        <v>45082.0</v>
      </c>
      <c r="E67" s="49">
        <v>3.0</v>
      </c>
      <c r="F67" s="49" t="s">
        <v>1050</v>
      </c>
      <c r="G67" s="49">
        <v>5.8499091E7</v>
      </c>
      <c r="H67" s="56">
        <v>44065.0</v>
      </c>
    </row>
    <row r="68">
      <c r="A68" s="45" t="s">
        <v>1051</v>
      </c>
      <c r="B68" s="46">
        <v>2882.0</v>
      </c>
      <c r="C68" s="46">
        <v>1.131183191E9</v>
      </c>
      <c r="D68" s="55">
        <v>45082.0</v>
      </c>
      <c r="E68" s="46" t="s">
        <v>1052</v>
      </c>
      <c r="F68" s="46" t="s">
        <v>1053</v>
      </c>
      <c r="G68" s="46">
        <v>4.8677489E7</v>
      </c>
      <c r="H68" s="55">
        <v>39568.0</v>
      </c>
    </row>
    <row r="69">
      <c r="A69" s="48" t="s">
        <v>1054</v>
      </c>
      <c r="B69" s="49">
        <v>2883.0</v>
      </c>
      <c r="C69" s="49">
        <v>1.123010362E9</v>
      </c>
      <c r="D69" s="56">
        <v>45082.0</v>
      </c>
      <c r="E69" s="49" t="s">
        <v>1055</v>
      </c>
      <c r="F69" s="49" t="s">
        <v>1056</v>
      </c>
      <c r="G69" s="49">
        <v>5.0274773E7</v>
      </c>
      <c r="H69" s="56">
        <v>40352.0</v>
      </c>
      <c r="I69" s="49" t="s">
        <v>1057</v>
      </c>
      <c r="J69" s="49">
        <v>5.3284625E7</v>
      </c>
      <c r="K69" s="56">
        <v>41459.0</v>
      </c>
      <c r="L69" s="49" t="s">
        <v>1058</v>
      </c>
      <c r="M69" s="49">
        <v>5.711049E7</v>
      </c>
      <c r="N69" s="56">
        <v>43296.0</v>
      </c>
    </row>
    <row r="70">
      <c r="A70" s="45" t="s">
        <v>1059</v>
      </c>
      <c r="B70" s="46">
        <v>2914.0</v>
      </c>
      <c r="C70" s="46">
        <v>1.12719178E9</v>
      </c>
      <c r="D70" s="55">
        <v>45140.0</v>
      </c>
      <c r="E70" s="46">
        <v>8.0</v>
      </c>
      <c r="F70" s="46" t="s">
        <v>1060</v>
      </c>
      <c r="G70" s="46">
        <v>5.8254918E7</v>
      </c>
      <c r="H70" s="55">
        <v>43954.0</v>
      </c>
      <c r="I70" s="46" t="s">
        <v>1061</v>
      </c>
      <c r="J70" s="46">
        <v>5.9036365E7</v>
      </c>
      <c r="K70" s="55">
        <v>44469.0</v>
      </c>
    </row>
    <row r="71">
      <c r="A71" s="48" t="s">
        <v>1062</v>
      </c>
      <c r="B71" s="49">
        <v>2924.0</v>
      </c>
      <c r="C71" s="49">
        <v>1.141439746E9</v>
      </c>
      <c r="D71" s="56">
        <v>45141.0</v>
      </c>
      <c r="E71" s="49" t="s">
        <v>1063</v>
      </c>
      <c r="F71" s="49" t="s">
        <v>1064</v>
      </c>
      <c r="G71" s="49">
        <v>5.3814583E7</v>
      </c>
      <c r="H71" s="56">
        <v>41719.0</v>
      </c>
      <c r="I71" s="49" t="s">
        <v>1065</v>
      </c>
      <c r="J71" s="49">
        <v>5.5180992E7</v>
      </c>
      <c r="K71" s="56">
        <v>42350.0</v>
      </c>
    </row>
    <row r="72">
      <c r="A72" s="45" t="s">
        <v>1066</v>
      </c>
      <c r="B72" s="46">
        <v>2977.0</v>
      </c>
      <c r="C72" s="46">
        <v>1.13067813E9</v>
      </c>
      <c r="D72" s="55">
        <v>45114.0</v>
      </c>
      <c r="E72" s="46">
        <v>10.0</v>
      </c>
      <c r="F72" s="46" t="s">
        <v>1067</v>
      </c>
      <c r="G72" s="46" t="s">
        <v>1068</v>
      </c>
      <c r="H72" s="55">
        <v>44023.0</v>
      </c>
    </row>
    <row r="73">
      <c r="A73" s="48" t="s">
        <v>1069</v>
      </c>
      <c r="B73" s="49">
        <v>3008.0</v>
      </c>
      <c r="C73" s="49">
        <v>1.138986171E9</v>
      </c>
      <c r="D73" s="56">
        <v>45139.0</v>
      </c>
      <c r="E73" s="49" t="s">
        <v>1070</v>
      </c>
      <c r="F73" s="49" t="s">
        <v>1071</v>
      </c>
      <c r="G73" s="49" t="s">
        <v>1072</v>
      </c>
      <c r="H73" s="56">
        <v>43929.0</v>
      </c>
    </row>
    <row r="74">
      <c r="A74" s="45" t="s">
        <v>1073</v>
      </c>
      <c r="B74" s="46">
        <v>3018.0</v>
      </c>
      <c r="C74" s="46">
        <v>1.145289291E9</v>
      </c>
      <c r="D74" s="55">
        <v>45140.0</v>
      </c>
      <c r="E74" s="46">
        <v>4.0</v>
      </c>
      <c r="F74" s="46" t="s">
        <v>1074</v>
      </c>
      <c r="H74" s="55">
        <v>44245.0</v>
      </c>
    </row>
    <row r="75">
      <c r="A75" s="48" t="s">
        <v>1075</v>
      </c>
      <c r="B75" s="49">
        <v>3037.0</v>
      </c>
      <c r="C75" s="49">
        <v>1.150540579E9</v>
      </c>
      <c r="D75" s="56">
        <v>45139.0</v>
      </c>
      <c r="E75" s="49">
        <v>1.0</v>
      </c>
      <c r="F75" s="49" t="s">
        <v>1076</v>
      </c>
      <c r="G75" s="49">
        <v>7.0494044E7</v>
      </c>
      <c r="H75" s="56">
        <v>45620.0</v>
      </c>
    </row>
    <row r="76">
      <c r="A76" s="45" t="s">
        <v>1077</v>
      </c>
      <c r="B76" s="46">
        <v>3095.0</v>
      </c>
      <c r="C76" s="46">
        <v>1.134798486E9</v>
      </c>
      <c r="D76" s="55">
        <v>45168.0</v>
      </c>
      <c r="E76" s="46" t="s">
        <v>1078</v>
      </c>
      <c r="F76" s="46" t="s">
        <v>1079</v>
      </c>
      <c r="G76" s="46">
        <v>5.499941E7</v>
      </c>
      <c r="H76" s="55">
        <v>42223.0</v>
      </c>
    </row>
    <row r="77">
      <c r="A77" s="48" t="s">
        <v>1080</v>
      </c>
      <c r="B77" s="49">
        <v>3102.0</v>
      </c>
      <c r="C77" s="49">
        <v>1.131419889E9</v>
      </c>
      <c r="D77" s="56">
        <v>45167.0</v>
      </c>
      <c r="E77" s="49" t="s">
        <v>912</v>
      </c>
      <c r="F77" s="49" t="s">
        <v>1081</v>
      </c>
      <c r="G77" s="49">
        <v>5.6885748E7</v>
      </c>
      <c r="H77" s="56">
        <v>43100.0</v>
      </c>
    </row>
    <row r="78">
      <c r="A78" s="45" t="s">
        <v>1082</v>
      </c>
      <c r="B78" s="46">
        <v>3114.0</v>
      </c>
      <c r="C78" s="46">
        <v>1.126872384E9</v>
      </c>
      <c r="D78" s="55">
        <v>45170.0</v>
      </c>
      <c r="E78" s="46" t="s">
        <v>1078</v>
      </c>
      <c r="F78" s="46" t="s">
        <v>1083</v>
      </c>
      <c r="G78" s="46">
        <v>5.5692658E7</v>
      </c>
      <c r="H78" s="55">
        <v>42573.0</v>
      </c>
    </row>
    <row r="79">
      <c r="A79" s="48" t="s">
        <v>1084</v>
      </c>
      <c r="B79" s="49">
        <v>3131.0</v>
      </c>
      <c r="C79" s="49">
        <v>1.164555605E9</v>
      </c>
      <c r="D79" s="56">
        <v>45170.0</v>
      </c>
      <c r="E79" s="49">
        <v>14.0</v>
      </c>
      <c r="F79" s="49" t="s">
        <v>1085</v>
      </c>
      <c r="G79" s="49">
        <v>4.8231795E7</v>
      </c>
      <c r="H79" s="56">
        <v>39373.0</v>
      </c>
      <c r="I79" s="49" t="s">
        <v>1086</v>
      </c>
      <c r="J79" s="49">
        <v>5.5270777E7</v>
      </c>
      <c r="K79" s="56">
        <v>42366.0</v>
      </c>
    </row>
    <row r="80">
      <c r="A80" s="45" t="s">
        <v>1087</v>
      </c>
      <c r="B80" s="46">
        <v>3185.0</v>
      </c>
      <c r="C80" s="46">
        <v>1.168243462E9</v>
      </c>
      <c r="D80" s="55">
        <v>45168.0</v>
      </c>
      <c r="E80" s="46" t="s">
        <v>969</v>
      </c>
      <c r="F80" s="46" t="s">
        <v>1088</v>
      </c>
      <c r="G80" s="46">
        <v>4.8715443E7</v>
      </c>
      <c r="H80" s="55">
        <v>39581.0</v>
      </c>
      <c r="I80" s="46" t="s">
        <v>1089</v>
      </c>
      <c r="J80" s="46">
        <v>5.1140548E7</v>
      </c>
      <c r="K80" s="55">
        <v>40817.0</v>
      </c>
      <c r="L80" s="46" t="s">
        <v>1090</v>
      </c>
      <c r="M80" s="46">
        <v>5.4386305E7</v>
      </c>
      <c r="N80" s="55">
        <v>41942.0</v>
      </c>
    </row>
    <row r="81">
      <c r="A81" s="48" t="s">
        <v>1091</v>
      </c>
      <c r="B81" s="49">
        <v>3192.0</v>
      </c>
      <c r="C81" s="49">
        <v>1.171223532E9</v>
      </c>
      <c r="D81" s="56">
        <v>45168.0</v>
      </c>
      <c r="E81" s="49">
        <v>7.0</v>
      </c>
      <c r="F81" s="49" t="s">
        <v>1092</v>
      </c>
      <c r="G81" s="49">
        <v>5.8060186E7</v>
      </c>
      <c r="H81" s="56">
        <v>43851.0</v>
      </c>
    </row>
    <row r="82">
      <c r="A82" s="45" t="s">
        <v>1093</v>
      </c>
      <c r="B82" s="46">
        <v>3199.0</v>
      </c>
      <c r="C82" s="46">
        <v>1.131269652E9</v>
      </c>
      <c r="D82" s="55">
        <v>45137.0</v>
      </c>
      <c r="E82" s="46">
        <v>4.0</v>
      </c>
      <c r="F82" s="46" t="s">
        <v>1094</v>
      </c>
      <c r="G82" s="46">
        <v>4.8446084E7</v>
      </c>
      <c r="H82" s="55">
        <v>39469.0</v>
      </c>
      <c r="I82" s="46" t="s">
        <v>1095</v>
      </c>
      <c r="J82" s="46">
        <v>5.7018907E7</v>
      </c>
      <c r="K82" s="55">
        <v>43220.0</v>
      </c>
    </row>
    <row r="83">
      <c r="A83" s="48" t="s">
        <v>1096</v>
      </c>
      <c r="B83" s="49">
        <v>3213.0</v>
      </c>
      <c r="C83" s="49">
        <v>1.150058065E9</v>
      </c>
      <c r="D83" s="56">
        <v>45167.0</v>
      </c>
      <c r="E83" s="49">
        <v>1.0</v>
      </c>
      <c r="F83" s="49" t="s">
        <v>1097</v>
      </c>
      <c r="G83" s="49">
        <v>5.6417772E7</v>
      </c>
      <c r="H83" s="56">
        <v>42959.0</v>
      </c>
    </row>
    <row r="84">
      <c r="A84" s="45" t="s">
        <v>1098</v>
      </c>
      <c r="B84" s="46">
        <v>3240.0</v>
      </c>
      <c r="C84" s="46">
        <v>1.136311327E9</v>
      </c>
      <c r="D84" s="55">
        <v>45138.0</v>
      </c>
      <c r="E84" s="46" t="s">
        <v>907</v>
      </c>
      <c r="F84" s="46" t="s">
        <v>1099</v>
      </c>
      <c r="G84" s="46">
        <v>5.1221884E7</v>
      </c>
      <c r="H84" s="55">
        <v>40757.0</v>
      </c>
    </row>
    <row r="85">
      <c r="A85" s="48" t="s">
        <v>1100</v>
      </c>
      <c r="B85" s="49">
        <v>938.0</v>
      </c>
      <c r="C85" s="49">
        <v>1.1265383E9</v>
      </c>
      <c r="D85" s="56">
        <v>42948.0</v>
      </c>
      <c r="E85" s="49">
        <v>9.0</v>
      </c>
      <c r="F85" s="49" t="s">
        <v>1101</v>
      </c>
      <c r="G85" s="49">
        <v>5.0322706E7</v>
      </c>
      <c r="H85" s="56">
        <v>40312.0</v>
      </c>
    </row>
    <row r="86">
      <c r="A86" s="45" t="s">
        <v>1102</v>
      </c>
      <c r="B86" s="46">
        <v>941.0</v>
      </c>
      <c r="C86" s="46">
        <v>1.123163394E9</v>
      </c>
      <c r="D86" s="55">
        <v>42948.0</v>
      </c>
      <c r="E86" s="46">
        <v>7.0</v>
      </c>
      <c r="F86" s="46" t="s">
        <v>1103</v>
      </c>
      <c r="G86" s="46">
        <v>5.7382227E7</v>
      </c>
      <c r="H86" s="55">
        <v>43410.0</v>
      </c>
    </row>
    <row r="87">
      <c r="A87" s="48" t="s">
        <v>1104</v>
      </c>
      <c r="B87" s="49">
        <v>2753.0</v>
      </c>
      <c r="C87" s="49">
        <v>1.14406997E9</v>
      </c>
      <c r="D87" s="56">
        <v>45078.0</v>
      </c>
      <c r="E87" s="49">
        <v>14.0</v>
      </c>
      <c r="F87" s="49" t="s">
        <v>1105</v>
      </c>
      <c r="G87" s="49">
        <v>5.5480259E7</v>
      </c>
      <c r="H87" s="56">
        <v>42444.0</v>
      </c>
    </row>
    <row r="88">
      <c r="A88" s="45" t="s">
        <v>1106</v>
      </c>
      <c r="B88" s="46">
        <v>2177.0</v>
      </c>
      <c r="C88" s="46">
        <v>1.139199525E9</v>
      </c>
      <c r="D88" s="55">
        <v>44624.0</v>
      </c>
      <c r="E88" s="46" t="s">
        <v>956</v>
      </c>
      <c r="F88" s="46" t="s">
        <v>1107</v>
      </c>
      <c r="G88" s="46">
        <v>5.4215352E7</v>
      </c>
      <c r="H88" s="55">
        <v>41894.0</v>
      </c>
      <c r="I88" s="46" t="s">
        <v>1108</v>
      </c>
      <c r="J88" s="46">
        <v>5.6784336E7</v>
      </c>
      <c r="K88" s="55">
        <v>43134.0</v>
      </c>
      <c r="L88" s="46" t="s">
        <v>1109</v>
      </c>
      <c r="M88" s="46">
        <v>5.9558E7</v>
      </c>
      <c r="N88" s="55">
        <v>44851.0</v>
      </c>
    </row>
    <row r="89">
      <c r="A89" s="48" t="s">
        <v>1110</v>
      </c>
      <c r="B89" s="49">
        <v>576.0</v>
      </c>
      <c r="C89" s="49">
        <v>1.13421198E9</v>
      </c>
      <c r="D89" s="56">
        <v>42887.0</v>
      </c>
      <c r="E89" s="49" t="s">
        <v>1111</v>
      </c>
      <c r="F89" s="49" t="s">
        <v>1112</v>
      </c>
      <c r="G89" s="49">
        <v>4.9087221E7</v>
      </c>
      <c r="H89" s="56">
        <v>39773.0</v>
      </c>
    </row>
    <row r="90">
      <c r="A90" s="45" t="s">
        <v>1040</v>
      </c>
      <c r="B90" s="46">
        <v>2776.0</v>
      </c>
      <c r="C90" s="46">
        <v>1.164297376E9</v>
      </c>
      <c r="D90" s="55">
        <v>45111.0</v>
      </c>
      <c r="E90" s="46" t="s">
        <v>956</v>
      </c>
      <c r="F90" s="46" t="s">
        <v>1041</v>
      </c>
      <c r="G90" s="46">
        <v>5.7651273E7</v>
      </c>
      <c r="H90" s="55">
        <v>43572.0</v>
      </c>
    </row>
    <row r="91">
      <c r="A91" s="48" t="s">
        <v>1113</v>
      </c>
      <c r="B91" s="49">
        <v>1990.0</v>
      </c>
      <c r="C91" s="49">
        <v>1.125392309E9</v>
      </c>
      <c r="D91" s="56">
        <v>44805.0</v>
      </c>
      <c r="E91" s="49">
        <v>13.0</v>
      </c>
      <c r="F91" s="49" t="s">
        <v>1114</v>
      </c>
      <c r="G91" s="49">
        <v>4.9191598E7</v>
      </c>
      <c r="H91" s="56">
        <v>39806.0</v>
      </c>
      <c r="J91" s="49" t="s">
        <v>1115</v>
      </c>
      <c r="L91" s="49" t="s">
        <v>1115</v>
      </c>
      <c r="M91" s="49" t="s">
        <v>1115</v>
      </c>
    </row>
    <row r="92">
      <c r="A92" s="45" t="s">
        <v>1116</v>
      </c>
      <c r="B92" s="46">
        <v>2263.0</v>
      </c>
      <c r="C92" s="46">
        <v>1.16528837E9</v>
      </c>
      <c r="D92" s="55">
        <v>44986.0</v>
      </c>
      <c r="E92" s="46">
        <v>8.0</v>
      </c>
      <c r="F92" s="46" t="s">
        <v>1117</v>
      </c>
      <c r="G92" s="46">
        <v>5.5865617E7</v>
      </c>
      <c r="H92" s="55">
        <v>42629.0</v>
      </c>
    </row>
    <row r="93">
      <c r="A93" s="48" t="s">
        <v>922</v>
      </c>
      <c r="B93" s="49">
        <v>1657.0</v>
      </c>
      <c r="C93" s="49">
        <v>1.124014213E9</v>
      </c>
      <c r="D93" s="56">
        <v>43525.0</v>
      </c>
      <c r="E93" s="49">
        <v>11.0</v>
      </c>
      <c r="F93" s="49" t="s">
        <v>923</v>
      </c>
      <c r="G93" s="49">
        <v>5.5761712E7</v>
      </c>
      <c r="H93" s="56">
        <v>42604.0</v>
      </c>
    </row>
    <row r="94">
      <c r="A94" s="45" t="s">
        <v>1118</v>
      </c>
      <c r="B94" s="46">
        <v>2963.0</v>
      </c>
      <c r="C94" s="46">
        <v>1.131462409E9</v>
      </c>
      <c r="D94" s="55">
        <v>45139.0</v>
      </c>
      <c r="E94" s="46" t="s">
        <v>933</v>
      </c>
      <c r="F94" s="46" t="s">
        <v>1119</v>
      </c>
      <c r="G94" s="46" t="s">
        <v>1120</v>
      </c>
      <c r="H94" s="55">
        <v>41666.0</v>
      </c>
    </row>
    <row r="95">
      <c r="A95" s="57" t="s">
        <v>950</v>
      </c>
      <c r="B95" s="58">
        <v>1953.0</v>
      </c>
      <c r="C95" s="58">
        <v>1.126573366E9</v>
      </c>
      <c r="D95" s="59">
        <v>44700.0</v>
      </c>
      <c r="E95" s="58" t="s">
        <v>912</v>
      </c>
      <c r="F95" s="58" t="s">
        <v>952</v>
      </c>
      <c r="G95" s="58">
        <v>5.2768578E7</v>
      </c>
      <c r="H95" s="59">
        <v>41242.0</v>
      </c>
    </row>
  </sheetData>
  <dataValidations>
    <dataValidation type="custom" allowBlank="1" showDropDown="1" sqref="D2:D95">
      <formula1>OR(NOT(ISERROR(DATEVALUE(D2))), AND(ISNUMBER(D2), LEFT(CELL("format", D2))="D"))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19.71"/>
    <col customWidth="1" min="3" max="3" width="23.86"/>
    <col customWidth="1" min="4" max="4" width="16.43"/>
    <col customWidth="1" min="5" max="5" width="19.86"/>
    <col customWidth="1" min="6" max="6" width="18.57"/>
    <col customWidth="1" min="7" max="26" width="10.71"/>
  </cols>
  <sheetData>
    <row r="1">
      <c r="A1" s="1" t="s">
        <v>0</v>
      </c>
      <c r="B1" s="2" t="s">
        <v>1121</v>
      </c>
      <c r="C1" s="2" t="s">
        <v>1122</v>
      </c>
      <c r="D1" s="2" t="s">
        <v>1123</v>
      </c>
      <c r="E1" s="2" t="s">
        <v>1124</v>
      </c>
      <c r="F1" s="27" t="s">
        <v>1125</v>
      </c>
    </row>
    <row r="2">
      <c r="A2" s="5">
        <v>1.0</v>
      </c>
      <c r="B2" s="6">
        <v>2.5379033E7</v>
      </c>
      <c r="C2" s="28">
        <v>45078.0</v>
      </c>
      <c r="D2" s="6">
        <v>1.0</v>
      </c>
      <c r="E2" s="6">
        <f t="shared" ref="E2:E17" si="1">IF(D2 = 1,YEAR(NOW())-YEAR(C2),"fin mandato")</f>
        <v>2</v>
      </c>
      <c r="F2" s="29"/>
    </row>
    <row r="3">
      <c r="A3" s="9">
        <v>2.0</v>
      </c>
      <c r="B3" s="10">
        <v>9.5102089E7</v>
      </c>
      <c r="C3" s="30">
        <v>45079.0</v>
      </c>
      <c r="D3" s="10">
        <v>1.0</v>
      </c>
      <c r="E3" s="10">
        <f t="shared" si="1"/>
        <v>2</v>
      </c>
      <c r="F3" s="31"/>
    </row>
    <row r="4">
      <c r="A4" s="5">
        <v>3.0</v>
      </c>
      <c r="B4" s="6">
        <v>2.9064893E7</v>
      </c>
      <c r="C4" s="28">
        <v>45080.0</v>
      </c>
      <c r="D4" s="6">
        <v>1.0</v>
      </c>
      <c r="E4" s="6">
        <f t="shared" si="1"/>
        <v>2</v>
      </c>
      <c r="F4" s="29"/>
    </row>
    <row r="5">
      <c r="A5" s="9">
        <v>4.0</v>
      </c>
      <c r="B5" s="10">
        <v>3.7388128E7</v>
      </c>
      <c r="C5" s="30">
        <v>45081.0</v>
      </c>
      <c r="D5" s="10">
        <v>1.0</v>
      </c>
      <c r="E5" s="10">
        <f t="shared" si="1"/>
        <v>2</v>
      </c>
      <c r="F5" s="31"/>
    </row>
    <row r="6">
      <c r="A6" s="5">
        <v>5.0</v>
      </c>
      <c r="B6" s="6">
        <v>2.2826482E7</v>
      </c>
      <c r="C6" s="28">
        <v>45082.0</v>
      </c>
      <c r="D6" s="6">
        <v>1.0</v>
      </c>
      <c r="E6" s="6">
        <f t="shared" si="1"/>
        <v>2</v>
      </c>
      <c r="F6" s="29"/>
    </row>
    <row r="7">
      <c r="A7" s="9">
        <v>6.0</v>
      </c>
      <c r="B7" s="10">
        <v>2.9319005E7</v>
      </c>
      <c r="C7" s="30">
        <v>45083.0</v>
      </c>
      <c r="D7" s="10">
        <v>1.0</v>
      </c>
      <c r="E7" s="10">
        <f t="shared" si="1"/>
        <v>2</v>
      </c>
      <c r="F7" s="31"/>
    </row>
    <row r="8">
      <c r="A8" s="5">
        <v>7.0</v>
      </c>
      <c r="B8" s="6">
        <v>3.1703988E7</v>
      </c>
      <c r="C8" s="28">
        <v>45084.0</v>
      </c>
      <c r="D8" s="6">
        <v>1.0</v>
      </c>
      <c r="E8" s="6">
        <f t="shared" si="1"/>
        <v>2</v>
      </c>
      <c r="F8" s="29" t="s">
        <v>1126</v>
      </c>
    </row>
    <row r="9">
      <c r="A9" s="9">
        <v>8.0</v>
      </c>
      <c r="B9" s="10">
        <v>3.0455729E7</v>
      </c>
      <c r="C9" s="30">
        <v>45085.0</v>
      </c>
      <c r="D9" s="10">
        <v>1.0</v>
      </c>
      <c r="E9" s="10">
        <f t="shared" si="1"/>
        <v>2</v>
      </c>
      <c r="F9" s="31"/>
    </row>
    <row r="10">
      <c r="A10" s="5">
        <v>9.0</v>
      </c>
      <c r="B10" s="6">
        <v>3.4583817E7</v>
      </c>
      <c r="C10" s="28">
        <v>45086.0</v>
      </c>
      <c r="D10" s="6">
        <v>1.0</v>
      </c>
      <c r="E10" s="6">
        <f t="shared" si="1"/>
        <v>2</v>
      </c>
      <c r="F10" s="29"/>
    </row>
    <row r="11">
      <c r="A11" s="9">
        <v>10.0</v>
      </c>
      <c r="B11" s="10">
        <v>4.0239878E7</v>
      </c>
      <c r="C11" s="30">
        <v>45087.0</v>
      </c>
      <c r="D11" s="10">
        <v>1.0</v>
      </c>
      <c r="E11" s="10">
        <f t="shared" si="1"/>
        <v>2</v>
      </c>
      <c r="F11" s="31"/>
    </row>
    <row r="12">
      <c r="A12" s="5">
        <v>11.0</v>
      </c>
      <c r="B12" s="6">
        <v>3.0465419E7</v>
      </c>
      <c r="C12" s="28">
        <v>45088.0</v>
      </c>
      <c r="D12" s="6">
        <v>1.0</v>
      </c>
      <c r="E12" s="6">
        <f t="shared" si="1"/>
        <v>2</v>
      </c>
      <c r="F12" s="29"/>
    </row>
    <row r="13">
      <c r="A13" s="9">
        <v>12.0</v>
      </c>
      <c r="B13" s="10">
        <v>3.7099313E7</v>
      </c>
      <c r="C13" s="30">
        <v>45089.0</v>
      </c>
      <c r="D13" s="10">
        <v>1.0</v>
      </c>
      <c r="E13" s="10">
        <f t="shared" si="1"/>
        <v>2</v>
      </c>
      <c r="F13" s="31"/>
    </row>
    <row r="14">
      <c r="A14" s="5">
        <v>13.0</v>
      </c>
      <c r="B14" s="6">
        <v>2.1365112E7</v>
      </c>
      <c r="C14" s="28">
        <v>45090.0</v>
      </c>
      <c r="D14" s="6">
        <v>1.0</v>
      </c>
      <c r="E14" s="6">
        <f t="shared" si="1"/>
        <v>2</v>
      </c>
      <c r="F14" s="29"/>
    </row>
    <row r="15">
      <c r="A15" s="9">
        <v>14.0</v>
      </c>
      <c r="B15" s="10">
        <v>3.1164406E7</v>
      </c>
      <c r="C15" s="30">
        <v>45091.0</v>
      </c>
      <c r="D15" s="10">
        <v>1.0</v>
      </c>
      <c r="E15" s="10">
        <f t="shared" si="1"/>
        <v>2</v>
      </c>
      <c r="F15" s="31"/>
    </row>
    <row r="16">
      <c r="A16" s="5">
        <v>15.0</v>
      </c>
      <c r="B16" s="6">
        <v>3.3250656E7</v>
      </c>
      <c r="C16" s="28">
        <v>45092.0</v>
      </c>
      <c r="D16" s="6">
        <v>1.0</v>
      </c>
      <c r="E16" s="6">
        <f t="shared" si="1"/>
        <v>2</v>
      </c>
      <c r="F16" s="29"/>
    </row>
    <row r="17">
      <c r="A17" s="37">
        <v>16.0</v>
      </c>
      <c r="B17" s="38">
        <v>2.4033237E7</v>
      </c>
      <c r="C17" s="60">
        <v>45093.0</v>
      </c>
      <c r="D17" s="38">
        <v>1.0</v>
      </c>
      <c r="E17" s="39">
        <f t="shared" si="1"/>
        <v>2</v>
      </c>
      <c r="F17" s="41"/>
    </row>
    <row r="19">
      <c r="B19" s="6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ataValidations>
    <dataValidation type="custom" allowBlank="1" showDropDown="1" sqref="C2:C17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4" width="24.43"/>
    <col customWidth="1" min="5" max="5" width="30.71"/>
    <col customWidth="1" min="6" max="6" width="28.57"/>
    <col customWidth="1" min="7" max="26" width="24.43"/>
  </cols>
  <sheetData>
    <row r="1">
      <c r="A1" s="1" t="s">
        <v>0</v>
      </c>
      <c r="B1" s="2" t="s">
        <v>1127</v>
      </c>
      <c r="C1" s="2" t="s">
        <v>1128</v>
      </c>
      <c r="D1" s="62" t="s">
        <v>3</v>
      </c>
      <c r="E1" s="3" t="s">
        <v>1129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>
        <v>2.172633E7</v>
      </c>
      <c r="C2" s="6"/>
      <c r="D2" s="63"/>
      <c r="E2" s="8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>
        <v>2.0</v>
      </c>
      <c r="B3" s="10">
        <v>3.2436304E7</v>
      </c>
      <c r="C3" s="10"/>
      <c r="D3" s="64"/>
      <c r="E3" s="1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6">
        <v>3.1963497E7</v>
      </c>
      <c r="C4" s="6"/>
      <c r="D4" s="63"/>
      <c r="E4" s="8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>
        <v>4.0</v>
      </c>
      <c r="B5" s="10">
        <v>2.5379033E7</v>
      </c>
      <c r="C5" s="10" t="s">
        <v>1130</v>
      </c>
      <c r="D5" s="64" t="s">
        <v>1131</v>
      </c>
      <c r="E5" s="12">
        <v>21972.0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6">
        <v>3.8184089E7</v>
      </c>
      <c r="C6" s="6"/>
      <c r="D6" s="63"/>
      <c r="E6" s="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>
        <v>6.0</v>
      </c>
      <c r="B7" s="10">
        <v>3.8894668E7</v>
      </c>
      <c r="C7" s="10"/>
      <c r="D7" s="64"/>
      <c r="E7" s="1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6">
        <v>3.9114453E7</v>
      </c>
      <c r="C8" s="6"/>
      <c r="D8" s="63"/>
      <c r="E8" s="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>
        <v>8.0</v>
      </c>
      <c r="B9" s="10">
        <v>2.6678242E7</v>
      </c>
      <c r="C9" s="10"/>
      <c r="D9" s="64"/>
      <c r="E9" s="12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6">
        <v>4.2012262E7</v>
      </c>
      <c r="C10" s="6"/>
      <c r="D10" s="63"/>
      <c r="E10" s="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>
        <v>10.0</v>
      </c>
      <c r="B11" s="10">
        <v>3.3155103E7</v>
      </c>
      <c r="C11" s="10"/>
      <c r="D11" s="64"/>
      <c r="E11" s="12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11.0</v>
      </c>
      <c r="B12" s="6">
        <v>3.5538835E7</v>
      </c>
      <c r="C12" s="6"/>
      <c r="D12" s="63"/>
      <c r="E12" s="8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>
        <v>12.0</v>
      </c>
      <c r="B13" s="10">
        <v>9.3996095E7</v>
      </c>
      <c r="C13" s="10"/>
      <c r="D13" s="64"/>
      <c r="E13" s="12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6">
        <v>9.4842492E7</v>
      </c>
      <c r="C14" s="6"/>
      <c r="D14" s="63"/>
      <c r="E14" s="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>
        <v>14.0</v>
      </c>
      <c r="B15" s="10">
        <v>9.5102089E7</v>
      </c>
      <c r="C15" s="10" t="s">
        <v>1132</v>
      </c>
      <c r="D15" s="64" t="s">
        <v>1133</v>
      </c>
      <c r="E15" s="12">
        <v>24764.0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15.0</v>
      </c>
      <c r="B16" s="6">
        <v>9.5189729E7</v>
      </c>
      <c r="C16" s="6"/>
      <c r="D16" s="63"/>
      <c r="E16" s="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>
        <v>16.0</v>
      </c>
      <c r="B17" s="10">
        <v>2.0009014E7</v>
      </c>
      <c r="C17" s="10"/>
      <c r="D17" s="64"/>
      <c r="E17" s="12">
        <v>0.0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17.0</v>
      </c>
      <c r="B18" s="6">
        <v>2.9635937E7</v>
      </c>
      <c r="C18" s="6" t="s">
        <v>1134</v>
      </c>
      <c r="D18" s="63" t="s">
        <v>1135</v>
      </c>
      <c r="E18" s="8">
        <v>23620.0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>
        <v>18.0</v>
      </c>
      <c r="B19" s="10">
        <v>3.9471585E7</v>
      </c>
      <c r="C19" s="10" t="s">
        <v>1136</v>
      </c>
      <c r="D19" s="64" t="s">
        <v>1137</v>
      </c>
      <c r="E19" s="12">
        <v>21802.0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19.0</v>
      </c>
      <c r="B20" s="6">
        <v>4.3817038E7</v>
      </c>
      <c r="C20" s="6"/>
      <c r="D20" s="63"/>
      <c r="E20" s="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9">
        <v>20.0</v>
      </c>
      <c r="B21" s="10">
        <v>4.4486458E7</v>
      </c>
      <c r="C21" s="10"/>
      <c r="D21" s="64"/>
      <c r="E21" s="12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>
        <v>21.0</v>
      </c>
      <c r="B22" s="6">
        <v>3.668592E7</v>
      </c>
      <c r="C22" s="6"/>
      <c r="D22" s="63"/>
      <c r="E22" s="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9">
        <v>22.0</v>
      </c>
      <c r="B23" s="10">
        <v>2.5060598E7</v>
      </c>
      <c r="C23" s="10"/>
      <c r="D23" s="64"/>
      <c r="E23" s="1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>
        <v>23.0</v>
      </c>
      <c r="B24" s="6">
        <v>3.1896263E7</v>
      </c>
      <c r="C24" s="6"/>
      <c r="D24" s="63"/>
      <c r="E24" s="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9">
        <v>24.0</v>
      </c>
      <c r="B25" s="10">
        <v>3.2554313E7</v>
      </c>
      <c r="C25" s="10"/>
      <c r="D25" s="64"/>
      <c r="E25" s="1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>
        <v>25.0</v>
      </c>
      <c r="B26" s="6">
        <v>4.024142E7</v>
      </c>
      <c r="C26" s="6" t="s">
        <v>1138</v>
      </c>
      <c r="D26" s="63" t="s">
        <v>1139</v>
      </c>
      <c r="E26" s="8">
        <v>33414.0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9">
        <v>26.0</v>
      </c>
      <c r="B27" s="10">
        <v>3.3905319E7</v>
      </c>
      <c r="C27" s="10"/>
      <c r="D27" s="64"/>
      <c r="E27" s="12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>
        <v>27.0</v>
      </c>
      <c r="B28" s="6">
        <v>3.1302984E7</v>
      </c>
      <c r="C28" s="6"/>
      <c r="D28" s="63"/>
      <c r="E28" s="8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9">
        <v>28.0</v>
      </c>
      <c r="B29" s="10">
        <v>3.442385E7</v>
      </c>
      <c r="C29" s="10"/>
      <c r="D29" s="64"/>
      <c r="E29" s="12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>
        <v>29.0</v>
      </c>
      <c r="B30" s="6">
        <v>3.2616368E7</v>
      </c>
      <c r="C30" s="6"/>
      <c r="D30" s="63"/>
      <c r="E30" s="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9">
        <v>30.0</v>
      </c>
      <c r="B31" s="10">
        <v>4.2498064E7</v>
      </c>
      <c r="C31" s="10"/>
      <c r="D31" s="64"/>
      <c r="E31" s="12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>
        <v>31.0</v>
      </c>
      <c r="B32" s="6">
        <v>4.324163E7</v>
      </c>
      <c r="C32" s="6" t="s">
        <v>18</v>
      </c>
      <c r="D32" s="63"/>
      <c r="E32" s="8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9">
        <v>32.0</v>
      </c>
      <c r="B33" s="10">
        <v>3.0440348E7</v>
      </c>
      <c r="C33" s="10"/>
      <c r="D33" s="64"/>
      <c r="E33" s="12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>
        <v>33.0</v>
      </c>
      <c r="B34" s="6">
        <v>3.0211914E7</v>
      </c>
      <c r="C34" s="6" t="s">
        <v>1140</v>
      </c>
      <c r="D34" s="63" t="s">
        <v>1141</v>
      </c>
      <c r="E34" s="8">
        <v>32262.0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9">
        <v>34.0</v>
      </c>
      <c r="B35" s="10">
        <v>4.0873767E7</v>
      </c>
      <c r="C35" s="10" t="s">
        <v>1142</v>
      </c>
      <c r="D35" s="64" t="s">
        <v>1143</v>
      </c>
      <c r="E35" s="12">
        <v>30861.0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>
        <v>35.0</v>
      </c>
      <c r="B36" s="6">
        <v>9.4075255E7</v>
      </c>
      <c r="C36" s="6" t="s">
        <v>1144</v>
      </c>
      <c r="D36" s="63" t="s">
        <v>1145</v>
      </c>
      <c r="E36" s="8">
        <v>28789.0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9">
        <v>36.0</v>
      </c>
      <c r="B37" s="10">
        <v>2.9064893E7</v>
      </c>
      <c r="C37" s="10" t="s">
        <v>1146</v>
      </c>
      <c r="D37" s="65" t="s">
        <v>1147</v>
      </c>
      <c r="E37" s="12">
        <v>30010.0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>
        <v>37.0</v>
      </c>
      <c r="B38" s="6">
        <v>3.929475E7</v>
      </c>
      <c r="C38" s="6"/>
      <c r="D38" s="63"/>
      <c r="E38" s="8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9">
        <v>38.0</v>
      </c>
      <c r="B39" s="10">
        <v>3.7388128E7</v>
      </c>
      <c r="C39" s="10"/>
      <c r="D39" s="64"/>
      <c r="E39" s="1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>
        <v>39.0</v>
      </c>
      <c r="B40" s="6">
        <v>3.6848082E7</v>
      </c>
      <c r="C40" s="6"/>
      <c r="D40" s="63"/>
      <c r="E40" s="8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9">
        <v>40.0</v>
      </c>
      <c r="B41" s="10">
        <v>3.140378E7</v>
      </c>
      <c r="C41" s="10"/>
      <c r="D41" s="64"/>
      <c r="E41" s="12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>
        <v>41.0</v>
      </c>
      <c r="B42" s="6">
        <v>4.1917769E7</v>
      </c>
      <c r="C42" s="6"/>
      <c r="D42" s="63"/>
      <c r="E42" s="8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9">
        <v>42.0</v>
      </c>
      <c r="B43" s="10">
        <v>2.2826482E7</v>
      </c>
      <c r="C43" s="10"/>
      <c r="D43" s="64"/>
      <c r="E43" s="12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>
        <v>43.0</v>
      </c>
      <c r="B44" s="6">
        <v>3.7060301E7</v>
      </c>
      <c r="C44" s="6"/>
      <c r="D44" s="63"/>
      <c r="E44" s="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9">
        <v>44.0</v>
      </c>
      <c r="B45" s="10">
        <v>2.1130792E7</v>
      </c>
      <c r="C45" s="10"/>
      <c r="D45" s="64"/>
      <c r="E45" s="12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>
        <v>45.0</v>
      </c>
      <c r="B46" s="6">
        <v>2.4033237E7</v>
      </c>
      <c r="C46" s="6"/>
      <c r="D46" s="63"/>
      <c r="E46" s="8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9">
        <v>46.0</v>
      </c>
      <c r="B47" s="10">
        <v>2.2656778E7</v>
      </c>
      <c r="C47" s="10"/>
      <c r="D47" s="64"/>
      <c r="E47" s="12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>
        <v>47.0</v>
      </c>
      <c r="B48" s="6">
        <v>3.5353668E7</v>
      </c>
      <c r="C48" s="6"/>
      <c r="D48" s="63"/>
      <c r="E48" s="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9">
        <v>48.0</v>
      </c>
      <c r="B49" s="10">
        <v>2.2982124E7</v>
      </c>
      <c r="C49" s="10"/>
      <c r="D49" s="64"/>
      <c r="E49" s="12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>
        <v>49.0</v>
      </c>
      <c r="B50" s="6">
        <v>4.0136087E7</v>
      </c>
      <c r="C50" s="6"/>
      <c r="D50" s="63"/>
      <c r="E50" s="8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9">
        <v>50.0</v>
      </c>
      <c r="B51" s="10">
        <v>2.1981832E7</v>
      </c>
      <c r="C51" s="10"/>
      <c r="D51" s="64"/>
      <c r="E51" s="12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>
        <v>51.0</v>
      </c>
      <c r="B52" s="6">
        <v>4.1639943E7</v>
      </c>
      <c r="C52" s="6"/>
      <c r="D52" s="63"/>
      <c r="E52" s="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9">
        <v>52.0</v>
      </c>
      <c r="B53" s="10">
        <v>3.2404463E7</v>
      </c>
      <c r="C53" s="10"/>
      <c r="D53" s="64"/>
      <c r="E53" s="1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>
        <v>53.0</v>
      </c>
      <c r="B54" s="6">
        <v>3.6786519E7</v>
      </c>
      <c r="C54" s="6"/>
      <c r="D54" s="63"/>
      <c r="E54" s="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9">
        <v>54.0</v>
      </c>
      <c r="B55" s="10">
        <v>3.7036332E7</v>
      </c>
      <c r="C55" s="10"/>
      <c r="D55" s="64"/>
      <c r="E55" s="12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>
        <v>55.0</v>
      </c>
      <c r="B56" s="6">
        <v>4.4364634E7</v>
      </c>
      <c r="C56" s="6"/>
      <c r="D56" s="63"/>
      <c r="E56" s="8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9">
        <v>56.0</v>
      </c>
      <c r="B57" s="10">
        <v>4.1263312E7</v>
      </c>
      <c r="C57" s="10"/>
      <c r="D57" s="64"/>
      <c r="E57" s="12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>
        <v>57.0</v>
      </c>
      <c r="B58" s="6">
        <v>4.258637E7</v>
      </c>
      <c r="C58" s="6"/>
      <c r="D58" s="63"/>
      <c r="E58" s="8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9">
        <v>58.0</v>
      </c>
      <c r="B59" s="10">
        <v>4.0748856E7</v>
      </c>
      <c r="C59" s="10"/>
      <c r="D59" s="64"/>
      <c r="E59" s="12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>
        <v>59.0</v>
      </c>
      <c r="B60" s="6">
        <v>1.8205196E7</v>
      </c>
      <c r="C60" s="6"/>
      <c r="D60" s="63"/>
      <c r="E60" s="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9">
        <v>60.0</v>
      </c>
      <c r="B61" s="10">
        <v>3.4871654E7</v>
      </c>
      <c r="C61" s="10"/>
      <c r="D61" s="64"/>
      <c r="E61" s="12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>
        <v>61.0</v>
      </c>
      <c r="B62" s="6">
        <v>3.92755E7</v>
      </c>
      <c r="C62" s="6"/>
      <c r="D62" s="63"/>
      <c r="E62" s="8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9">
        <v>62.0</v>
      </c>
      <c r="B63" s="10">
        <v>4.0133136E7</v>
      </c>
      <c r="C63" s="10"/>
      <c r="D63" s="64"/>
      <c r="E63" s="12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>
        <v>63.0</v>
      </c>
      <c r="B64" s="6">
        <v>3.8710314E7</v>
      </c>
      <c r="C64" s="6"/>
      <c r="D64" s="63"/>
      <c r="E64" s="8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9">
        <v>64.0</v>
      </c>
      <c r="B65" s="10">
        <v>4.3916827E7</v>
      </c>
      <c r="C65" s="10"/>
      <c r="D65" s="64"/>
      <c r="E65" s="12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>
        <v>65.0</v>
      </c>
      <c r="B66" s="6">
        <v>3.6297487E7</v>
      </c>
      <c r="C66" s="6"/>
      <c r="D66" s="63"/>
      <c r="E66" s="8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9">
        <v>66.0</v>
      </c>
      <c r="B67" s="10">
        <v>3.9665127E7</v>
      </c>
      <c r="C67" s="10"/>
      <c r="D67" s="64"/>
      <c r="E67" s="12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>
        <v>67.0</v>
      </c>
      <c r="B68" s="6">
        <v>3.9646253E7</v>
      </c>
      <c r="C68" s="6"/>
      <c r="D68" s="63"/>
      <c r="E68" s="8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9">
        <v>68.0</v>
      </c>
      <c r="B69" s="10">
        <v>2.8054001E7</v>
      </c>
      <c r="C69" s="10"/>
      <c r="D69" s="64"/>
      <c r="E69" s="12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>
        <v>69.0</v>
      </c>
      <c r="B70" s="6">
        <v>3.6162205E7</v>
      </c>
      <c r="C70" s="6"/>
      <c r="D70" s="63"/>
      <c r="E70" s="8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9">
        <v>70.0</v>
      </c>
      <c r="B71" s="10">
        <v>2.3842649E7</v>
      </c>
      <c r="C71" s="10"/>
      <c r="D71" s="64"/>
      <c r="E71" s="12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>
        <v>71.0</v>
      </c>
      <c r="B72" s="6">
        <v>4.4447916E7</v>
      </c>
      <c r="C72" s="6"/>
      <c r="D72" s="63"/>
      <c r="E72" s="8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9">
        <v>72.0</v>
      </c>
      <c r="B73" s="10">
        <v>2.7930531E7</v>
      </c>
      <c r="C73" s="10"/>
      <c r="D73" s="64"/>
      <c r="E73" s="12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>
        <v>73.0</v>
      </c>
      <c r="B74" s="6">
        <v>2.2447579E7</v>
      </c>
      <c r="C74" s="6"/>
      <c r="D74" s="63"/>
      <c r="E74" s="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9">
        <v>74.0</v>
      </c>
      <c r="B75" s="10">
        <v>3.8356437E7</v>
      </c>
      <c r="C75" s="10"/>
      <c r="D75" s="64"/>
      <c r="E75" s="12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>
        <v>75.0</v>
      </c>
      <c r="B76" s="6">
        <v>2.873501E7</v>
      </c>
      <c r="C76" s="6"/>
      <c r="D76" s="63"/>
      <c r="E76" s="8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9">
        <v>76.0</v>
      </c>
      <c r="B77" s="10">
        <v>3.5973296E7</v>
      </c>
      <c r="C77" s="10"/>
      <c r="D77" s="64"/>
      <c r="E77" s="12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>
        <v>77.0</v>
      </c>
      <c r="B78" s="6">
        <v>9.4521109E7</v>
      </c>
      <c r="C78" s="6"/>
      <c r="D78" s="63"/>
      <c r="E78" s="8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9">
        <v>78.0</v>
      </c>
      <c r="B79" s="10">
        <v>9.4290896E7</v>
      </c>
      <c r="C79" s="10"/>
      <c r="D79" s="64"/>
      <c r="E79" s="12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>
        <v>79.0</v>
      </c>
      <c r="B80" s="6">
        <v>2.9319005E7</v>
      </c>
      <c r="C80" s="6"/>
      <c r="D80" s="63"/>
      <c r="E80" s="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9">
        <v>80.0</v>
      </c>
      <c r="B81" s="10">
        <v>3.1703988E7</v>
      </c>
      <c r="C81" s="10"/>
      <c r="D81" s="64"/>
      <c r="E81" s="12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>
        <v>81.0</v>
      </c>
      <c r="B82" s="6">
        <v>3.0455729E7</v>
      </c>
      <c r="C82" s="6"/>
      <c r="D82" s="63"/>
      <c r="E82" s="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9">
        <v>82.0</v>
      </c>
      <c r="B83" s="10">
        <v>4.3406398E7</v>
      </c>
      <c r="C83" s="10"/>
      <c r="D83" s="64"/>
      <c r="E83" s="12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>
        <v>83.0</v>
      </c>
      <c r="B84" s="6">
        <v>3.4583817E7</v>
      </c>
      <c r="C84" s="6"/>
      <c r="D84" s="63"/>
      <c r="E84" s="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9">
        <v>84.0</v>
      </c>
      <c r="B85" s="10">
        <v>2.5422284E7</v>
      </c>
      <c r="C85" s="10"/>
      <c r="D85" s="64"/>
      <c r="E85" s="12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>
        <v>85.0</v>
      </c>
      <c r="B86" s="6">
        <v>2.7259537E7</v>
      </c>
      <c r="C86" s="6"/>
      <c r="D86" s="63"/>
      <c r="E86" s="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9">
        <v>86.0</v>
      </c>
      <c r="B87" s="10">
        <v>3.8128116E7</v>
      </c>
      <c r="C87" s="10"/>
      <c r="D87" s="64"/>
      <c r="E87" s="12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>
        <v>87.0</v>
      </c>
      <c r="B88" s="6">
        <v>2.9697288E7</v>
      </c>
      <c r="C88" s="6"/>
      <c r="D88" s="63"/>
      <c r="E88" s="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9">
        <v>88.0</v>
      </c>
      <c r="B89" s="10">
        <v>3.816591E7</v>
      </c>
      <c r="C89" s="10"/>
      <c r="D89" s="64"/>
      <c r="E89" s="12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>
        <v>89.0</v>
      </c>
      <c r="B90" s="6">
        <v>3.7782026E7</v>
      </c>
      <c r="C90" s="6"/>
      <c r="D90" s="63"/>
      <c r="E90" s="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9">
        <v>90.0</v>
      </c>
      <c r="B91" s="10">
        <v>3.5979324E7</v>
      </c>
      <c r="C91" s="10"/>
      <c r="D91" s="64"/>
      <c r="E91" s="12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>
        <v>91.0</v>
      </c>
      <c r="B92" s="6">
        <v>3.9075526E7</v>
      </c>
      <c r="C92" s="6"/>
      <c r="D92" s="63"/>
      <c r="E92" s="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9">
        <v>92.0</v>
      </c>
      <c r="B93" s="10">
        <v>3.8672137E7</v>
      </c>
      <c r="C93" s="10"/>
      <c r="D93" s="64"/>
      <c r="E93" s="12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>
        <v>93.0</v>
      </c>
      <c r="B94" s="6">
        <v>4.381977E7</v>
      </c>
      <c r="C94" s="6"/>
      <c r="D94" s="63"/>
      <c r="E94" s="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9">
        <v>94.0</v>
      </c>
      <c r="B95" s="10">
        <v>3.8026805E7</v>
      </c>
      <c r="C95" s="10"/>
      <c r="D95" s="64"/>
      <c r="E95" s="12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>
        <v>95.0</v>
      </c>
      <c r="B96" s="6">
        <v>2.2986617E7</v>
      </c>
      <c r="C96" s="6"/>
      <c r="D96" s="63"/>
      <c r="E96" s="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9">
        <v>96.0</v>
      </c>
      <c r="B97" s="10">
        <v>3.4849125E7</v>
      </c>
      <c r="C97" s="10"/>
      <c r="D97" s="64"/>
      <c r="E97" s="12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>
        <v>97.0</v>
      </c>
      <c r="B98" s="6">
        <v>3.6471269E7</v>
      </c>
      <c r="C98" s="6"/>
      <c r="D98" s="63"/>
      <c r="E98" s="8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9">
        <v>98.0</v>
      </c>
      <c r="B99" s="10">
        <v>3.9962767E7</v>
      </c>
      <c r="C99" s="10"/>
      <c r="D99" s="64"/>
      <c r="E99" s="12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>
        <v>99.0</v>
      </c>
      <c r="B100" s="6">
        <v>2.9332369E7</v>
      </c>
      <c r="C100" s="6"/>
      <c r="D100" s="63"/>
      <c r="E100" s="8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9">
        <v>100.0</v>
      </c>
      <c r="B101" s="10">
        <v>4.1556999E7</v>
      </c>
      <c r="C101" s="10"/>
      <c r="D101" s="64"/>
      <c r="E101" s="12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>
        <v>101.0</v>
      </c>
      <c r="B102" s="6">
        <v>2.2650822E7</v>
      </c>
      <c r="C102" s="6"/>
      <c r="D102" s="63"/>
      <c r="E102" s="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9">
        <v>102.0</v>
      </c>
      <c r="B103" s="10">
        <v>3.9375285E7</v>
      </c>
      <c r="C103" s="10"/>
      <c r="D103" s="64"/>
      <c r="E103" s="12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>
        <v>103.0</v>
      </c>
      <c r="B104" s="6">
        <v>3.5959231E7</v>
      </c>
      <c r="C104" s="6"/>
      <c r="D104" s="63"/>
      <c r="E104" s="8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9">
        <v>104.0</v>
      </c>
      <c r="B105" s="10">
        <v>2.8418896E7</v>
      </c>
      <c r="C105" s="10"/>
      <c r="D105" s="64"/>
      <c r="E105" s="12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>
        <v>105.0</v>
      </c>
      <c r="B106" s="6">
        <v>4.0137655E7</v>
      </c>
      <c r="C106" s="6"/>
      <c r="D106" s="63"/>
      <c r="E106" s="8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9">
        <v>106.0</v>
      </c>
      <c r="B107" s="10">
        <v>4.0390933E7</v>
      </c>
      <c r="C107" s="10"/>
      <c r="D107" s="64"/>
      <c r="E107" s="12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>
        <v>107.0</v>
      </c>
      <c r="B108" s="6">
        <v>4.0239878E7</v>
      </c>
      <c r="C108" s="6"/>
      <c r="D108" s="63"/>
      <c r="E108" s="8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9">
        <v>108.0</v>
      </c>
      <c r="B109" s="10">
        <v>9.499782E7</v>
      </c>
      <c r="C109" s="10"/>
      <c r="D109" s="64"/>
      <c r="E109" s="12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>
        <v>109.0</v>
      </c>
      <c r="B110" s="6">
        <v>2.5847688E7</v>
      </c>
      <c r="C110" s="6"/>
      <c r="D110" s="63"/>
      <c r="E110" s="8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9">
        <v>110.0</v>
      </c>
      <c r="B111" s="10">
        <v>3.8152098E7</v>
      </c>
      <c r="C111" s="10"/>
      <c r="D111" s="64"/>
      <c r="E111" s="12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>
        <v>111.0</v>
      </c>
      <c r="B112" s="6">
        <v>4.0698496E7</v>
      </c>
      <c r="C112" s="6"/>
      <c r="D112" s="63"/>
      <c r="E112" s="8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9">
        <v>112.0</v>
      </c>
      <c r="B113" s="10">
        <v>3.0465419E7</v>
      </c>
      <c r="C113" s="10"/>
      <c r="D113" s="64"/>
      <c r="E113" s="12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>
        <v>113.0</v>
      </c>
      <c r="B114" s="6">
        <v>4.5285264E7</v>
      </c>
      <c r="C114" s="6"/>
      <c r="D114" s="63"/>
      <c r="E114" s="8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9">
        <v>114.0</v>
      </c>
      <c r="B115" s="10">
        <v>4.0850341E7</v>
      </c>
      <c r="C115" s="10"/>
      <c r="D115" s="64"/>
      <c r="E115" s="12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>
        <v>115.0</v>
      </c>
      <c r="B116" s="6">
        <v>2.5681364E7</v>
      </c>
      <c r="C116" s="6"/>
      <c r="D116" s="63"/>
      <c r="E116" s="8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9">
        <v>116.0</v>
      </c>
      <c r="B117" s="10">
        <v>3.7099313E7</v>
      </c>
      <c r="C117" s="10"/>
      <c r="D117" s="64"/>
      <c r="E117" s="12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>
        <v>117.0</v>
      </c>
      <c r="B118" s="6">
        <v>3.3155662E7</v>
      </c>
      <c r="C118" s="6"/>
      <c r="D118" s="63"/>
      <c r="E118" s="8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9">
        <v>118.0</v>
      </c>
      <c r="B119" s="10">
        <v>4.49638E7</v>
      </c>
      <c r="C119" s="10"/>
      <c r="D119" s="64"/>
      <c r="E119" s="12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>
        <v>119.0</v>
      </c>
      <c r="B120" s="6">
        <v>1.906315E7</v>
      </c>
      <c r="C120" s="6"/>
      <c r="D120" s="63"/>
      <c r="E120" s="8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9">
        <v>120.0</v>
      </c>
      <c r="B121" s="10">
        <v>4.0390502E7</v>
      </c>
      <c r="C121" s="10"/>
      <c r="D121" s="64"/>
      <c r="E121" s="12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>
        <v>121.0</v>
      </c>
      <c r="B122" s="6">
        <v>3.8838668E7</v>
      </c>
      <c r="C122" s="6"/>
      <c r="D122" s="63"/>
      <c r="E122" s="8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9">
        <v>122.0</v>
      </c>
      <c r="B123" s="10">
        <v>3.1624543E7</v>
      </c>
      <c r="C123" s="10"/>
      <c r="D123" s="64"/>
      <c r="E123" s="12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>
        <v>123.0</v>
      </c>
      <c r="B124" s="6">
        <v>2.9400848E7</v>
      </c>
      <c r="C124" s="6"/>
      <c r="D124" s="63"/>
      <c r="E124" s="8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9">
        <v>124.0</v>
      </c>
      <c r="B125" s="10">
        <v>3.1575604E7</v>
      </c>
      <c r="C125" s="10"/>
      <c r="D125" s="64"/>
      <c r="E125" s="12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>
        <v>125.0</v>
      </c>
      <c r="B126" s="6">
        <v>9.5040589E7</v>
      </c>
      <c r="C126" s="6"/>
      <c r="D126" s="63"/>
      <c r="E126" s="8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9">
        <v>126.0</v>
      </c>
      <c r="B127" s="10">
        <v>4.3624266E7</v>
      </c>
      <c r="C127" s="10"/>
      <c r="D127" s="64"/>
      <c r="E127" s="12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>
        <v>127.0</v>
      </c>
      <c r="B128" s="6">
        <v>4.1400116E7</v>
      </c>
      <c r="C128" s="6"/>
      <c r="D128" s="63"/>
      <c r="E128" s="8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9">
        <v>128.0</v>
      </c>
      <c r="B129" s="10">
        <v>4.3318554E7</v>
      </c>
      <c r="C129" s="10"/>
      <c r="D129" s="64"/>
      <c r="E129" s="12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>
        <v>129.0</v>
      </c>
      <c r="B130" s="6">
        <v>3.0333866E7</v>
      </c>
      <c r="C130" s="6"/>
      <c r="D130" s="63"/>
      <c r="E130" s="8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9">
        <v>130.0</v>
      </c>
      <c r="B131" s="10">
        <v>3.4436156E7</v>
      </c>
      <c r="C131" s="10"/>
      <c r="D131" s="64"/>
      <c r="E131" s="12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>
        <v>131.0</v>
      </c>
      <c r="B132" s="6">
        <v>3.9200084E7</v>
      </c>
      <c r="C132" s="6"/>
      <c r="D132" s="63"/>
      <c r="E132" s="8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9">
        <v>132.0</v>
      </c>
      <c r="B133" s="10">
        <v>3.4554754E7</v>
      </c>
      <c r="C133" s="10"/>
      <c r="D133" s="64"/>
      <c r="E133" s="12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>
        <v>133.0</v>
      </c>
      <c r="B134" s="6">
        <v>3.1137587E7</v>
      </c>
      <c r="C134" s="6"/>
      <c r="D134" s="63"/>
      <c r="E134" s="8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9">
        <v>134.0</v>
      </c>
      <c r="B135" s="10">
        <v>3.8070572E7</v>
      </c>
      <c r="C135" s="10"/>
      <c r="D135" s="64"/>
      <c r="E135" s="12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>
        <v>135.0</v>
      </c>
      <c r="B136" s="6">
        <v>2.3839922E7</v>
      </c>
      <c r="C136" s="6"/>
      <c r="D136" s="63"/>
      <c r="E136" s="8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9">
        <v>136.0</v>
      </c>
      <c r="B137" s="10">
        <v>1.9006062E7</v>
      </c>
      <c r="C137" s="10"/>
      <c r="D137" s="64"/>
      <c r="E137" s="12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>
        <v>137.0</v>
      </c>
      <c r="B138" s="6">
        <v>2.1365112E7</v>
      </c>
      <c r="C138" s="6"/>
      <c r="D138" s="63"/>
      <c r="E138" s="8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9">
        <v>138.0</v>
      </c>
      <c r="B139" s="10">
        <v>2.5530864E7</v>
      </c>
      <c r="C139" s="10"/>
      <c r="D139" s="64"/>
      <c r="E139" s="12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>
        <v>139.0</v>
      </c>
      <c r="B140" s="6">
        <v>2.8168835E7</v>
      </c>
      <c r="C140" s="6"/>
      <c r="D140" s="63"/>
      <c r="E140" s="8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9">
        <v>140.0</v>
      </c>
      <c r="B141" s="10">
        <v>3.8625889E7</v>
      </c>
      <c r="C141" s="10"/>
      <c r="D141" s="64"/>
      <c r="E141" s="12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>
        <v>141.0</v>
      </c>
      <c r="B142" s="6">
        <v>3.9464452E7</v>
      </c>
      <c r="C142" s="6"/>
      <c r="D142" s="63"/>
      <c r="E142" s="8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9">
        <v>142.0</v>
      </c>
      <c r="B143" s="10">
        <v>9.5159988E7</v>
      </c>
      <c r="C143" s="10"/>
      <c r="D143" s="64"/>
      <c r="E143" s="12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>
        <v>143.0</v>
      </c>
      <c r="B144" s="6">
        <v>3.3059642E7</v>
      </c>
      <c r="C144" s="6"/>
      <c r="D144" s="63"/>
      <c r="E144" s="8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9">
        <v>144.0</v>
      </c>
      <c r="B145" s="10">
        <v>3.0161994E7</v>
      </c>
      <c r="C145" s="10"/>
      <c r="D145" s="64"/>
      <c r="E145" s="12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>
        <v>145.0</v>
      </c>
      <c r="B146" s="6">
        <v>2.9072931E7</v>
      </c>
      <c r="C146" s="6"/>
      <c r="D146" s="63"/>
      <c r="E146" s="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9">
        <v>146.0</v>
      </c>
      <c r="B147" s="10">
        <v>3.6375804E7</v>
      </c>
      <c r="C147" s="10"/>
      <c r="D147" s="64"/>
      <c r="E147" s="12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>
        <v>147.0</v>
      </c>
      <c r="B148" s="6">
        <v>2.3506497E7</v>
      </c>
      <c r="C148" s="6"/>
      <c r="D148" s="63"/>
      <c r="E148" s="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9">
        <v>148.0</v>
      </c>
      <c r="B149" s="10">
        <v>3.5959046E7</v>
      </c>
      <c r="C149" s="10"/>
      <c r="D149" s="64"/>
      <c r="E149" s="12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>
        <v>149.0</v>
      </c>
      <c r="B150" s="6">
        <v>2.7621398E7</v>
      </c>
      <c r="C150" s="6"/>
      <c r="D150" s="63"/>
      <c r="E150" s="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9">
        <v>150.0</v>
      </c>
      <c r="B151" s="10">
        <v>3.1164406E7</v>
      </c>
      <c r="C151" s="10"/>
      <c r="D151" s="64"/>
      <c r="E151" s="12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>
        <v>151.0</v>
      </c>
      <c r="B152" s="6">
        <v>2.7767903E7</v>
      </c>
      <c r="C152" s="6"/>
      <c r="D152" s="63"/>
      <c r="E152" s="8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9">
        <v>152.0</v>
      </c>
      <c r="B153" s="10">
        <v>9.4087495E7</v>
      </c>
      <c r="C153" s="10"/>
      <c r="D153" s="64"/>
      <c r="E153" s="12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>
        <v>153.0</v>
      </c>
      <c r="B154" s="6">
        <v>2.4805785E7</v>
      </c>
      <c r="C154" s="6"/>
      <c r="D154" s="63"/>
      <c r="E154" s="8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9">
        <v>154.0</v>
      </c>
      <c r="B155" s="10">
        <v>2.5641513E7</v>
      </c>
      <c r="C155" s="10"/>
      <c r="D155" s="64"/>
      <c r="E155" s="12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>
        <v>155.0</v>
      </c>
      <c r="B156" s="6">
        <v>3.3250656E7</v>
      </c>
      <c r="C156" s="6"/>
      <c r="D156" s="63"/>
      <c r="E156" s="8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9">
        <v>156.0</v>
      </c>
      <c r="B157" s="10">
        <v>3.7350704E7</v>
      </c>
      <c r="C157" s="10"/>
      <c r="D157" s="64"/>
      <c r="E157" s="12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>
        <v>157.0</v>
      </c>
      <c r="B158" s="6">
        <v>3.862009E7</v>
      </c>
      <c r="C158" s="6"/>
      <c r="D158" s="63"/>
      <c r="E158" s="8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9">
        <v>158.0</v>
      </c>
      <c r="B159" s="10">
        <v>2.8683156E7</v>
      </c>
      <c r="C159" s="10"/>
      <c r="D159" s="64"/>
      <c r="E159" s="12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>
        <v>159.0</v>
      </c>
      <c r="B160" s="6">
        <v>4.097188E7</v>
      </c>
      <c r="C160" s="6"/>
      <c r="D160" s="63"/>
      <c r="E160" s="8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9">
        <v>160.0</v>
      </c>
      <c r="B161" s="10">
        <v>4.0127613E7</v>
      </c>
      <c r="C161" s="10"/>
      <c r="D161" s="64"/>
      <c r="E161" s="12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>
        <v>161.0</v>
      </c>
      <c r="B162" s="6">
        <v>2.3696368E7</v>
      </c>
      <c r="C162" s="6"/>
      <c r="D162" s="63"/>
      <c r="E162" s="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9">
        <v>162.0</v>
      </c>
      <c r="B163" s="10">
        <v>3.7217593E7</v>
      </c>
      <c r="C163" s="10"/>
      <c r="D163" s="64"/>
      <c r="E163" s="12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>
        <v>163.0</v>
      </c>
      <c r="B164" s="6">
        <v>9.3895929E7</v>
      </c>
      <c r="C164" s="6"/>
      <c r="D164" s="63"/>
      <c r="E164" s="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9">
        <v>164.0</v>
      </c>
      <c r="B165" s="10">
        <v>3.3789655E7</v>
      </c>
      <c r="C165" s="10"/>
      <c r="D165" s="64"/>
      <c r="E165" s="12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>
        <v>165.0</v>
      </c>
      <c r="B166" s="6">
        <v>1.0</v>
      </c>
      <c r="C166" s="6"/>
      <c r="D166" s="63"/>
      <c r="E166" s="8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9">
        <v>166.0</v>
      </c>
      <c r="B167" s="10">
        <v>2.0</v>
      </c>
      <c r="C167" s="10"/>
      <c r="D167" s="64"/>
      <c r="E167" s="12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>
        <v>167.0</v>
      </c>
      <c r="B168" s="6">
        <v>3.0</v>
      </c>
      <c r="C168" s="6"/>
      <c r="D168" s="63"/>
      <c r="E168" s="8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9">
        <v>168.0</v>
      </c>
      <c r="B169" s="10">
        <v>4.0</v>
      </c>
      <c r="C169" s="10"/>
      <c r="D169" s="64"/>
      <c r="E169" s="12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>
        <v>169.0</v>
      </c>
      <c r="B170" s="6">
        <v>5.0</v>
      </c>
      <c r="C170" s="6"/>
      <c r="D170" s="63"/>
      <c r="E170" s="8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9">
        <v>170.0</v>
      </c>
      <c r="B171" s="10">
        <v>6.0</v>
      </c>
      <c r="C171" s="10"/>
      <c r="D171" s="64"/>
      <c r="E171" s="12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>
        <v>171.0</v>
      </c>
      <c r="B172" s="6">
        <v>7.0</v>
      </c>
      <c r="C172" s="6"/>
      <c r="D172" s="63"/>
      <c r="E172" s="8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9">
        <v>172.0</v>
      </c>
      <c r="B173" s="10">
        <v>8.0</v>
      </c>
      <c r="C173" s="10"/>
      <c r="D173" s="64"/>
      <c r="E173" s="12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>
        <v>173.0</v>
      </c>
      <c r="B174" s="6">
        <v>9.0</v>
      </c>
      <c r="C174" s="6"/>
      <c r="D174" s="63"/>
      <c r="E174" s="8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9">
        <v>174.0</v>
      </c>
      <c r="B175" s="10">
        <v>10.0</v>
      </c>
      <c r="C175" s="10"/>
      <c r="D175" s="64"/>
      <c r="E175" s="12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>
        <v>175.0</v>
      </c>
      <c r="B176" s="6">
        <v>11.0</v>
      </c>
      <c r="C176" s="6"/>
      <c r="D176" s="63"/>
      <c r="E176" s="8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9">
        <v>176.0</v>
      </c>
      <c r="B177" s="10">
        <v>12.0</v>
      </c>
      <c r="C177" s="10"/>
      <c r="D177" s="64"/>
      <c r="E177" s="12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>
        <v>177.0</v>
      </c>
      <c r="B178" s="6">
        <v>13.0</v>
      </c>
      <c r="C178" s="6"/>
      <c r="D178" s="63"/>
      <c r="E178" s="8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9">
        <v>178.0</v>
      </c>
      <c r="B179" s="10">
        <v>3.0157917E7</v>
      </c>
      <c r="C179" s="10"/>
      <c r="D179" s="64"/>
      <c r="E179" s="12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>
        <v>179.0</v>
      </c>
      <c r="B180" s="6">
        <v>3.4977306E7</v>
      </c>
      <c r="C180" s="6"/>
      <c r="D180" s="63"/>
      <c r="E180" s="8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9">
        <v>180.0</v>
      </c>
      <c r="B181" s="10">
        <v>4.1062447E7</v>
      </c>
      <c r="C181" s="10"/>
      <c r="D181" s="64"/>
      <c r="E181" s="12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>
        <v>181.0</v>
      </c>
      <c r="B182" s="6">
        <v>2.8922058E7</v>
      </c>
      <c r="C182" s="6"/>
      <c r="D182" s="63"/>
      <c r="E182" s="8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9">
        <v>182.0</v>
      </c>
      <c r="B183" s="10">
        <v>4.1047817E7</v>
      </c>
      <c r="C183" s="10"/>
      <c r="D183" s="64"/>
      <c r="E183" s="12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>
        <v>183.0</v>
      </c>
      <c r="B184" s="6">
        <v>3.9915064E7</v>
      </c>
      <c r="C184" s="6"/>
      <c r="D184" s="63"/>
      <c r="E184" s="8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9">
        <v>184.0</v>
      </c>
      <c r="B185" s="10">
        <v>3.4703565E7</v>
      </c>
      <c r="C185" s="10"/>
      <c r="D185" s="64"/>
      <c r="E185" s="12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>
        <v>185.0</v>
      </c>
      <c r="B186" s="6">
        <v>3.9066896E7</v>
      </c>
      <c r="C186" s="6"/>
      <c r="D186" s="63"/>
      <c r="E186" s="8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9">
        <v>186.0</v>
      </c>
      <c r="B187" s="10">
        <v>3.8070151E7</v>
      </c>
      <c r="C187" s="10"/>
      <c r="D187" s="64"/>
      <c r="E187" s="12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>
        <v>187.0</v>
      </c>
      <c r="B188" s="6">
        <v>3.6087484E7</v>
      </c>
      <c r="C188" s="6"/>
      <c r="D188" s="63"/>
      <c r="E188" s="8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9">
        <v>188.0</v>
      </c>
      <c r="B189" s="10">
        <v>9.5009603E7</v>
      </c>
      <c r="C189" s="10"/>
      <c r="D189" s="64"/>
      <c r="E189" s="12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>
        <v>189.0</v>
      </c>
      <c r="B190" s="6">
        <v>3.694925E7</v>
      </c>
      <c r="C190" s="6"/>
      <c r="D190" s="63"/>
      <c r="E190" s="8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9">
        <v>190.0</v>
      </c>
      <c r="B191" s="10">
        <v>3.8027633E7</v>
      </c>
      <c r="C191" s="10"/>
      <c r="D191" s="64"/>
      <c r="E191" s="12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>
        <v>191.0</v>
      </c>
      <c r="B192" s="6">
        <v>3.6550977E7</v>
      </c>
      <c r="C192" s="6"/>
      <c r="D192" s="63"/>
      <c r="E192" s="8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9">
        <v>192.0</v>
      </c>
      <c r="B193" s="10">
        <v>3.5914134E7</v>
      </c>
      <c r="C193" s="10"/>
      <c r="D193" s="64"/>
      <c r="E193" s="12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>
        <v>193.0</v>
      </c>
      <c r="B194" s="6">
        <v>9.5695047E7</v>
      </c>
      <c r="C194" s="6"/>
      <c r="D194" s="63"/>
      <c r="E194" s="8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9">
        <v>194.0</v>
      </c>
      <c r="B195" s="10">
        <v>3.7699248E7</v>
      </c>
      <c r="C195" s="10"/>
      <c r="D195" s="64"/>
      <c r="E195" s="12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>
        <v>195.0</v>
      </c>
      <c r="B196" s="6">
        <v>2.5044383E7</v>
      </c>
      <c r="C196" s="6"/>
      <c r="D196" s="63"/>
      <c r="E196" s="8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9">
        <v>196.0</v>
      </c>
      <c r="B197" s="10">
        <v>3.391498E7</v>
      </c>
      <c r="C197" s="10"/>
      <c r="D197" s="64"/>
      <c r="E197" s="12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>
        <v>197.0</v>
      </c>
      <c r="B198" s="6">
        <v>3.3401865E7</v>
      </c>
      <c r="C198" s="6"/>
      <c r="D198" s="63"/>
      <c r="E198" s="8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9">
        <v>198.0</v>
      </c>
      <c r="B199" s="10">
        <v>2.9428219E7</v>
      </c>
      <c r="C199" s="10"/>
      <c r="D199" s="64"/>
      <c r="E199" s="12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>
        <v>199.0</v>
      </c>
      <c r="B200" s="6">
        <v>2.767463E7</v>
      </c>
      <c r="C200" s="6"/>
      <c r="D200" s="63"/>
      <c r="E200" s="8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9">
        <v>200.0</v>
      </c>
      <c r="B201" s="10">
        <v>3.5728389E7</v>
      </c>
      <c r="C201" s="10"/>
      <c r="D201" s="64"/>
      <c r="E201" s="12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>
        <v>201.0</v>
      </c>
      <c r="B202" s="6">
        <v>1.0000016E7</v>
      </c>
      <c r="C202" s="6"/>
      <c r="D202" s="63"/>
      <c r="E202" s="8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9">
        <v>202.0</v>
      </c>
      <c r="B203" s="10">
        <v>1.0000017E7</v>
      </c>
      <c r="C203" s="10"/>
      <c r="D203" s="64"/>
      <c r="E203" s="12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>
        <v>203.0</v>
      </c>
      <c r="B204" s="6">
        <v>1.0000018E7</v>
      </c>
      <c r="C204" s="6"/>
      <c r="D204" s="63"/>
      <c r="E204" s="8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9">
        <v>204.0</v>
      </c>
      <c r="B205" s="10">
        <v>1.0000019E7</v>
      </c>
      <c r="C205" s="10"/>
      <c r="D205" s="64"/>
      <c r="E205" s="12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>
        <v>205.0</v>
      </c>
      <c r="B206" s="7">
        <v>3.6755934E7</v>
      </c>
      <c r="C206" s="6"/>
      <c r="D206" s="63"/>
      <c r="E206" s="8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9">
        <v>206.0</v>
      </c>
      <c r="B207" s="10">
        <v>1.0000021E7</v>
      </c>
      <c r="C207" s="10"/>
      <c r="D207" s="64"/>
      <c r="E207" s="12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>
        <v>207.0</v>
      </c>
      <c r="B208" s="6">
        <v>1.0000001E7</v>
      </c>
      <c r="C208" s="6"/>
      <c r="D208" s="63"/>
      <c r="E208" s="8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9">
        <v>208.0</v>
      </c>
      <c r="B209" s="10">
        <v>1.0000002E7</v>
      </c>
      <c r="C209" s="10"/>
      <c r="D209" s="64"/>
      <c r="E209" s="12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>
        <v>209.0</v>
      </c>
      <c r="B210" s="6">
        <v>1.0000003E7</v>
      </c>
      <c r="C210" s="6"/>
      <c r="D210" s="63"/>
      <c r="E210" s="8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9">
        <v>210.0</v>
      </c>
      <c r="B211" s="10">
        <v>1.0000004E7</v>
      </c>
      <c r="C211" s="10"/>
      <c r="D211" s="64"/>
      <c r="E211" s="12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>
        <v>211.0</v>
      </c>
      <c r="B212" s="6">
        <v>1.0000005E7</v>
      </c>
      <c r="C212" s="6"/>
      <c r="D212" s="63"/>
      <c r="E212" s="8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9">
        <v>212.0</v>
      </c>
      <c r="B213" s="14">
        <v>4.5192487E7</v>
      </c>
      <c r="C213" s="10"/>
      <c r="D213" s="64"/>
      <c r="E213" s="12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>
        <v>213.0</v>
      </c>
      <c r="B214" s="6">
        <v>1.0000007E7</v>
      </c>
      <c r="C214" s="6"/>
      <c r="D214" s="63"/>
      <c r="E214" s="8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9">
        <v>214.0</v>
      </c>
      <c r="B215" s="10">
        <v>1.0000008E7</v>
      </c>
      <c r="C215" s="10"/>
      <c r="D215" s="64"/>
      <c r="E215" s="12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>
        <v>215.0</v>
      </c>
      <c r="B216" s="6">
        <v>1.0000009E7</v>
      </c>
      <c r="C216" s="6"/>
      <c r="D216" s="63"/>
      <c r="E216" s="8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9">
        <v>216.0</v>
      </c>
      <c r="B217" s="10">
        <v>1.000001E7</v>
      </c>
      <c r="C217" s="10"/>
      <c r="D217" s="64"/>
      <c r="E217" s="12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>
        <v>217.0</v>
      </c>
      <c r="B218" s="6">
        <v>1.0000011E7</v>
      </c>
      <c r="C218" s="6"/>
      <c r="D218" s="63"/>
      <c r="E218" s="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9">
        <v>218.0</v>
      </c>
      <c r="B219" s="10">
        <v>1.0000012E7</v>
      </c>
      <c r="C219" s="10"/>
      <c r="D219" s="64"/>
      <c r="E219" s="12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>
        <v>219.0</v>
      </c>
      <c r="B220" s="7">
        <v>3.8456881E7</v>
      </c>
      <c r="C220" s="6"/>
      <c r="D220" s="63"/>
      <c r="E220" s="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0">
        <v>221.0</v>
      </c>
      <c r="B221" s="10">
        <v>1.0000015E7</v>
      </c>
      <c r="C221" s="10"/>
      <c r="D221" s="64"/>
      <c r="E221" s="12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9">
        <v>222.0</v>
      </c>
      <c r="B222" s="7">
        <v>4.2272694E7</v>
      </c>
      <c r="C222" s="6"/>
      <c r="D222" s="63"/>
      <c r="E222" s="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0">
        <v>223.0</v>
      </c>
      <c r="B223" s="14">
        <v>3.64075E7</v>
      </c>
      <c r="C223" s="10"/>
      <c r="D223" s="64"/>
      <c r="E223" s="12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9">
        <v>224.0</v>
      </c>
      <c r="B224" s="7">
        <v>3.5181182E7</v>
      </c>
      <c r="C224" s="7" t="s">
        <v>1148</v>
      </c>
      <c r="D224" s="66" t="s">
        <v>1149</v>
      </c>
      <c r="E224" s="16">
        <v>33908.0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67"/>
      <c r="B225" s="68"/>
      <c r="C225" s="68"/>
      <c r="D225" s="69"/>
      <c r="E225" s="70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D226" s="71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D227" s="71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D228" s="71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D229" s="71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D230" s="71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D231" s="71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D232" s="71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D233" s="71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D234" s="71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D235" s="71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D236" s="71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D237" s="71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D238" s="71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D239" s="71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D240" s="71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D241" s="71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D242" s="71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D243" s="71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D244" s="71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D245" s="71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D246" s="71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D247" s="71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D248" s="71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D249" s="71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D250" s="71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D251" s="71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D252" s="71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D253" s="71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D254" s="71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D255" s="71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D256" s="71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D257" s="71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D258" s="71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D259" s="71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D260" s="71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D261" s="71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D262" s="71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D263" s="71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D264" s="71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D265" s="71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D266" s="71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D267" s="71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D268" s="71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D269" s="71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D270" s="71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D271" s="71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D272" s="71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D273" s="71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D274" s="71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D275" s="71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D276" s="71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D277" s="71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D278" s="71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D279" s="71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D280" s="71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D281" s="71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D282" s="71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D283" s="71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D284" s="71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D285" s="71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D286" s="71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D287" s="71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D288" s="71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D289" s="71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D290" s="71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D291" s="71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D292" s="71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D293" s="71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D294" s="71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D295" s="71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D296" s="71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D297" s="71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D298" s="71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D299" s="71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D300" s="71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D301" s="71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D302" s="71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D303" s="71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D304" s="71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D305" s="71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D306" s="71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D307" s="71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D308" s="71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D309" s="71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D310" s="71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D311" s="71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D312" s="71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D313" s="71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D314" s="71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D315" s="71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D316" s="71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D317" s="71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D318" s="71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D319" s="71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D320" s="71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D321" s="71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D322" s="71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D323" s="71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D324" s="71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D325" s="71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D326" s="71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D327" s="71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D328" s="71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D329" s="71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D330" s="71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D331" s="71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D332" s="71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D333" s="71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D334" s="71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D335" s="71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D336" s="71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D337" s="71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D338" s="71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D339" s="71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D340" s="71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D341" s="71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D342" s="71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D343" s="71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D344" s="71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D345" s="71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D346" s="71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D347" s="71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D348" s="71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D349" s="71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D350" s="71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D351" s="71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D352" s="71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D353" s="71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D354" s="71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D355" s="71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D356" s="71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D357" s="71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D358" s="71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D359" s="71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D360" s="71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D361" s="71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D362" s="71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D363" s="71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D364" s="71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D365" s="71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D366" s="71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D367" s="71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2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2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2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2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2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2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2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2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2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2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2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2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2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2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2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2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2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2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2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2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2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2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2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2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2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2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2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2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2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2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2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2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2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2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2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2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2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2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2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2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2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2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2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2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2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2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2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2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2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2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2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2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2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2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2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2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2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2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2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2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2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2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2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2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2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2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2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2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2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2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2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2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2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2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2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2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2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2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2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2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2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2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2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2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2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2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2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2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2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2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2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2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2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2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2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2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2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2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2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2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2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2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2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2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2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2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2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2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2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2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2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2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2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2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2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2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2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2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2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2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2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2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2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2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2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2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2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2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2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2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2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2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2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2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2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2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2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2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2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2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2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2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2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2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2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2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2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2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2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2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2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2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2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2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2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2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2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2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2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2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2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2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2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2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2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2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2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2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2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2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2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2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2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2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2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2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2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2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2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2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2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2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2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2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2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2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2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2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2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2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2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2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2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2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2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2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2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2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2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2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2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2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2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2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2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2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2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2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2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2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2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2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2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2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2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2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2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2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2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2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2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2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2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2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2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2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2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2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2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2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2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2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2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2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2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2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2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2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2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2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2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2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2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2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2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2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2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2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2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2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2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2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2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2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2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2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2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2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2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2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2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2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2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2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2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2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2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2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2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2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2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2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2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2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2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2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2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2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2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2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2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2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2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2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2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2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2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2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2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2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2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2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2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2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2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2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2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2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2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2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2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2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2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2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2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2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2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2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2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2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2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2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2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2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2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2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2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2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2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2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2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2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2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2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2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2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2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2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2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2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2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2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2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2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2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2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2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2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2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2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2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2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2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2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2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2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2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2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2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2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2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2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2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2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2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2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2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2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2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2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2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2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2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2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2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2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2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2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2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2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2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2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2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2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2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2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2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2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2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2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2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2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2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2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2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2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2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2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2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2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2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2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2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2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2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2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2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2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2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2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2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2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2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2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2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2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2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2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2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2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2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2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2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2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2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2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2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2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2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2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2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2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2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2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2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2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2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2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2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2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2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2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2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2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2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2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2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2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2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2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2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2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2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2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2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2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2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2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2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2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2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2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2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2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2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2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2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2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2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2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2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2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2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2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2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2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2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2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2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2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2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2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2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2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2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2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2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2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2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2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2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2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2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2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2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2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2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2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2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2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2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2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2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2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2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2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2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2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2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2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2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2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2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2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2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2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2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2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2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2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2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2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2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2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2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2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2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2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2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2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2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2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2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2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2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2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2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2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2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2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2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2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2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2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2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2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2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2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2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2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2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2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2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2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2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2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2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2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2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2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2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2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2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2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2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2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2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2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2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2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2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2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2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2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2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2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2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2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2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2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2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2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2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2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2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2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2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2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2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2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2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2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2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2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2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2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2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2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2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2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2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2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2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2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2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2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2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2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2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2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2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2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2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2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2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2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2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2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2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2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2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2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2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2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2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2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2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2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2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2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2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2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2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2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2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2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2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2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2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2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25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25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dataValidations>
    <dataValidation type="custom" allowBlank="1" showDropDown="1" sqref="E2:E225">
      <formula1>OR(NOT(ISERROR(DATEVALUE(E2))), AND(ISNUMBER(E2), LEFT(CELL("format", E2))="D"))</formula1>
    </dataValidation>
    <dataValidation allowBlank="1" showDropDown="1" sqref="D2:D225"/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3.71"/>
    <col customWidth="1" min="3" max="3" width="12.0"/>
    <col customWidth="1" min="4" max="4" width="29.71"/>
    <col customWidth="1" min="5" max="5" width="16.14"/>
    <col customWidth="1" min="6" max="6" width="33.86"/>
    <col customWidth="1" min="7" max="7" width="7.29"/>
    <col customWidth="1" min="8" max="8" width="29.43"/>
    <col customWidth="1" min="9" max="9" width="23.43"/>
    <col customWidth="1" min="10" max="10" width="12.0"/>
    <col customWidth="1" min="11" max="11" width="29.71"/>
    <col customWidth="1" min="12" max="12" width="22.14"/>
    <col customWidth="1" min="13" max="16" width="14.0"/>
    <col customWidth="1" min="17" max="17" width="24.71"/>
    <col customWidth="1" min="18" max="18" width="22.29"/>
    <col customWidth="1" min="19" max="19" width="35.29"/>
    <col customWidth="1" min="20" max="20" width="22.29"/>
    <col customWidth="1" min="21" max="21" width="17.86"/>
    <col customWidth="1" min="22" max="22" width="20.57"/>
    <col customWidth="1" min="23" max="23" width="10.71"/>
  </cols>
  <sheetData>
    <row r="1">
      <c r="A1" s="72" t="s">
        <v>1150</v>
      </c>
      <c r="B1" s="73" t="s">
        <v>1151</v>
      </c>
      <c r="C1" s="74" t="s">
        <v>1152</v>
      </c>
      <c r="D1" s="73" t="s">
        <v>648</v>
      </c>
      <c r="E1" s="73" t="s">
        <v>1153</v>
      </c>
      <c r="F1" s="73" t="s">
        <v>1154</v>
      </c>
      <c r="G1" s="73" t="s">
        <v>838</v>
      </c>
      <c r="H1" s="73" t="s">
        <v>1155</v>
      </c>
      <c r="I1" s="73" t="s">
        <v>1156</v>
      </c>
      <c r="J1" s="73" t="s">
        <v>1157</v>
      </c>
      <c r="K1" s="73" t="s">
        <v>1158</v>
      </c>
      <c r="L1" s="73" t="s">
        <v>1159</v>
      </c>
      <c r="M1" s="75" t="s">
        <v>1160</v>
      </c>
      <c r="N1" s="76" t="s">
        <v>1161</v>
      </c>
      <c r="O1" s="76" t="s">
        <v>1162</v>
      </c>
      <c r="P1" s="76" t="s">
        <v>1163</v>
      </c>
      <c r="Q1" s="73" t="s">
        <v>1164</v>
      </c>
      <c r="R1" s="73" t="s">
        <v>1165</v>
      </c>
      <c r="S1" s="73" t="s">
        <v>1166</v>
      </c>
      <c r="T1" s="73" t="s">
        <v>1167</v>
      </c>
      <c r="U1" s="73" t="s">
        <v>1168</v>
      </c>
      <c r="V1" s="77" t="s">
        <v>652</v>
      </c>
      <c r="W1" s="78"/>
    </row>
    <row r="2" hidden="1">
      <c r="A2" s="79"/>
      <c r="B2" s="80"/>
      <c r="C2" s="81">
        <f>datos_personales[id:]</f>
        <v>21726330</v>
      </c>
      <c r="D2" s="81" t="str">
        <f t="array" ref="D2">XLOOKUP(C2,datos_laborales[clave_foranea],datos_laborales[Relacion de Dependencia],"dato no encontrado",0,1)</f>
        <v>planta permanente</v>
      </c>
      <c r="E2" s="80" t="str">
        <f t="array" ref="E2">XLOOKUP(C2,datos_delegados[clave_foranea:],datos_delegados[En Actividad]," ",0,1)</f>
        <v> </v>
      </c>
      <c r="F2" s="81" t="str">
        <f t="array" ref="F2">CONCATENATE(XLOOKUP(C2,datos_personales[id:],datos_personales[Apellido:],"no dato",0,1),", ",XLOOKUP(C2,datos_personales[id:],datos_personales[Nombre],"no dato",0,1))</f>
        <v>battafarano,  amelia andrea</v>
      </c>
      <c r="G2" s="81">
        <f t="array" ref="G2">XLOOKUP(C2,datos_laborales[clave_foranea],datos_laborales[N° De Legajo],"no dato",0,1)</f>
        <v>127</v>
      </c>
      <c r="H2" s="82">
        <f t="array" ref="H2">XLOOKUP(C2,datos_laborales[clave_foranea], datos_laborales[Inicio Actividad:],"no dato",0,1)</f>
        <v>42767</v>
      </c>
      <c r="I2" s="81">
        <f t="array" ref="I2">XLOOKUP(C2,datos_laborales[clave_foranea],datos_laborales[Años en Actividad:],"no dato",0,1)</f>
        <v>8</v>
      </c>
      <c r="J2" s="81">
        <f t="array" ref="J2">XLOOKUP(C2,datos_personales[id:],datos_personales[D.n.i:],"no dato",0,1)</f>
        <v>21726330</v>
      </c>
      <c r="K2" s="82">
        <f t="array" ref="K2">XLOOKUP(C2,datos_personales[id:],datos_personales[Fecha Nacimiento:],"no dato",0,1)</f>
        <v>25771</v>
      </c>
      <c r="L2" s="81">
        <f>COUNTIF(hijos!B:B,C2)</f>
        <v>1</v>
      </c>
      <c r="M2" s="83">
        <f>COUNTIFS(hijos!B:B,C2,hijos!I:I,1)</f>
        <v>0</v>
      </c>
      <c r="N2" s="84">
        <f>COUNTIFS(hijos!B:B,C2,hijos!J:J,1)</f>
        <v>0</v>
      </c>
      <c r="O2" s="84">
        <f>COUNTIFS(hijos!B:B,C2,hijos!K:K,1)</f>
        <v>0</v>
      </c>
      <c r="P2" s="84">
        <f>COUNTIFS(hijos!B:B,C2,hijos!L:L,1)</f>
        <v>1</v>
      </c>
      <c r="Q2" s="84">
        <f t="shared" ref="Q2:Q227" si="1">SUM(M2:P2)</f>
        <v>1</v>
      </c>
      <c r="R2" s="85">
        <f t="array" ref="R2">XLOOKUP(C2,datos_personales[id:],datos_personales[Tel. Contacto:],"no dato",0,1)</f>
        <v>1144271929</v>
      </c>
      <c r="S2" s="81" t="str">
        <f t="array" ref="S2">XLOOKUP(C2,datos_personales[id:],datos_personales[E-Mail:],"no dato",0,1)</f>
        <v>andrius_1970@hotmail.com</v>
      </c>
      <c r="T2" s="81" t="str">
        <f t="array" ref="T2">XLOOKUP(R2,telefonos_afiliados[numeros_loys],telefonos_afiliados[esta],"no esta",0,1)</f>
        <v>no esta</v>
      </c>
      <c r="U2" s="86" t="str">
        <f t="array" ref="U2">XLOOKUP(C2,datos_personales[id:],datos_laborales[renuncio],"no dato",0,1)</f>
        <v>#N/A</v>
      </c>
      <c r="V2" s="87" t="str">
        <f t="array" ref="V2">XLOOKUP(C2,datos_laborales[clave_foranea],datos_laborales[tiene_ficha_pdf],"no tiene ficha pdf",0,1)</f>
        <v>no tiene en pdf</v>
      </c>
      <c r="W2" s="78"/>
    </row>
    <row r="3" hidden="1">
      <c r="A3" s="79"/>
      <c r="B3" s="80"/>
      <c r="C3" s="88">
        <f>datos_personales[id:]</f>
        <v>32436304</v>
      </c>
      <c r="D3" s="88" t="str">
        <f t="array" ref="D3">XLOOKUP(C3,datos_laborales[clave_foranea],datos_laborales[Relacion de Dependencia],"dato no encontrado",0,1)</f>
        <v>monotributista</v>
      </c>
      <c r="E3" s="80" t="str">
        <f t="array" ref="E3">XLOOKUP(C3,datos_delegados[clave_foranea:],datos_delegados[En Actividad]," ",0,1)</f>
        <v> </v>
      </c>
      <c r="F3" s="88" t="str">
        <f t="array" ref="F3">CONCATENATE(XLOOKUP(C3,datos_personales[id:],datos_personales[Apellido:],"no dato",0,1),", ",XLOOKUP(C3,datos_personales[id:],datos_personales[Nombre],"no dato",0,1))</f>
        <v>arroyo, elizabeth beatriz</v>
      </c>
      <c r="G3" s="88">
        <f t="array" ref="G3">XLOOKUP(C3,datos_laborales[clave_foranea],datos_laborales[N° De Legajo],"no dato",0,1)</f>
        <v>1575</v>
      </c>
      <c r="H3" s="89">
        <f t="array" ref="H3">XLOOKUP(C3,datos_laborales[clave_foranea], datos_laborales[Inicio Actividad:],"no dato",0,1)</f>
        <v>43536</v>
      </c>
      <c r="I3" s="88">
        <f t="array" ref="I3">XLOOKUP(C3,datos_laborales[clave_foranea],datos_laborales[Años en Actividad:],"no dato",0,1)</f>
        <v>6</v>
      </c>
      <c r="J3" s="88">
        <f t="array" ref="J3">XLOOKUP(C3,datos_personales[id:],datos_personales[D.n.i:],"no dato",0,1)</f>
        <v>32436304</v>
      </c>
      <c r="K3" s="89">
        <f t="array" ref="K3">XLOOKUP(C3,datos_personales[id:],datos_personales[Fecha Nacimiento:],"no dato",0,1)</f>
        <v>31527</v>
      </c>
      <c r="L3" s="88">
        <f>COUNTIF(hijos!B:B,C3)</f>
        <v>0</v>
      </c>
      <c r="M3" s="90">
        <f>COUNTIFS(hijos!B:B,C3,hijos!I:I,1)</f>
        <v>0</v>
      </c>
      <c r="N3" s="91">
        <f>COUNTIFS(hijos!B:B,C3,hijos!J:J,1)</f>
        <v>0</v>
      </c>
      <c r="O3" s="91">
        <f>COUNTIFS(hijos!B:B,C3,hijos!K:K,1)</f>
        <v>0</v>
      </c>
      <c r="P3" s="91">
        <f>COUNTIFS(hijos!B:B,C3,hijos!L:L,1)</f>
        <v>0</v>
      </c>
      <c r="Q3" s="91">
        <f t="shared" si="1"/>
        <v>0</v>
      </c>
      <c r="R3" s="92" t="str">
        <f t="array" ref="R3">XLOOKUP(C3,datos_personales[id:],datos_personales[Tel. Contacto:],"no dato",0,1)</f>
        <v/>
      </c>
      <c r="S3" s="88" t="str">
        <f t="array" ref="S3">XLOOKUP(C3,datos_personales[id:],datos_personales[E-Mail:],"no dato",0,1)</f>
        <v>elizabeth_arroyo25@hotmail.com </v>
      </c>
      <c r="T3" s="88" t="str">
        <f t="array" ref="T3">XLOOKUP(R3,telefonos_afiliados[numeros_loys],telefonos_afiliados[esta],"no esta",0,1)</f>
        <v>no esta</v>
      </c>
      <c r="U3" s="88" t="str">
        <f t="array" ref="U3">XLOOKUP(C3,datos_personales[id:],datos_laborales[renuncio],"no dato",0,1)</f>
        <v>#N/A</v>
      </c>
      <c r="V3" s="93" t="str">
        <f t="array" ref="V3">XLOOKUP(C3,datos_laborales[clave_foranea],datos_laborales[tiene_ficha_pdf],"no tiene ficha pdf",0,1)</f>
        <v>no tiene en pdf</v>
      </c>
      <c r="W3" s="78"/>
    </row>
    <row r="4">
      <c r="A4" s="79"/>
      <c r="B4" s="80"/>
      <c r="C4" s="81">
        <f>datos_personales[id:]</f>
        <v>31963497</v>
      </c>
      <c r="D4" s="81" t="str">
        <f t="array" ref="D4">XLOOKUP(C4,datos_laborales[clave_foranea],datos_laborales[Relacion de Dependencia],"dato no encontrado",0,1)</f>
        <v>monotributista</v>
      </c>
      <c r="E4" s="80" t="str">
        <f t="array" ref="E4">XLOOKUP(C4,datos_delegados[clave_foranea:],datos_delegados[En Actividad]," ",0,1)</f>
        <v> </v>
      </c>
      <c r="F4" s="81" t="str">
        <f t="array" ref="F4">CONCATENATE(XLOOKUP(C4,datos_personales[id:],datos_personales[Apellido:],"no dato",0,1),", ",XLOOKUP(C4,datos_personales[id:],datos_personales[Nombre],"no dato",0,1))</f>
        <v>aranda, natalia veronica</v>
      </c>
      <c r="G4" s="81">
        <f t="array" ref="G4">XLOOKUP(C4,datos_laborales[clave_foranea],datos_laborales[N° De Legajo],"no dato",0,1)</f>
        <v>444</v>
      </c>
      <c r="H4" s="82">
        <f t="array" ref="H4">XLOOKUP(C4,datos_laborales[clave_foranea], datos_laborales[Inicio Actividad:],"no dato",0,1)</f>
        <v>42948</v>
      </c>
      <c r="I4" s="81">
        <f t="array" ref="I4">XLOOKUP(C4,datos_laborales[clave_foranea],datos_laborales[Años en Actividad:],"no dato",0,1)</f>
        <v>8</v>
      </c>
      <c r="J4" s="81">
        <f t="array" ref="J4">XLOOKUP(C4,datos_personales[id:],datos_personales[D.n.i:],"no dato",0,1)</f>
        <v>31963497</v>
      </c>
      <c r="K4" s="82">
        <f t="array" ref="K4">XLOOKUP(C4,datos_personales[id:],datos_personales[Fecha Nacimiento:],"no dato",0,1)</f>
        <v>0</v>
      </c>
      <c r="L4" s="81">
        <f>COUNTIF(hijos!B:B,C4)</f>
        <v>2</v>
      </c>
      <c r="M4" s="83">
        <f>COUNTIFS(hijos!B:B,C4,hijos!I:I,1)</f>
        <v>0</v>
      </c>
      <c r="N4" s="84">
        <f>COUNTIFS(hijos!B:B,C4,hijos!J:J,1)</f>
        <v>0</v>
      </c>
      <c r="O4" s="84">
        <f>COUNTIFS(hijos!B:B,C4,hijos!K:K,1)</f>
        <v>1</v>
      </c>
      <c r="P4" s="84">
        <f>COUNTIFS(hijos!B:B,C4,hijos!L:L,1)</f>
        <v>1</v>
      </c>
      <c r="Q4" s="84">
        <f t="shared" si="1"/>
        <v>2</v>
      </c>
      <c r="R4" s="85">
        <f t="array" ref="R4">XLOOKUP(C4,datos_personales[id:],datos_personales[Tel. Contacto:],"no dato",0,1)</f>
        <v>1156294264</v>
      </c>
      <c r="S4" s="81" t="str">
        <f t="array" ref="S4">XLOOKUP(C4,datos_personales[id:],datos_personales[E-Mail:],"no dato",0,1)</f>
        <v>aranda_natalia@hotmail.com.ar</v>
      </c>
      <c r="T4" s="81" t="str">
        <f t="array" ref="T4">XLOOKUP(R4,telefonos_afiliados[numeros_loys],telefonos_afiliados[esta],"no esta",0,1)</f>
        <v>1</v>
      </c>
      <c r="U4" s="81" t="str">
        <f t="array" ref="U4">XLOOKUP(C4,datos_laborales[id:],datos_laborales[renuncio],"no dato",0,1)</f>
        <v>no dato</v>
      </c>
      <c r="V4" s="87">
        <f t="array" ref="V4">XLOOKUP(C4,datos_laborales[clave_foranea],datos_laborales[tiene_ficha_pdf],"no tiene ficha pdf",0,1)</f>
        <v>1</v>
      </c>
      <c r="W4" s="78"/>
    </row>
    <row r="5" hidden="1">
      <c r="A5" s="79"/>
      <c r="B5" s="80"/>
      <c r="C5" s="94">
        <f>datos_personales[id:]</f>
        <v>25379033</v>
      </c>
      <c r="D5" s="94" t="str">
        <f t="array" ref="D5">XLOOKUP(C5,datos_laborales[clave_foranea],datos_laborales[Relacion de Dependencia],"dato no encontrado",0,1)</f>
        <v>monotributista</v>
      </c>
      <c r="E5" s="94">
        <f t="array" ref="E5">XLOOKUP(C5,datos_delegados[clave_foranea:],datos_delegados[En Actividad]," ",0,1)</f>
        <v>1</v>
      </c>
      <c r="F5" s="94" t="str">
        <f t="array" ref="F5">CONCATENATE(XLOOKUP(C5,datos_personales[id:],datos_personales[Apellido:],"no dato",0,1),", ",XLOOKUP(C5,datos_personales[id:],datos_personales[Nombre],"no dato",0,1))</f>
        <v>amaya, mariela cecilia</v>
      </c>
      <c r="G5" s="94">
        <f t="array" ref="G5">XLOOKUP(C5,datos_laborales[clave_foranea],datos_laborales[N° De Legajo],"no dato",0,1)</f>
        <v>275</v>
      </c>
      <c r="H5" s="95">
        <f t="array" ref="H5">XLOOKUP(C5,datos_laborales[clave_foranea], datos_laborales[Inicio Actividad:],"no dato",0,1)</f>
        <v>42884</v>
      </c>
      <c r="I5" s="94">
        <f t="array" ref="I5">XLOOKUP(C5,datos_laborales[clave_foranea],datos_laborales[Años en Actividad:],"no dato",0,1)</f>
        <v>8</v>
      </c>
      <c r="J5" s="94">
        <f t="array" ref="J5">XLOOKUP(C5,datos_personales[id:],datos_personales[D.n.i:],"no dato",0,1)</f>
        <v>25379033</v>
      </c>
      <c r="K5" s="95">
        <f t="array" ref="K5">XLOOKUP(C5,datos_personales[id:],datos_personales[Fecha Nacimiento:],"no dato",0,1)</f>
        <v>27877</v>
      </c>
      <c r="L5" s="94">
        <f>COUNTIF(hijos!B:B,C5)</f>
        <v>1</v>
      </c>
      <c r="M5" s="96">
        <f>COUNTIFS(hijos!B:B,C5,hijos!I:I,1)</f>
        <v>0</v>
      </c>
      <c r="N5" s="97">
        <f>COUNTIFS(hijos!B:B,C5,hijos!J:J,1)</f>
        <v>0</v>
      </c>
      <c r="O5" s="97">
        <f>COUNTIFS(hijos!B:B,C5,hijos!K:K,1)</f>
        <v>0</v>
      </c>
      <c r="P5" s="97">
        <f>COUNTIFS(hijos!B:B,C5,hijos!L:L,1)</f>
        <v>1</v>
      </c>
      <c r="Q5" s="97">
        <f t="shared" si="1"/>
        <v>1</v>
      </c>
      <c r="R5" s="98">
        <f t="array" ref="R5">XLOOKUP(C5,datos_personales[id:],datos_personales[Tel. Contacto:],"no dato",0,1)</f>
        <v>1126921416</v>
      </c>
      <c r="S5" s="94" t="str">
        <f t="array" ref="S5">XLOOKUP(C5,datos_personales[id:],datos_personales[E-Mail:],"no dato",0,1)</f>
        <v>marielaceciliaamaya@hotmail.com</v>
      </c>
      <c r="T5" s="94" t="str">
        <f t="array" ref="T5">XLOOKUP(R5,telefonos_afiliados[numeros_loys],telefonos_afiliados[esta],"no esta",0,1)</f>
        <v>no esta</v>
      </c>
      <c r="U5" s="94" t="str">
        <f t="array" ref="U5">XLOOKUP(C5,datos_personales[id:],datos_laborales[renuncio],"no dato",0,1)</f>
        <v>#N/A</v>
      </c>
      <c r="V5" s="99">
        <f t="array" ref="V5">XLOOKUP(C5,datos_laborales[clave_foranea],datos_laborales[tiene_ficha_pdf],"no tiene ficha pdf",0,1)</f>
        <v>1</v>
      </c>
      <c r="W5" s="78"/>
    </row>
    <row r="6" hidden="1">
      <c r="A6" s="79"/>
      <c r="B6" s="80"/>
      <c r="C6" s="81">
        <f>datos_personales[id:]</f>
        <v>38184089</v>
      </c>
      <c r="D6" s="81" t="str">
        <f t="array" ref="D6">XLOOKUP(C6,datos_laborales[clave_foranea],datos_laborales[Relacion de Dependencia],"dato no encontrado",0,1)</f>
        <v>monotributista</v>
      </c>
      <c r="E6" s="80" t="str">
        <f t="array" ref="E6">XLOOKUP(C6,datos_delegados[clave_foranea:],datos_delegados[En Actividad]," ",0,1)</f>
        <v> </v>
      </c>
      <c r="F6" s="81" t="str">
        <f t="array" ref="F6">CONCATENATE(XLOOKUP(C6,datos_personales[id:],datos_personales[Apellido:],"no dato",0,1),", ",XLOOKUP(C6,datos_personales[id:],datos_personales[Nombre],"no dato",0,1))</f>
        <v>amaya, erika elizabeth</v>
      </c>
      <c r="G6" s="81">
        <f t="array" ref="G6">XLOOKUP(C6,datos_laborales[clave_foranea],datos_laborales[N° De Legajo],"no dato",0,1)</f>
        <v>2914</v>
      </c>
      <c r="H6" s="82">
        <f t="array" ref="H6">XLOOKUP(C6,datos_laborales[clave_foranea], datos_laborales[Inicio Actividad:],"no dato",0,1)</f>
        <v>45112</v>
      </c>
      <c r="I6" s="81">
        <f t="array" ref="I6">XLOOKUP(C6,datos_laborales[clave_foranea],datos_laborales[Años en Actividad:],"no dato",0,1)</f>
        <v>2</v>
      </c>
      <c r="J6" s="81">
        <f t="array" ref="J6">XLOOKUP(C6,datos_personales[id:],datos_personales[D.n.i:],"no dato",0,1)</f>
        <v>38184089</v>
      </c>
      <c r="K6" s="82">
        <f t="array" ref="K6">XLOOKUP(C6,datos_personales[id:],datos_personales[Fecha Nacimiento:],"no dato",0,1)</f>
        <v>0</v>
      </c>
      <c r="L6" s="81">
        <f>COUNTIF(hijos!B:B,C6)</f>
        <v>2</v>
      </c>
      <c r="M6" s="83">
        <f>COUNTIFS(hijos!B:B,C6,hijos!I:I,1)</f>
        <v>2</v>
      </c>
      <c r="N6" s="84">
        <f>COUNTIFS(hijos!B:B,C6,hijos!J:J,1)</f>
        <v>0</v>
      </c>
      <c r="O6" s="84">
        <f>COUNTIFS(hijos!B:B,C6,hijos!K:K,1)</f>
        <v>0</v>
      </c>
      <c r="P6" s="84">
        <f>COUNTIFS(hijos!B:B,C6,hijos!L:L,1)</f>
        <v>0</v>
      </c>
      <c r="Q6" s="84">
        <f t="shared" si="1"/>
        <v>2</v>
      </c>
      <c r="R6" s="81">
        <f t="array" ref="R6">XLOOKUP(C6,datos_personales[id:],datos_personales[Tel. Contacto:],"no dato",0,1)</f>
        <v>1127191780</v>
      </c>
      <c r="S6" s="80" t="str">
        <f t="array" ref="S6">XLOOKUP(C6,datos_personales[id:],datos_personales[E-Mail:],"no dato",0,1)</f>
        <v/>
      </c>
      <c r="T6" s="81" t="str">
        <f t="array" ref="T6">XLOOKUP(R6,telefonos_afiliados[numeros_loys],telefonos_afiliados[esta],"no esta",0,1)</f>
        <v>1</v>
      </c>
      <c r="U6" s="80"/>
      <c r="V6" s="100" t="s">
        <v>1169</v>
      </c>
      <c r="W6" s="78"/>
    </row>
    <row r="7" hidden="1">
      <c r="A7" s="79"/>
      <c r="B7" s="80"/>
      <c r="C7" s="88">
        <f>datos_personales[id:]</f>
        <v>38894668</v>
      </c>
      <c r="D7" s="88" t="str">
        <f t="array" ref="D7">XLOOKUP(C7,datos_laborales[clave_foranea],datos_laborales[Relacion de Dependencia],"dato no encontrado",0,1)</f>
        <v>monotributista</v>
      </c>
      <c r="E7" s="80" t="str">
        <f t="array" ref="E7">XLOOKUP(C7,datos_delegados[clave_foranea:],datos_delegados[En Actividad]," ",0,1)</f>
        <v> </v>
      </c>
      <c r="F7" s="88" t="str">
        <f t="array" ref="F7">CONCATENATE(XLOOKUP(C7,datos_personales[id:],datos_personales[Apellido:],"no dato",0,1),", ",XLOOKUP(C7,datos_personales[id:],datos_personales[Nombre],"no dato",0,1))</f>
        <v>alegre, daniela</v>
      </c>
      <c r="G7" s="88">
        <f t="array" ref="G7">XLOOKUP(C7,datos_laborales[clave_foranea],datos_laborales[N° De Legajo],"no dato",0,1)</f>
        <v>2238</v>
      </c>
      <c r="H7" s="89">
        <f t="array" ref="H7">XLOOKUP(C7,datos_laborales[clave_foranea], datos_laborales[Inicio Actividad:],"no dato",0,1)</f>
        <v>45031</v>
      </c>
      <c r="I7" s="88">
        <f t="array" ref="I7">XLOOKUP(C7,datos_laborales[clave_foranea],datos_laborales[Años en Actividad:],"no dato",0,1)</f>
        <v>2</v>
      </c>
      <c r="J7" s="88">
        <f t="array" ref="J7">XLOOKUP(C7,datos_personales[id:],datos_personales[D.n.i:],"no dato",0,1)</f>
        <v>38894668</v>
      </c>
      <c r="K7" s="89">
        <f t="array" ref="K7">XLOOKUP(C7,datos_personales[id:],datos_personales[Fecha Nacimiento:],"no dato",0,1)</f>
        <v>34752</v>
      </c>
      <c r="L7" s="88">
        <f>COUNTIF(hijos!B:B,C7)</f>
        <v>1</v>
      </c>
      <c r="M7" s="90">
        <f>COUNTIFS(hijos!B:B,C7,hijos!I:I,1)</f>
        <v>0</v>
      </c>
      <c r="N7" s="91">
        <f>COUNTIFS(hijos!B:B,C7,hijos!J:J,1)</f>
        <v>0</v>
      </c>
      <c r="O7" s="91">
        <f>COUNTIFS(hijos!B:B,C7,hijos!K:K,1)</f>
        <v>1</v>
      </c>
      <c r="P7" s="91">
        <f>COUNTIFS(hijos!B:B,C7,hijos!L:L,1)</f>
        <v>0</v>
      </c>
      <c r="Q7" s="91">
        <f t="shared" si="1"/>
        <v>1</v>
      </c>
      <c r="R7" s="88">
        <f t="array" ref="R7">XLOOKUP(C7,datos_personales[id:],datos_personales[Tel. Contacto:],"no dato",0,1)</f>
        <v>1153205634</v>
      </c>
      <c r="S7" s="88" t="str">
        <f t="array" ref="S7">XLOOKUP(C7,datos_personales[id:],datos_personales[E-Mail:],"no dato",0,1)</f>
        <v>danielaoriana68@gmail.com</v>
      </c>
      <c r="T7" s="88" t="str">
        <f t="array" ref="T7">XLOOKUP(R7,telefonos_afiliados[numeros_loys],telefonos_afiliados[esta],"no esta",0,1)</f>
        <v>1</v>
      </c>
      <c r="U7" s="88" t="str">
        <f t="array" ref="U7">XLOOKUP(C7,datos_laborales[id:],datos_laborales[renuncio],"no dato",0,1)</f>
        <v>no dato</v>
      </c>
      <c r="V7" s="101" t="s">
        <v>1169</v>
      </c>
      <c r="W7" s="78"/>
    </row>
    <row r="8" hidden="1">
      <c r="A8" s="79"/>
      <c r="B8" s="80"/>
      <c r="C8" s="81">
        <f>datos_personales[id:]</f>
        <v>39114453</v>
      </c>
      <c r="D8" s="81" t="str">
        <f t="array" ref="D8">XLOOKUP(C8,datos_laborales[clave_foranea],datos_laborales[Relacion de Dependencia],"dato no encontrado",0,1)</f>
        <v>monotributista</v>
      </c>
      <c r="E8" s="80" t="str">
        <f t="array" ref="E8">XLOOKUP(C8,datos_delegados[clave_foranea:],datos_delegados[En Actividad]," ",0,1)</f>
        <v> </v>
      </c>
      <c r="F8" s="81" t="str">
        <f t="array" ref="F8">CONCATENATE(XLOOKUP(C8,datos_personales[id:],datos_personales[Apellido:],"no dato",0,1),", ",XLOOKUP(C8,datos_personales[id:],datos_personales[Nombre],"no dato",0,1))</f>
        <v>ale, micaela ayelen</v>
      </c>
      <c r="G8" s="81">
        <f t="array" ref="G8">XLOOKUP(C8,datos_laborales[clave_foranea],datos_laborales[N° De Legajo],"no dato",0,1)</f>
        <v>1572</v>
      </c>
      <c r="H8" s="82">
        <f t="array" ref="H8">XLOOKUP(C8,datos_laborales[clave_foranea], datos_laborales[Inicio Actividad:],"no dato",0,1)</f>
        <v>43500</v>
      </c>
      <c r="I8" s="81">
        <f t="array" ref="I8">XLOOKUP(C8,datos_laborales[clave_foranea],datos_laborales[Años en Actividad:],"no dato",0,1)</f>
        <v>6</v>
      </c>
      <c r="J8" s="81">
        <f t="array" ref="J8">XLOOKUP(C8,datos_personales[id:],datos_personales[D.n.i:],"no dato",0,1)</f>
        <v>39114453</v>
      </c>
      <c r="K8" s="82">
        <f t="array" ref="K8">XLOOKUP(C8,datos_personales[id:],datos_personales[Fecha Nacimiento:],"no dato",0,1)</f>
        <v>34957</v>
      </c>
      <c r="L8" s="81">
        <f>COUNTIF(hijos!B:B,C8)</f>
        <v>0</v>
      </c>
      <c r="M8" s="83">
        <f>COUNTIFS(hijos!B:B,C8,hijos!I:I,1)</f>
        <v>0</v>
      </c>
      <c r="N8" s="84">
        <f>COUNTIFS(hijos!B:B,C8,hijos!J:J,1)</f>
        <v>0</v>
      </c>
      <c r="O8" s="84">
        <f>COUNTIFS(hijos!B:B,C8,hijos!K:K,1)</f>
        <v>0</v>
      </c>
      <c r="P8" s="84">
        <f>COUNTIFS(hijos!B:B,C8,hijos!L:L,1)</f>
        <v>0</v>
      </c>
      <c r="Q8" s="84">
        <f t="shared" si="1"/>
        <v>0</v>
      </c>
      <c r="R8" s="85">
        <f t="array" ref="R8">XLOOKUP(C8,datos_personales[id:],datos_personales[Tel. Contacto:],"no dato",0,1)</f>
        <v>1133985337</v>
      </c>
      <c r="S8" s="81" t="str">
        <f t="array" ref="S8">XLOOKUP(C8,datos_personales[id:],datos_personales[E-Mail:],"no dato",0,1)</f>
        <v>micaale40@gmail.com</v>
      </c>
      <c r="T8" s="81" t="str">
        <f t="array" ref="T8">XLOOKUP(R8,telefonos_afiliados[numeros_loys],telefonos_afiliados[esta],"no esta",0,1)</f>
        <v>1</v>
      </c>
      <c r="U8" s="81" t="str">
        <f t="array" ref="U8">XLOOKUP(C8,datos_laborales[id:],datos_laborales[renuncio],"no dato",0,1)</f>
        <v>no dato</v>
      </c>
      <c r="V8" s="102" t="str">
        <f t="array" ref="V8">XLOOKUP(C8,datos_laborales[clave_foranea],datos_laborales[tiene_ficha_pdf],"no tiene ficha pdf",0,1)</f>
        <v>no tiene en pdf</v>
      </c>
      <c r="W8" s="78"/>
    </row>
    <row r="9" hidden="1">
      <c r="A9" s="79"/>
      <c r="B9" s="80"/>
      <c r="C9" s="88">
        <f>datos_personales[id:]</f>
        <v>26678242</v>
      </c>
      <c r="D9" s="88" t="str">
        <f t="array" ref="D9">XLOOKUP(C9,datos_laborales[clave_foranea],datos_laborales[Relacion de Dependencia],"dato no encontrado",0,1)</f>
        <v>planta transitoria</v>
      </c>
      <c r="E9" s="80" t="str">
        <f t="array" ref="E9">XLOOKUP(C9,datos_delegados[clave_foranea:],datos_delegados[En Actividad]," ",0,1)</f>
        <v> </v>
      </c>
      <c r="F9" s="88" t="str">
        <f t="array" ref="F9">CONCATENATE(XLOOKUP(C9,datos_personales[id:],datos_personales[Apellido:],"no dato",0,1),", ",XLOOKUP(C9,datos_personales[id:],datos_personales[Nombre],"no dato",0,1))</f>
        <v>albornoz, victor omar</v>
      </c>
      <c r="G9" s="88">
        <f t="array" ref="G9">XLOOKUP(C9,datos_laborales[clave_foranea],datos_laborales[N° De Legajo],"no dato",0,1)</f>
        <v>270</v>
      </c>
      <c r="H9" s="89">
        <f t="array" ref="H9">XLOOKUP(C9,datos_laborales[clave_foranea], datos_laborales[Inicio Actividad:],"no dato",0,1)</f>
        <v>42887</v>
      </c>
      <c r="I9" s="88">
        <f t="array" ref="I9">XLOOKUP(C9,datos_laborales[clave_foranea],datos_laborales[Años en Actividad:],"no dato",0,1)</f>
        <v>8</v>
      </c>
      <c r="J9" s="88">
        <f t="array" ref="J9">XLOOKUP(C9,datos_personales[id:],datos_personales[D.n.i:],"no dato",0,1)</f>
        <v>26678242</v>
      </c>
      <c r="K9" s="89">
        <f t="array" ref="K9">XLOOKUP(C9,datos_personales[id:],datos_personales[Fecha Nacimiento:],"no dato",0,1)</f>
        <v>28848</v>
      </c>
      <c r="L9" s="88">
        <f>COUNTIF(hijos!B:B,C9)</f>
        <v>0</v>
      </c>
      <c r="M9" s="90">
        <f>COUNTIFS(hijos!B:B,C9,hijos!I:I,1)</f>
        <v>0</v>
      </c>
      <c r="N9" s="91">
        <f>COUNTIFS(hijos!B:B,C9,hijos!J:J,1)</f>
        <v>0</v>
      </c>
      <c r="O9" s="91">
        <f>COUNTIFS(hijos!B:B,C9,hijos!K:K,1)</f>
        <v>0</v>
      </c>
      <c r="P9" s="91">
        <f>COUNTIFS(hijos!B:B,C9,hijos!L:L,1)</f>
        <v>0</v>
      </c>
      <c r="Q9" s="91">
        <f t="shared" si="1"/>
        <v>0</v>
      </c>
      <c r="R9" s="103">
        <f t="array" ref="R9">XLOOKUP(C9,datos_personales[id:],datos_personales[Tel. Contacto:],"no dato",0,1)</f>
        <v>1136163590</v>
      </c>
      <c r="S9" s="88" t="str">
        <f t="array" ref="S9">XLOOKUP(C9,datos_personales[id:],datos_personales[E-Mail:],"no dato",0,1)</f>
        <v>albornoz78victor@gmail.com</v>
      </c>
      <c r="T9" s="88" t="str">
        <f t="array" ref="T9">XLOOKUP(R9,telefonos_afiliados[numeros_loys],telefonos_afiliados[esta],"no esta",0,1)</f>
        <v>no esta</v>
      </c>
      <c r="U9" s="88" t="str">
        <f t="array" ref="U9">XLOOKUP(C9,datos_personales[id:],datos_laborales[renuncio],"no dato",0,1)</f>
        <v>#N/A</v>
      </c>
      <c r="V9" s="93" t="str">
        <f t="array" ref="V9">XLOOKUP(C9,datos_laborales[clave_foranea],datos_laborales[tiene_ficha_pdf],"no tiene ficha pdf",0,1)</f>
        <v>no tiene en pdf</v>
      </c>
      <c r="W9" s="78"/>
    </row>
    <row r="10" hidden="1">
      <c r="A10" s="79"/>
      <c r="B10" s="80"/>
      <c r="C10" s="81">
        <f>datos_personales[id:]</f>
        <v>42012262</v>
      </c>
      <c r="D10" s="81" t="str">
        <f t="array" ref="D10">XLOOKUP(C10,datos_laborales[clave_foranea],datos_laborales[Relacion de Dependencia],"dato no encontrado",0,1)</f>
        <v>monotributista</v>
      </c>
      <c r="E10" s="80" t="str">
        <f t="array" ref="E10">XLOOKUP(C10,datos_delegados[clave_foranea:],datos_delegados[En Actividad]," ",0,1)</f>
        <v> </v>
      </c>
      <c r="F10" s="81" t="str">
        <f t="array" ref="F10">CONCATENATE(XLOOKUP(C10,datos_personales[id:],datos_personales[Apellido:],"no dato",0,1),", ",XLOOKUP(C10,datos_personales[id:],datos_personales[Nombre],"no dato",0,1))</f>
        <v>acosta, belen teresa</v>
      </c>
      <c r="G10" s="81">
        <f t="array" ref="G10">XLOOKUP(C10,datos_laborales[clave_foranea],datos_laborales[N° De Legajo],"no dato",0,1)</f>
        <v>2166</v>
      </c>
      <c r="H10" s="82">
        <f t="array" ref="H10">XLOOKUP(C10,datos_laborales[clave_foranea], datos_laborales[Inicio Actividad:],"no dato",0,1)</f>
        <v>0</v>
      </c>
      <c r="I10" s="81">
        <f t="array" ref="I10">XLOOKUP(C10,datos_laborales[clave_foranea],datos_laborales[Años en Actividad:],"no dato",0,1)</f>
        <v>126</v>
      </c>
      <c r="J10" s="81">
        <f t="array" ref="J10">XLOOKUP(C10,datos_personales[id:],datos_personales[D.n.i:],"no dato",0,1)</f>
        <v>42012262</v>
      </c>
      <c r="K10" s="82">
        <f t="array" ref="K10">XLOOKUP(C10,datos_personales[id:],datos_personales[Fecha Nacimiento:],"no dato",0,1)</f>
        <v>36322</v>
      </c>
      <c r="L10" s="81">
        <f>COUNTIF(hijos!B:B,C10)</f>
        <v>1</v>
      </c>
      <c r="M10" s="83">
        <f>COUNTIFS(hijos!B:B,C10,hijos!I:I,1)</f>
        <v>0</v>
      </c>
      <c r="N10" s="84">
        <f>COUNTIFS(hijos!B:B,C10,hijos!J:J,1)</f>
        <v>1</v>
      </c>
      <c r="O10" s="84">
        <f>COUNTIFS(hijos!B:B,C10,hijos!K:K,1)</f>
        <v>0</v>
      </c>
      <c r="P10" s="84">
        <f>COUNTIFS(hijos!B:B,C10,hijos!L:L,1)</f>
        <v>0</v>
      </c>
      <c r="Q10" s="84">
        <f t="shared" si="1"/>
        <v>1</v>
      </c>
      <c r="R10" s="81">
        <f t="array" ref="R10">XLOOKUP(C10,datos_personales[id:],datos_personales[Tel. Contacto:],"no dato",0,1)</f>
        <v>1128788904</v>
      </c>
      <c r="S10" s="81" t="str">
        <f t="array" ref="S10">XLOOKUP(C10,datos_personales[id:],datos_personales[E-Mail:],"no dato",0,1)</f>
        <v>belenmilena1311@hotmail.com</v>
      </c>
      <c r="T10" s="81" t="str">
        <f t="array" ref="T10">XLOOKUP(R10,telefonos_afiliados[numeros_loys],telefonos_afiliados[esta],"no esta",0,1)</f>
        <v>1</v>
      </c>
      <c r="U10" s="81" t="str">
        <f t="array" ref="U10">XLOOKUP(C10,datos_laborales[id:],datos_laborales[renuncio],"no dato",0,1)</f>
        <v>no dato</v>
      </c>
      <c r="V10" s="104"/>
      <c r="W10" s="78"/>
    </row>
    <row r="11">
      <c r="A11" s="79"/>
      <c r="B11" s="80"/>
      <c r="C11" s="88">
        <f>datos_personales[id:]</f>
        <v>33155103</v>
      </c>
      <c r="D11" s="88" t="str">
        <f t="array" ref="D11">XLOOKUP(C11,datos_laborales[clave_foranea],datos_laborales[Relacion de Dependencia],"dato no encontrado",0,1)</f>
        <v>monotributista</v>
      </c>
      <c r="E11" s="80" t="str">
        <f t="array" ref="E11">XLOOKUP(C11,datos_delegados[clave_foranea:],datos_delegados[En Actividad]," ",0,1)</f>
        <v> </v>
      </c>
      <c r="F11" s="88" t="str">
        <f t="array" ref="F11">CONCATENATE(XLOOKUP(C11,datos_personales[id:],datos_personales[Apellido:],"no dato",0,1),", ",XLOOKUP(C11,datos_personales[id:],datos_personales[Nombre],"no dato",0,1))</f>
        <v>romero, irina</v>
      </c>
      <c r="G11" s="88">
        <f t="array" ref="G11">XLOOKUP(C11,datos_laborales[clave_foranea],datos_laborales[N° De Legajo],"no dato",0,1)</f>
        <v>1023</v>
      </c>
      <c r="H11" s="89">
        <f t="array" ref="H11">XLOOKUP(C11,datos_laborales[clave_foranea], datos_laborales[Inicio Actividad:],"no dato",0,1)</f>
        <v>42948</v>
      </c>
      <c r="I11" s="88">
        <f t="array" ref="I11">XLOOKUP(C11,datos_laborales[clave_foranea],datos_laborales[Años en Actividad:],"no dato",0,1)</f>
        <v>8</v>
      </c>
      <c r="J11" s="88">
        <f t="array" ref="J11">XLOOKUP(C11,datos_personales[id:],datos_personales[D.n.i:],"no dato",0,1)</f>
        <v>33155103</v>
      </c>
      <c r="K11" s="89">
        <f t="array" ref="K11">XLOOKUP(C11,datos_personales[id:],datos_personales[Fecha Nacimiento:],"no dato",0,1)</f>
        <v>31961</v>
      </c>
      <c r="L11" s="88">
        <f>COUNTIF(hijos!B:B,C11)</f>
        <v>2</v>
      </c>
      <c r="M11" s="90">
        <f>COUNTIFS(hijos!B:B,C11,hijos!I:I,1)</f>
        <v>0</v>
      </c>
      <c r="N11" s="91">
        <f>COUNTIFS(hijos!B:B,C11,hijos!J:J,1)</f>
        <v>0</v>
      </c>
      <c r="O11" s="91">
        <f>COUNTIFS(hijos!B:B,C11,hijos!K:K,1)</f>
        <v>0</v>
      </c>
      <c r="P11" s="91">
        <f>COUNTIFS(hijos!B:B,C11,hijos!L:L,1)</f>
        <v>2</v>
      </c>
      <c r="Q11" s="91">
        <f t="shared" si="1"/>
        <v>2</v>
      </c>
      <c r="R11" s="103">
        <f t="array" ref="R11">XLOOKUP(C11,datos_personales[id:],datos_personales[Tel. Contacto:],"no dato",0,1)</f>
        <v>1165037377</v>
      </c>
      <c r="S11" s="88" t="str">
        <f t="array" ref="S11">XLOOKUP(C11,datos_personales[id:],datos_personales[E-Mail:],"no dato",0,1)</f>
        <v>romeroirinauma19@gmail.com</v>
      </c>
      <c r="T11" s="88" t="str">
        <f t="array" ref="T11">XLOOKUP(R11,telefonos_afiliados[numeros_loys],telefonos_afiliados[esta],"no esta",0,1)</f>
        <v>1</v>
      </c>
      <c r="U11" s="88" t="str">
        <f t="array" ref="U11">XLOOKUP(C11,datos_laborales[id:],datos_laborales[renuncio],"no dato",0,1)</f>
        <v>no dato</v>
      </c>
      <c r="V11" s="93">
        <f t="array" ref="V11">XLOOKUP(C11,datos_laborales[clave_foranea],datos_laborales[tiene_ficha_pdf],"no tiene ficha pdf",0,1)</f>
        <v>1</v>
      </c>
      <c r="W11" s="78"/>
    </row>
    <row r="12" hidden="1">
      <c r="A12" s="79"/>
      <c r="B12" s="80"/>
      <c r="C12" s="81">
        <f>datos_personales[id:]</f>
        <v>35538835</v>
      </c>
      <c r="D12" s="81" t="str">
        <f t="array" ref="D12">XLOOKUP(C12,datos_laborales[clave_foranea],datos_laborales[Relacion de Dependencia],"dato no encontrado",0,1)</f>
        <v>monotributista</v>
      </c>
      <c r="E12" s="80" t="str">
        <f t="array" ref="E12">XLOOKUP(C12,datos_delegados[clave_foranea:],datos_delegados[En Actividad]," ",0,1)</f>
        <v> </v>
      </c>
      <c r="F12" s="81" t="str">
        <f t="array" ref="F12">CONCATENATE(XLOOKUP(C12,datos_personales[id:],datos_personales[Apellido:],"no dato",0,1),", ",XLOOKUP(C12,datos_personales[id:],datos_personales[Nombre],"no dato",0,1))</f>
        <v>ruiz, pablo nahuel</v>
      </c>
      <c r="G12" s="81">
        <f t="array" ref="G12">XLOOKUP(C12,datos_laborales[clave_foranea],datos_laborales[N° De Legajo],"no dato",0,1)</f>
        <v>1025</v>
      </c>
      <c r="H12" s="82">
        <f t="array" ref="H12">XLOOKUP(C12,datos_laborales[clave_foranea], datos_laborales[Inicio Actividad:],"no dato",0,1)</f>
        <v>0</v>
      </c>
      <c r="I12" s="81">
        <f t="array" ref="I12">XLOOKUP(C12,datos_laborales[clave_foranea],datos_laborales[Años en Actividad:],"no dato",0,1)</f>
        <v>126</v>
      </c>
      <c r="J12" s="81">
        <f t="array" ref="J12">XLOOKUP(C12,datos_personales[id:],datos_personales[D.n.i:],"no dato",0,1)</f>
        <v>35538835</v>
      </c>
      <c r="K12" s="82">
        <f t="array" ref="K12">XLOOKUP(C12,datos_personales[id:],datos_personales[Fecha Nacimiento:],"no dato",0,1)</f>
        <v>33586</v>
      </c>
      <c r="L12" s="81">
        <f>COUNTIF(hijos!B:B,C12)</f>
        <v>0</v>
      </c>
      <c r="M12" s="83">
        <f>COUNTIFS(hijos!B:B,C12,hijos!I:I,1)</f>
        <v>0</v>
      </c>
      <c r="N12" s="84">
        <f>COUNTIFS(hijos!B:B,C12,hijos!J:J,1)</f>
        <v>0</v>
      </c>
      <c r="O12" s="84">
        <f>COUNTIFS(hijos!B:B,C12,hijos!K:K,1)</f>
        <v>0</v>
      </c>
      <c r="P12" s="84">
        <f>COUNTIFS(hijos!B:B,C12,hijos!L:L,1)</f>
        <v>0</v>
      </c>
      <c r="Q12" s="84">
        <f t="shared" si="1"/>
        <v>0</v>
      </c>
      <c r="R12" s="81">
        <f t="array" ref="R12">XLOOKUP(C12,datos_personales[id:],datos_personales[Tel. Contacto:],"no dato",0,1)</f>
        <v>1165851734</v>
      </c>
      <c r="S12" s="81" t="str">
        <f t="array" ref="S12">XLOOKUP(C12,datos_personales[id:],datos_personales[E-Mail:],"no dato",0,1)</f>
        <v>nahuelruiz009@gmail.com</v>
      </c>
      <c r="T12" s="81" t="str">
        <f t="array" ref="T12">XLOOKUP(R12,telefonos_afiliados[numeros_loys],telefonos_afiliados[esta],"no esta",0,1)</f>
        <v>1</v>
      </c>
      <c r="U12" s="81" t="str">
        <f t="array" ref="U12">XLOOKUP(C12,datos_laborales[id:],datos_laborales[renuncio],"no dato",0,1)</f>
        <v>no dato</v>
      </c>
      <c r="V12" s="104"/>
      <c r="W12" s="78"/>
    </row>
    <row r="13">
      <c r="A13" s="79"/>
      <c r="B13" s="80"/>
      <c r="C13" s="88">
        <f>datos_personales[id:]</f>
        <v>93996095</v>
      </c>
      <c r="D13" s="88" t="str">
        <f t="array" ref="D13">XLOOKUP(C13,datos_laborales[clave_foranea],datos_laborales[Relacion de Dependencia],"dato no encontrado",0,1)</f>
        <v>monotributista</v>
      </c>
      <c r="E13" s="80" t="str">
        <f t="array" ref="E13">XLOOKUP(C13,datos_delegados[clave_foranea:],datos_delegados[En Actividad]," ",0,1)</f>
        <v> </v>
      </c>
      <c r="F13" s="88" t="str">
        <f t="array" ref="F13">CONCATENATE(XLOOKUP(C13,datos_personales[id:],datos_personales[Apellido:],"no dato",0,1),", ",XLOOKUP(C13,datos_personales[id:],datos_personales[Nombre],"no dato",0,1))</f>
        <v>felipe lima, aidee deysi</v>
      </c>
      <c r="G13" s="88">
        <f t="array" ref="G13">XLOOKUP(C13,datos_laborales[clave_foranea],datos_laborales[N° De Legajo],"no dato",0,1)</f>
        <v>754</v>
      </c>
      <c r="H13" s="89">
        <f t="array" ref="H13">XLOOKUP(C13,datos_laborales[clave_foranea], datos_laborales[Inicio Actividad:],"no dato",0,1)</f>
        <v>42948</v>
      </c>
      <c r="I13" s="88">
        <f t="array" ref="I13">XLOOKUP(C13,datos_laborales[clave_foranea],datos_laborales[Años en Actividad:],"no dato",0,1)</f>
        <v>8</v>
      </c>
      <c r="J13" s="88">
        <f t="array" ref="J13">XLOOKUP(C13,datos_personales[id:],datos_personales[D.n.i:],"no dato",0,1)</f>
        <v>93996095</v>
      </c>
      <c r="K13" s="89">
        <f t="array" ref="K13">XLOOKUP(C13,datos_personales[id:],datos_personales[Fecha Nacimiento:],"no dato",0,1)</f>
        <v>28260</v>
      </c>
      <c r="L13" s="88">
        <f>COUNTIF(hijos!B:B,C13)</f>
        <v>5</v>
      </c>
      <c r="M13" s="90">
        <f>COUNTIFS(hijos!B:B,C13,hijos!I:I,1)</f>
        <v>0</v>
      </c>
      <c r="N13" s="91">
        <f>COUNTIFS(hijos!B:B,C13,hijos!J:J,1)</f>
        <v>1</v>
      </c>
      <c r="O13" s="91">
        <f>COUNTIFS(hijos!B:B,C13,hijos!K:K,1)</f>
        <v>0</v>
      </c>
      <c r="P13" s="91">
        <f>COUNTIFS(hijos!B:B,C13,hijos!L:L,1)</f>
        <v>4</v>
      </c>
      <c r="Q13" s="91">
        <f t="shared" si="1"/>
        <v>5</v>
      </c>
      <c r="R13" s="103">
        <f t="array" ref="R13">XLOOKUP(C13,datos_personales[id:],datos_personales[Tel. Contacto:],"no dato",0,1)</f>
        <v>1128666648</v>
      </c>
      <c r="S13" s="88" t="str">
        <f t="array" ref="S13">XLOOKUP(C13,datos_personales[id:],datos_personales[E-Mail:],"no dato",0,1)</f>
        <v>aideefelipe1977@gmail.com</v>
      </c>
      <c r="T13" s="88" t="str">
        <f t="array" ref="T13">XLOOKUP(R13,telefonos_afiliados[numeros_loys],telefonos_afiliados[esta],"no esta",0,1)</f>
        <v>1</v>
      </c>
      <c r="U13" s="88" t="str">
        <f t="array" ref="U13">XLOOKUP(C13,datos_laborales[id:],datos_laborales[renuncio],"no dato",0,1)</f>
        <v>no dato</v>
      </c>
      <c r="V13" s="93">
        <f t="array" ref="V13">XLOOKUP(C13,datos_laborales[clave_foranea],datos_laborales[tiene_ficha_pdf],"no tiene ficha pdf",0,1)</f>
        <v>1</v>
      </c>
      <c r="W13" s="78"/>
    </row>
    <row r="14" hidden="1">
      <c r="A14" s="79"/>
      <c r="B14" s="80"/>
      <c r="C14" s="81">
        <f>datos_personales[id:]</f>
        <v>94842492</v>
      </c>
      <c r="D14" s="81" t="str">
        <f t="array" ref="D14">XLOOKUP(C14,datos_laborales[clave_foranea],datos_laborales[Relacion de Dependencia],"dato no encontrado",0,1)</f>
        <v>monotributista</v>
      </c>
      <c r="E14" s="80" t="str">
        <f t="array" ref="E14">XLOOKUP(C14,datos_delegados[clave_foranea:],datos_delegados[En Actividad]," ",0,1)</f>
        <v> </v>
      </c>
      <c r="F14" s="81" t="str">
        <f t="array" ref="F14">CONCATENATE(XLOOKUP(C14,datos_personales[id:],datos_personales[Apellido:],"no dato",0,1),", ",XLOOKUP(C14,datos_personales[id:],datos_personales[Nombre],"no dato",0,1))</f>
        <v>olaya piña, laly del pilar</v>
      </c>
      <c r="G14" s="81">
        <f t="array" ref="G14">XLOOKUP(C14,datos_laborales[clave_foranea],datos_laborales[N° De Legajo],"no dato",0,1)</f>
        <v>527</v>
      </c>
      <c r="H14" s="82">
        <f t="array" ref="H14">XLOOKUP(C14,datos_laborales[clave_foranea], datos_laborales[Inicio Actividad:],"no dato",0,1)</f>
        <v>0</v>
      </c>
      <c r="I14" s="81">
        <f t="array" ref="I14">XLOOKUP(C14,datos_laborales[clave_foranea],datos_laborales[Años en Actividad:],"no dato",0,1)</f>
        <v>126</v>
      </c>
      <c r="J14" s="81">
        <f t="array" ref="J14">XLOOKUP(C14,datos_personales[id:],datos_personales[D.n.i:],"no dato",0,1)</f>
        <v>94842492</v>
      </c>
      <c r="K14" s="82">
        <f t="array" ref="K14">XLOOKUP(C14,datos_personales[id:],datos_personales[Fecha Nacimiento:],"no dato",0,1)</f>
        <v>33484</v>
      </c>
      <c r="L14" s="81">
        <f>COUNTIF(hijos!B:B,C14)</f>
        <v>0</v>
      </c>
      <c r="M14" s="83">
        <f>COUNTIFS(hijos!B:B,C14,hijos!I:I,1)</f>
        <v>0</v>
      </c>
      <c r="N14" s="84">
        <f>COUNTIFS(hijos!B:B,C14,hijos!J:J,1)</f>
        <v>0</v>
      </c>
      <c r="O14" s="84">
        <f>COUNTIFS(hijos!B:B,C14,hijos!K:K,1)</f>
        <v>0</v>
      </c>
      <c r="P14" s="84">
        <f>COUNTIFS(hijos!B:B,C14,hijos!L:L,1)</f>
        <v>0</v>
      </c>
      <c r="Q14" s="84">
        <f t="shared" si="1"/>
        <v>0</v>
      </c>
      <c r="R14" s="85">
        <f t="array" ref="R14">XLOOKUP(C14,datos_personales[id:],datos_personales[Tel. Contacto:],"no dato",0,1)</f>
        <v>1154169265</v>
      </c>
      <c r="S14" s="81" t="str">
        <f t="array" ref="S14">XLOOKUP(C14,datos_personales[id:],datos_personales[E-Mail:],"no dato",0,1)</f>
        <v>polayalp39@gmail.com</v>
      </c>
      <c r="T14" s="81" t="str">
        <f t="array" ref="T14">XLOOKUP(R14,telefonos_afiliados[numeros_loys],telefonos_afiliados[esta],"no esta",0,1)</f>
        <v>1</v>
      </c>
      <c r="U14" s="81" t="str">
        <f t="array" ref="U14">XLOOKUP(C14,datos_personales[id:],datos_laborales[renuncio],"no dato",0,1)</f>
        <v>#N/A</v>
      </c>
      <c r="V14" s="87">
        <f t="array" ref="V14">XLOOKUP(C14,datos_laborales[clave_foranea],datos_laborales[tiene_ficha_pdf],"no tiene ficha pdf",0,1)</f>
        <v>1</v>
      </c>
      <c r="W14" s="78"/>
    </row>
    <row r="15" hidden="1">
      <c r="A15" s="79"/>
      <c r="B15" s="80"/>
      <c r="C15" s="94">
        <f>datos_personales[id:]</f>
        <v>95102089</v>
      </c>
      <c r="D15" s="94" t="str">
        <f t="array" ref="D15">XLOOKUP(C15,datos_laborales[clave_foranea],datos_laborales[Relacion de Dependencia],"dato no encontrado",0,1)</f>
        <v>monotributista</v>
      </c>
      <c r="E15" s="94">
        <f t="array" ref="E15">XLOOKUP(C15,datos_delegados[clave_foranea:],datos_delegados[En Actividad]," ",0,1)</f>
        <v>1</v>
      </c>
      <c r="F15" s="94" t="str">
        <f t="array" ref="F15">CONCATENATE(XLOOKUP(C15,datos_personales[id:],datos_personales[Apellido:],"no dato",0,1),", ",XLOOKUP(C15,datos_personales[id:],datos_personales[Nombre],"no dato",0,1))</f>
        <v>ferro rodriguez, maria elena</v>
      </c>
      <c r="G15" s="94">
        <f t="array" ref="G15">XLOOKUP(C15,datos_laborales[clave_foranea],datos_laborales[N° De Legajo],"no dato",0,1)</f>
        <v>560</v>
      </c>
      <c r="H15" s="95">
        <f t="array" ref="H15">XLOOKUP(C15,datos_laborales[clave_foranea], datos_laborales[Inicio Actividad:],"no dato",0,1)</f>
        <v>42887</v>
      </c>
      <c r="I15" s="94">
        <f t="array" ref="I15">XLOOKUP(C15,datos_laborales[clave_foranea],datos_laborales[Años en Actividad:],"no dato",0,1)</f>
        <v>8</v>
      </c>
      <c r="J15" s="94">
        <f t="array" ref="J15">XLOOKUP(C15,datos_personales[id:],datos_personales[D.n.i:],"no dato",0,1)</f>
        <v>95102089</v>
      </c>
      <c r="K15" s="95">
        <f t="array" ref="K15">XLOOKUP(C15,datos_personales[id:],datos_personales[Fecha Nacimiento:],"no dato",0,1)</f>
        <v>27698</v>
      </c>
      <c r="L15" s="94">
        <f>COUNTIF(hijos!B:B,C15)</f>
        <v>2</v>
      </c>
      <c r="M15" s="96">
        <f>COUNTIFS(hijos!B:B,C15,hijos!I:I,1)</f>
        <v>0</v>
      </c>
      <c r="N15" s="97">
        <f>COUNTIFS(hijos!B:B,C15,hijos!J:J,1)</f>
        <v>0</v>
      </c>
      <c r="O15" s="97">
        <f>COUNTIFS(hijos!B:B,C15,hijos!K:K,1)</f>
        <v>0</v>
      </c>
      <c r="P15" s="97">
        <f>COUNTIFS(hijos!B:B,C15,hijos!L:L,1)</f>
        <v>0</v>
      </c>
      <c r="Q15" s="97">
        <f t="shared" si="1"/>
        <v>0</v>
      </c>
      <c r="R15" s="98">
        <f t="array" ref="R15">XLOOKUP(C15,datos_personales[id:],datos_personales[Tel. Contacto:],"no dato",0,1)</f>
        <v>1150420061</v>
      </c>
      <c r="S15" s="94" t="str">
        <f t="array" ref="S15">XLOOKUP(C15,datos_personales[id:],datos_personales[E-Mail:],"no dato",0,1)</f>
        <v>marielen1031@hotmail.com</v>
      </c>
      <c r="T15" s="94" t="str">
        <f t="array" ref="T15">XLOOKUP(R15,telefonos_afiliados[numeros_loys],telefonos_afiliados[esta],"no esta",0,1)</f>
        <v>1</v>
      </c>
      <c r="U15" s="94" t="str">
        <f t="array" ref="U15">XLOOKUP(C15,datos_laborales[id:],datos_laborales[renuncio],"no dato",0,1)</f>
        <v>no dato</v>
      </c>
      <c r="V15" s="99">
        <f t="array" ref="V15">XLOOKUP(C15,datos_laborales[clave_foranea],datos_laborales[tiene_ficha_pdf],"no tiene ficha pdf",0,1)</f>
        <v>1</v>
      </c>
      <c r="W15" s="78"/>
    </row>
    <row r="16">
      <c r="A16" s="79"/>
      <c r="B16" s="80"/>
      <c r="C16" s="81">
        <f>datos_personales[id:]</f>
        <v>95189729</v>
      </c>
      <c r="D16" s="81" t="str">
        <f t="array" ref="D16">XLOOKUP(C16,datos_laborales[clave_foranea],datos_laborales[Relacion de Dependencia],"dato no encontrado",0,1)</f>
        <v>monotributista</v>
      </c>
      <c r="E16" s="80" t="str">
        <f t="array" ref="E16">XLOOKUP(C16,datos_delegados[clave_foranea:],datos_delegados[En Actividad]," ",0,1)</f>
        <v> </v>
      </c>
      <c r="F16" s="81" t="str">
        <f t="array" ref="F16">CONCATENATE(XLOOKUP(C16,datos_personales[id:],datos_personales[Apellido:],"no dato",0,1),", ",XLOOKUP(C16,datos_personales[id:],datos_personales[Nombre],"no dato",0,1))</f>
        <v>gutierrez quispe, griselda</v>
      </c>
      <c r="G16" s="81">
        <f t="array" ref="G16">XLOOKUP(C16,datos_laborales[clave_foranea],datos_laborales[N° De Legajo],"no dato",0,1)</f>
        <v>909</v>
      </c>
      <c r="H16" s="82">
        <f t="array" ref="H16">XLOOKUP(C16,datos_laborales[clave_foranea], datos_laborales[Inicio Actividad:],"no dato",0,1)</f>
        <v>42948</v>
      </c>
      <c r="I16" s="81">
        <f t="array" ref="I16">XLOOKUP(C16,datos_laborales[clave_foranea],datos_laborales[Años en Actividad:],"no dato",0,1)</f>
        <v>8</v>
      </c>
      <c r="J16" s="81">
        <f t="array" ref="J16">XLOOKUP(C16,datos_personales[id:],datos_personales[D.n.i:],"no dato",0,1)</f>
        <v>95189729</v>
      </c>
      <c r="K16" s="82">
        <f t="array" ref="K16">XLOOKUP(C16,datos_personales[id:],datos_personales[Fecha Nacimiento:],"no dato",0,1)</f>
        <v>30644</v>
      </c>
      <c r="L16" s="81">
        <f>COUNTIF(hijos!B:B,C16)</f>
        <v>5</v>
      </c>
      <c r="M16" s="83">
        <f>COUNTIFS(hijos!B:B,C16,hijos!I:I,1)</f>
        <v>0</v>
      </c>
      <c r="N16" s="84">
        <f>COUNTIFS(hijos!B:B,C16,hijos!J:J,1)</f>
        <v>0</v>
      </c>
      <c r="O16" s="84">
        <f>COUNTIFS(hijos!B:B,C16,hijos!K:K,1)</f>
        <v>2</v>
      </c>
      <c r="P16" s="84">
        <f>COUNTIFS(hijos!B:B,C16,hijos!L:L,1)</f>
        <v>3</v>
      </c>
      <c r="Q16" s="84">
        <f t="shared" si="1"/>
        <v>5</v>
      </c>
      <c r="R16" s="85">
        <f t="array" ref="R16">XLOOKUP(C16,datos_personales[id:],datos_personales[Tel. Contacto:],"no dato",0,1)</f>
        <v>1124936411</v>
      </c>
      <c r="S16" s="81" t="str">
        <f t="array" ref="S16">XLOOKUP(C16,datos_personales[id:],datos_personales[E-Mail:],"no dato",0,1)</f>
        <v>chiiguisguty@gmain.com</v>
      </c>
      <c r="T16" s="81" t="str">
        <f t="array" ref="T16">XLOOKUP(R16,telefonos_afiliados[numeros_loys],telefonos_afiliados[esta],"no esta",0,1)</f>
        <v>1</v>
      </c>
      <c r="U16" s="81" t="str">
        <f t="array" ref="U16">XLOOKUP(C16,datos_laborales[id:],datos_laborales[renuncio],"no dato",0,1)</f>
        <v>no dato</v>
      </c>
      <c r="V16" s="87">
        <f t="array" ref="V16">XLOOKUP(C16,datos_laborales[clave_foranea],datos_laborales[tiene_ficha_pdf],"no tiene ficha pdf",0,1)</f>
        <v>1</v>
      </c>
      <c r="W16" s="78"/>
    </row>
    <row r="17" hidden="1">
      <c r="A17" s="79"/>
      <c r="B17" s="80"/>
      <c r="C17" s="88">
        <f>datos_personales[id:]</f>
        <v>20009014</v>
      </c>
      <c r="D17" s="88" t="str">
        <f t="array" ref="D17">XLOOKUP(C17,datos_laborales[clave_foranea],datos_laborales[Relacion de Dependencia],"dato no encontrado",0,1)</f>
        <v>monotributista</v>
      </c>
      <c r="E17" s="80" t="str">
        <f t="array" ref="E17">XLOOKUP(C17,datos_delegados[clave_foranea:],datos_delegados[En Actividad]," ",0,1)</f>
        <v> </v>
      </c>
      <c r="F17" s="88" t="str">
        <f t="array" ref="F17">CONCATENATE(XLOOKUP(C17,datos_personales[id:],datos_personales[Apellido:],"no dato",0,1),", ",XLOOKUP(C17,datos_personales[id:],datos_personales[Nombre],"no dato",0,1))</f>
        <v>fernandez, mariana</v>
      </c>
      <c r="G17" s="88">
        <f t="array" ref="G17">XLOOKUP(C17,datos_laborales[clave_foranea],datos_laborales[N° De Legajo],"no dato",0,1)</f>
        <v>2777</v>
      </c>
      <c r="H17" s="89">
        <f t="array" ref="H17">XLOOKUP(C17,datos_laborales[clave_foranea], datos_laborales[Inicio Actividad:],"no dato",0,1)</f>
        <v>45111</v>
      </c>
      <c r="I17" s="88">
        <f t="array" ref="I17">XLOOKUP(C17,datos_laborales[clave_foranea],datos_laborales[Años en Actividad:],"no dato",0,1)</f>
        <v>2</v>
      </c>
      <c r="J17" s="88">
        <f t="array" ref="J17">XLOOKUP(C17,datos_personales[id:],datos_personales[D.n.i:],"no dato",0,1)</f>
        <v>20009014</v>
      </c>
      <c r="K17" s="89">
        <f t="array" ref="K17">XLOOKUP(C17,datos_personales[id:],datos_personales[Fecha Nacimiento:],"no dato",0,1)</f>
        <v>24856</v>
      </c>
      <c r="L17" s="88">
        <f>COUNTIF(hijos!B:B,C17)</f>
        <v>3</v>
      </c>
      <c r="M17" s="90">
        <f>COUNTIFS(hijos!B:B,C17,hijos!I:I,1)</f>
        <v>0</v>
      </c>
      <c r="N17" s="91">
        <f>COUNTIFS(hijos!B:B,C17,hijos!J:J,1)</f>
        <v>0</v>
      </c>
      <c r="O17" s="91">
        <f>COUNTIFS(hijos!B:B,C17,hijos!K:K,1)</f>
        <v>0</v>
      </c>
      <c r="P17" s="91">
        <f>COUNTIFS(hijos!B:B,C17,hijos!L:L,1)</f>
        <v>1</v>
      </c>
      <c r="Q17" s="91">
        <f t="shared" si="1"/>
        <v>1</v>
      </c>
      <c r="R17" s="88">
        <f t="array" ref="R17">XLOOKUP(C17,datos_personales[id:],datos_personales[Tel. Contacto:],"no dato",0,1)</f>
        <v>1144937482</v>
      </c>
      <c r="S17" s="80" t="str">
        <f t="array" ref="S17">XLOOKUP(C17,datos_personales[id:],datos_personales[E-Mail:],"no dato",0,1)</f>
        <v/>
      </c>
      <c r="T17" s="88" t="str">
        <f t="array" ref="T17">XLOOKUP(R17,telefonos_afiliados[numeros_loys],telefonos_afiliados[esta],"no esta",0,1)</f>
        <v>1</v>
      </c>
      <c r="U17" s="88" t="str">
        <f t="array" ref="U17">XLOOKUP(C17,datos_laborales[id:],datos_laborales[renuncio],"no dato",0,1)</f>
        <v>no dato</v>
      </c>
      <c r="V17" s="104"/>
      <c r="W17" s="78"/>
    </row>
    <row r="18" hidden="1">
      <c r="A18" s="79"/>
      <c r="B18" s="80"/>
      <c r="C18" s="81">
        <f>datos_personales[id:]</f>
        <v>29635937</v>
      </c>
      <c r="D18" s="81" t="str">
        <f t="array" ref="D18">XLOOKUP(C18,datos_laborales[clave_foranea],datos_laborales[Relacion de Dependencia],"dato no encontrado",0,1)</f>
        <v>monotributista</v>
      </c>
      <c r="E18" s="80" t="str">
        <f t="array" ref="E18">XLOOKUP(C18,datos_delegados[clave_foranea:],datos_delegados[En Actividad]," ",0,1)</f>
        <v> </v>
      </c>
      <c r="F18" s="81" t="str">
        <f t="array" ref="F18">CONCATENATE(XLOOKUP(C18,datos_personales[id:],datos_personales[Apellido:],"no dato",0,1),", ",XLOOKUP(C18,datos_personales[id:],datos_personales[Nombre],"no dato",0,1))</f>
        <v>dugour, cecilia paola</v>
      </c>
      <c r="G18" s="81">
        <f t="array" ref="G18">XLOOKUP(C18,datos_laborales[clave_foranea],datos_laborales[N° De Legajo],"no dato",0,1)</f>
        <v>1931</v>
      </c>
      <c r="H18" s="82">
        <f t="array" ref="H18">XLOOKUP(C18,datos_laborales[clave_foranea], datos_laborales[Inicio Actividad:],"no dato",0,1)</f>
        <v>44683</v>
      </c>
      <c r="I18" s="81">
        <f t="array" ref="I18">XLOOKUP(C18,datos_laborales[clave_foranea],datos_laborales[Años en Actividad:],"no dato",0,1)</f>
        <v>3</v>
      </c>
      <c r="J18" s="81">
        <f t="array" ref="J18">XLOOKUP(C18,datos_personales[id:],datos_personales[D.n.i:],"no dato",0,1)</f>
        <v>29635937</v>
      </c>
      <c r="K18" s="82">
        <f t="array" ref="K18">XLOOKUP(C18,datos_personales[id:],datos_personales[Fecha Nacimiento:],"no dato",0,1)</f>
        <v>30139</v>
      </c>
      <c r="L18" s="81">
        <f>COUNTIF(hijos!B:B,C18)</f>
        <v>1</v>
      </c>
      <c r="M18" s="83">
        <f>COUNTIFS(hijos!B:B,C18,hijos!I:I,1)</f>
        <v>0</v>
      </c>
      <c r="N18" s="84">
        <f>COUNTIFS(hijos!B:B,C18,hijos!J:J,1)</f>
        <v>0</v>
      </c>
      <c r="O18" s="84">
        <f>COUNTIFS(hijos!B:B,C18,hijos!K:K,1)</f>
        <v>0</v>
      </c>
      <c r="P18" s="84">
        <f>COUNTIFS(hijos!B:B,C18,hijos!L:L,1)</f>
        <v>1</v>
      </c>
      <c r="Q18" s="84">
        <f t="shared" si="1"/>
        <v>1</v>
      </c>
      <c r="R18" s="81">
        <f t="array" ref="R18">XLOOKUP(C18,datos_personales[id:],datos_personales[Tel. Contacto:],"no dato",0,1)</f>
        <v>1141697938</v>
      </c>
      <c r="S18" s="81" t="str">
        <f t="array" ref="S18">XLOOKUP(C18,datos_personales[id:],datos_personales[E-Mail:],"no dato",0,1)</f>
        <v>lachechu.lachechu@gmail.com</v>
      </c>
      <c r="T18" s="81" t="str">
        <f t="array" ref="T18">XLOOKUP(R18,telefonos_afiliados[numeros_loys],telefonos_afiliados[esta],"no esta",0,1)</f>
        <v>1</v>
      </c>
      <c r="U18" s="81" t="str">
        <f t="array" ref="U18">XLOOKUP(C18,datos_laborales[id:],datos_laborales[renuncio],"no dato",0,1)</f>
        <v>no dato</v>
      </c>
      <c r="V18" s="104"/>
      <c r="W18" s="78"/>
    </row>
    <row r="19" hidden="1">
      <c r="A19" s="79"/>
      <c r="B19" s="80"/>
      <c r="C19" s="88">
        <f>datos_personales[id:]</f>
        <v>39471585</v>
      </c>
      <c r="D19" s="88" t="str">
        <f t="array" ref="D19">XLOOKUP(C19,datos_laborales[clave_foranea],datos_laborales[Relacion de Dependencia],"dato no encontrado",0,1)</f>
        <v>monotributista</v>
      </c>
      <c r="E19" s="80" t="str">
        <f t="array" ref="E19">XLOOKUP(C19,datos_delegados[clave_foranea:],datos_delegados[En Actividad]," ",0,1)</f>
        <v> </v>
      </c>
      <c r="F19" s="88" t="str">
        <f t="array" ref="F19">CONCATENATE(XLOOKUP(C19,datos_personales[id:],datos_personales[Apellido:],"no dato",0,1),", ",XLOOKUP(C19,datos_personales[id:],datos_personales[Nombre],"no dato",0,1))</f>
        <v>divito, florencia belen</v>
      </c>
      <c r="G19" s="88">
        <f t="array" ref="G19">XLOOKUP(C19,datos_laborales[clave_foranea],datos_laborales[N° De Legajo],"no dato",0,1)</f>
        <v>2450</v>
      </c>
      <c r="H19" s="89">
        <f t="array" ref="H19">XLOOKUP(C19,datos_laborales[clave_foranea], datos_laborales[Inicio Actividad:],"no dato",0,1)</f>
        <v>45049</v>
      </c>
      <c r="I19" s="88">
        <f t="array" ref="I19">XLOOKUP(C19,datos_laborales[clave_foranea],datos_laborales[Años en Actividad:],"no dato",0,1)</f>
        <v>2</v>
      </c>
      <c r="J19" s="88">
        <f t="array" ref="J19">XLOOKUP(C19,datos_personales[id:],datos_personales[D.n.i:],"no dato",0,1)</f>
        <v>39471585</v>
      </c>
      <c r="K19" s="89">
        <f t="array" ref="K19">XLOOKUP(C19,datos_personales[id:],datos_personales[Fecha Nacimiento:],"no dato",0,1)</f>
        <v>35096</v>
      </c>
      <c r="L19" s="88">
        <f>COUNTIF(hijos!B:B,C19)</f>
        <v>0</v>
      </c>
      <c r="M19" s="90">
        <f>COUNTIFS(hijos!B:B,C19,hijos!I:I,1)</f>
        <v>0</v>
      </c>
      <c r="N19" s="91">
        <f>COUNTIFS(hijos!B:B,C19,hijos!J:J,1)</f>
        <v>0</v>
      </c>
      <c r="O19" s="91">
        <f>COUNTIFS(hijos!B:B,C19,hijos!K:K,1)</f>
        <v>0</v>
      </c>
      <c r="P19" s="91">
        <f>COUNTIFS(hijos!B:B,C19,hijos!L:L,1)</f>
        <v>0</v>
      </c>
      <c r="Q19" s="91">
        <f t="shared" si="1"/>
        <v>0</v>
      </c>
      <c r="R19" s="88">
        <f t="array" ref="R19">XLOOKUP(C19,datos_personales[id:],datos_personales[Tel. Contacto:],"no dato",0,1)</f>
        <v>1151781882</v>
      </c>
      <c r="S19" s="88" t="str">
        <f t="array" ref="S19">XLOOKUP(C19,datos_personales[id:],datos_personales[E-Mail:],"no dato",0,1)</f>
        <v>floordivito@gmail.com</v>
      </c>
      <c r="T19" s="88" t="str">
        <f t="array" ref="T19">XLOOKUP(R19,telefonos_afiliados[numeros_loys],telefonos_afiliados[esta],"no esta",0,1)</f>
        <v>1</v>
      </c>
      <c r="U19" s="88" t="str">
        <f t="array" ref="U19">XLOOKUP(C19,datos_laborales[id:],datos_laborales[renuncio],"no dato",0,1)</f>
        <v>no dato</v>
      </c>
      <c r="V19" s="104"/>
      <c r="W19" s="78"/>
    </row>
    <row r="20" hidden="1">
      <c r="A20" s="79"/>
      <c r="B20" s="80"/>
      <c r="C20" s="81">
        <f>datos_personales[id:]</f>
        <v>43817038</v>
      </c>
      <c r="D20" s="81" t="str">
        <f t="array" ref="D20">XLOOKUP(C20,datos_laborales[clave_foranea],datos_laborales[Relacion de Dependencia],"dato no encontrado",0,1)</f>
        <v>monotributista</v>
      </c>
      <c r="E20" s="80" t="str">
        <f t="array" ref="E20">XLOOKUP(C20,datos_delegados[clave_foranea:],datos_delegados[En Actividad]," ",0,1)</f>
        <v> </v>
      </c>
      <c r="F20" s="81" t="str">
        <f t="array" ref="F20">CONCATENATE(XLOOKUP(C20,datos_personales[id:],datos_personales[Apellido:],"no dato",0,1),", ",XLOOKUP(C20,datos_personales[id:],datos_personales[Nombre],"no dato",0,1))</f>
        <v>guitierrez, aylin silvia</v>
      </c>
      <c r="G20" s="81">
        <f t="array" ref="G20">XLOOKUP(C20,datos_laborales[clave_foranea],datos_laborales[N° De Legajo],"no dato",0,1)</f>
        <v>1850</v>
      </c>
      <c r="H20" s="82">
        <f t="array" ref="H20">XLOOKUP(C20,datos_laborales[clave_foranea], datos_laborales[Inicio Actividad:],"no dato",0,1)</f>
        <v>44256</v>
      </c>
      <c r="I20" s="81">
        <f t="array" ref="I20">XLOOKUP(C20,datos_laborales[clave_foranea],datos_laborales[Años en Actividad:],"no dato",0,1)</f>
        <v>4</v>
      </c>
      <c r="J20" s="81">
        <f t="array" ref="J20">XLOOKUP(C20,datos_personales[id:],datos_personales[D.n.i:],"no dato",0,1)</f>
        <v>43817038</v>
      </c>
      <c r="K20" s="82">
        <f t="array" ref="K20">XLOOKUP(C20,datos_personales[id:],datos_personales[Fecha Nacimiento:],"no dato",0,1)</f>
        <v>37370</v>
      </c>
      <c r="L20" s="81">
        <f>COUNTIF(hijos!B:B,C20)</f>
        <v>0</v>
      </c>
      <c r="M20" s="83">
        <f>COUNTIFS(hijos!B:B,C20,hijos!I:I,1)</f>
        <v>0</v>
      </c>
      <c r="N20" s="84">
        <f>COUNTIFS(hijos!B:B,C20,hijos!J:J,1)</f>
        <v>0</v>
      </c>
      <c r="O20" s="84">
        <f>COUNTIFS(hijos!B:B,C20,hijos!K:K,1)</f>
        <v>0</v>
      </c>
      <c r="P20" s="84">
        <f>COUNTIFS(hijos!B:B,C20,hijos!L:L,1)</f>
        <v>0</v>
      </c>
      <c r="Q20" s="84">
        <f t="shared" si="1"/>
        <v>0</v>
      </c>
      <c r="R20" s="85">
        <f t="array" ref="R20">XLOOKUP(C20,datos_personales[id:],datos_personales[Tel. Contacto:],"no dato",0,1)</f>
        <v>1138174900</v>
      </c>
      <c r="S20" s="81" t="str">
        <f t="array" ref="S20">XLOOKUP(C20,datos_personales[id:],datos_personales[E-Mail:],"no dato",0,1)</f>
        <v>aylingutierrez74@gmail.com</v>
      </c>
      <c r="T20" s="81" t="str">
        <f t="array" ref="T20">XLOOKUP(R20,telefonos_afiliados[numeros_loys],telefonos_afiliados[esta],"no esta",0,1)</f>
        <v>1</v>
      </c>
      <c r="U20" s="81" t="str">
        <f t="array" ref="U20">XLOOKUP(C20,datos_laborales[id:],datos_laborales[renuncio],"no dato",0,1)</f>
        <v>no dato</v>
      </c>
      <c r="V20" s="87" t="str">
        <f t="array" ref="V20">XLOOKUP(C20,datos_laborales[clave_foranea],datos_laborales[tiene_ficha_pdf],"no tiene ficha pdf",0,1)</f>
        <v>no tiene en pdf</v>
      </c>
      <c r="W20" s="78"/>
    </row>
    <row r="21" ht="15.75" hidden="1" customHeight="1">
      <c r="A21" s="79"/>
      <c r="B21" s="80"/>
      <c r="C21" s="88">
        <f>datos_personales[id:]</f>
        <v>44486458</v>
      </c>
      <c r="D21" s="88" t="str">
        <f t="array" ref="D21">XLOOKUP(C21,datos_laborales[clave_foranea],datos_laborales[Relacion de Dependencia],"dato no encontrado",0,1)</f>
        <v>monotributista</v>
      </c>
      <c r="E21" s="80" t="str">
        <f t="array" ref="E21">XLOOKUP(C21,datos_delegados[clave_foranea:],datos_delegados[En Actividad]," ",0,1)</f>
        <v> </v>
      </c>
      <c r="F21" s="88" t="str">
        <f t="array" ref="F21">CONCATENATE(XLOOKUP(C21,datos_personales[id:],datos_personales[Apellido:],"no dato",0,1),", ",XLOOKUP(C21,datos_personales[id:],datos_personales[Nombre],"no dato",0,1))</f>
        <v>alvarez , miranda</v>
      </c>
      <c r="G21" s="88">
        <f t="array" ref="G21">XLOOKUP(C21,datos_laborales[clave_foranea],datos_laborales[N° De Legajo],"no dato",0,1)</f>
        <v>3069</v>
      </c>
      <c r="H21" s="89">
        <f t="array" ref="H21">XLOOKUP(C21,datos_laborales[clave_foranea], datos_laborales[Inicio Actividad:],"no dato",0,1)</f>
        <v>0</v>
      </c>
      <c r="I21" s="88">
        <f t="array" ref="I21">XLOOKUP(C21,datos_laborales[clave_foranea],datos_laborales[Años en Actividad:],"no dato",0,1)</f>
        <v>126</v>
      </c>
      <c r="J21" s="88">
        <f t="array" ref="J21">XLOOKUP(C21,datos_personales[id:],datos_personales[D.n.i:],"no dato",0,1)</f>
        <v>44486458</v>
      </c>
      <c r="K21" s="89">
        <f t="array" ref="K21">XLOOKUP(C21,datos_personales[id:],datos_personales[Fecha Nacimiento:],"no dato",0,1)</f>
        <v>0</v>
      </c>
      <c r="L21" s="88">
        <f>COUNTIF(hijos!B:B,C21)</f>
        <v>0</v>
      </c>
      <c r="M21" s="90">
        <f>COUNTIFS(hijos!B:B,C21,hijos!I:I,1)</f>
        <v>0</v>
      </c>
      <c r="N21" s="91">
        <f>COUNTIFS(hijos!B:B,C21,hijos!J:J,1)</f>
        <v>0</v>
      </c>
      <c r="O21" s="91">
        <f>COUNTIFS(hijos!B:B,C21,hijos!K:K,1)</f>
        <v>0</v>
      </c>
      <c r="P21" s="91">
        <f>COUNTIFS(hijos!B:B,C21,hijos!L:L,1)</f>
        <v>0</v>
      </c>
      <c r="Q21" s="91">
        <f t="shared" si="1"/>
        <v>0</v>
      </c>
      <c r="R21" s="88">
        <f t="array" ref="R21">XLOOKUP(C21,datos_personales[id:],datos_personales[Tel. Contacto:],"no dato",0,1)</f>
        <v>1154166856</v>
      </c>
      <c r="S21" s="88" t="str">
        <f t="array" ref="S21">XLOOKUP(C21,datos_personales[id:],datos_personales[E-Mail:],"no dato",0,1)</f>
        <v>sabriialvarez06@gmail.com</v>
      </c>
      <c r="T21" s="88" t="str">
        <f t="array" ref="T21">XLOOKUP(R21,telefonos_afiliados[numeros_loys],telefonos_afiliados[esta],"no esta",0,1)</f>
        <v>1</v>
      </c>
      <c r="U21" s="80"/>
      <c r="V21" s="104"/>
      <c r="W21" s="78"/>
    </row>
    <row r="22" ht="15.75" hidden="1" customHeight="1">
      <c r="A22" s="79"/>
      <c r="B22" s="80"/>
      <c r="C22" s="81">
        <f>datos_personales[id:]</f>
        <v>36685920</v>
      </c>
      <c r="D22" s="81" t="str">
        <f t="array" ref="D22">XLOOKUP(C22,datos_laborales[clave_foranea],datos_laborales[Relacion de Dependencia],"dato no encontrado",0,1)</f>
        <v>monotributista</v>
      </c>
      <c r="E22" s="80" t="str">
        <f t="array" ref="E22">XLOOKUP(C22,datos_delegados[clave_foranea:],datos_delegados[En Actividad]," ",0,1)</f>
        <v> </v>
      </c>
      <c r="F22" s="81" t="str">
        <f t="array" ref="F22">CONCATENATE(XLOOKUP(C22,datos_personales[id:],datos_personales[Apellido:],"no dato",0,1),", ",XLOOKUP(C22,datos_personales[id:],datos_personales[Nombre],"no dato",0,1))</f>
        <v>davico castañeira, nazareno martin</v>
      </c>
      <c r="G22" s="81">
        <f t="array" ref="G22">XLOOKUP(C22,datos_laborales[clave_foranea],datos_laborales[N° De Legajo],"no dato",0,1)</f>
        <v>3133</v>
      </c>
      <c r="H22" s="82">
        <f t="array" ref="H22">XLOOKUP(C22,datos_laborales[clave_foranea], datos_laborales[Inicio Actividad:],"no dato",0,1)</f>
        <v>44927</v>
      </c>
      <c r="I22" s="81">
        <f t="array" ref="I22">XLOOKUP(C22,datos_laborales[clave_foranea],datos_laborales[Años en Actividad:],"no dato",0,1)</f>
        <v>2</v>
      </c>
      <c r="J22" s="81">
        <f t="array" ref="J22">XLOOKUP(C22,datos_personales[id:],datos_personales[D.n.i:],"no dato",0,1)</f>
        <v>36685920</v>
      </c>
      <c r="K22" s="82">
        <f t="array" ref="K22">XLOOKUP(C22,datos_personales[id:],datos_personales[Fecha Nacimiento:],"no dato",0,1)</f>
        <v>0</v>
      </c>
      <c r="L22" s="81">
        <f>COUNTIF(hijos!B:B,C22)</f>
        <v>0</v>
      </c>
      <c r="M22" s="83">
        <f>COUNTIFS(hijos!B:B,C22,hijos!I:I,1)</f>
        <v>0</v>
      </c>
      <c r="N22" s="84">
        <f>COUNTIFS(hijos!B:B,C22,hijos!J:J,1)</f>
        <v>0</v>
      </c>
      <c r="O22" s="84">
        <f>COUNTIFS(hijos!B:B,C22,hijos!K:K,1)</f>
        <v>0</v>
      </c>
      <c r="P22" s="84">
        <f>COUNTIFS(hijos!B:B,C22,hijos!L:L,1)</f>
        <v>0</v>
      </c>
      <c r="Q22" s="84">
        <f t="shared" si="1"/>
        <v>0</v>
      </c>
      <c r="R22" s="81">
        <f t="array" ref="R22">XLOOKUP(C22,datos_personales[id:],datos_personales[Tel. Contacto:],"no dato",0,1)</f>
        <v>1137817717</v>
      </c>
      <c r="S22" s="81" t="str">
        <f t="array" ref="S22">XLOOKUP(C22,datos_personales[id:],datos_personales[E-Mail:],"no dato",0,1)</f>
        <v>nazareno.davico@live.com</v>
      </c>
      <c r="T22" s="81" t="str">
        <f t="array" ref="T22">XLOOKUP(R22,telefonos_afiliados[numeros_loys],telefonos_afiliados[esta],"no esta",0,1)</f>
        <v>1</v>
      </c>
      <c r="U22" s="81" t="str">
        <f t="array" ref="U22">XLOOKUP(C22,datos_laborales[id:],datos_laborales[renuncio],"no dato",0,1)</f>
        <v>no dato</v>
      </c>
      <c r="V22" s="104"/>
      <c r="W22" s="78"/>
    </row>
    <row r="23" ht="15.75" hidden="1" customHeight="1">
      <c r="A23" s="79"/>
      <c r="B23" s="80"/>
      <c r="C23" s="88">
        <f>datos_personales[id:]</f>
        <v>25060598</v>
      </c>
      <c r="D23" s="88" t="str">
        <f t="array" ref="D23">XLOOKUP(C23,datos_laborales[clave_foranea],datos_laborales[Relacion de Dependencia],"dato no encontrado",0,1)</f>
        <v>monotributista</v>
      </c>
      <c r="E23" s="80" t="str">
        <f t="array" ref="E23">XLOOKUP(C23,datos_delegados[clave_foranea:],datos_delegados[En Actividad]," ",0,1)</f>
        <v> </v>
      </c>
      <c r="F23" s="88" t="str">
        <f t="array" ref="F23">CONCATENATE(XLOOKUP(C23,datos_personales[id:],datos_personales[Apellido:],"no dato",0,1),", ",XLOOKUP(C23,datos_personales[id:],datos_personales[Nombre],"no dato",0,1))</f>
        <v>melgarejo , viviana noemi</v>
      </c>
      <c r="G23" s="88">
        <f t="array" ref="G23">XLOOKUP(C23,datos_laborales[clave_foranea],datos_laborales[N° De Legajo],"no dato",0,1)</f>
        <v>3185</v>
      </c>
      <c r="H23" s="89">
        <f t="array" ref="H23">XLOOKUP(C23,datos_laborales[clave_foranea], datos_laborales[Inicio Actividad:],"no dato",0,1)</f>
        <v>44927</v>
      </c>
      <c r="I23" s="88">
        <f t="array" ref="I23">XLOOKUP(C23,datos_laborales[clave_foranea],datos_laborales[Años en Actividad:],"no dato",0,1)</f>
        <v>2</v>
      </c>
      <c r="J23" s="88">
        <f t="array" ref="J23">XLOOKUP(C23,datos_personales[id:],datos_personales[D.n.i:],"no dato",0,1)</f>
        <v>25060598</v>
      </c>
      <c r="K23" s="89">
        <f t="array" ref="K23">XLOOKUP(C23,datos_personales[id:],datos_personales[Fecha Nacimiento:],"no dato",0,1)</f>
        <v>0</v>
      </c>
      <c r="L23" s="88">
        <f>COUNTIF(hijos!B:B,C23)</f>
        <v>3</v>
      </c>
      <c r="M23" s="90">
        <f>COUNTIFS(hijos!B:B,C23,hijos!I:I,1)</f>
        <v>0</v>
      </c>
      <c r="N23" s="91">
        <f>COUNTIFS(hijos!B:B,C23,hijos!J:J,1)</f>
        <v>0</v>
      </c>
      <c r="O23" s="91">
        <f>COUNTIFS(hijos!B:B,C23,hijos!K:K,1)</f>
        <v>0</v>
      </c>
      <c r="P23" s="91">
        <f>COUNTIFS(hijos!B:B,C23,hijos!L:L,1)</f>
        <v>3</v>
      </c>
      <c r="Q23" s="91">
        <f t="shared" si="1"/>
        <v>3</v>
      </c>
      <c r="R23" s="88">
        <f t="array" ref="R23">XLOOKUP(C23,datos_personales[id:],datos_personales[Tel. Contacto:],"no dato",0,1)</f>
        <v>1168243462</v>
      </c>
      <c r="S23" s="88" t="str">
        <f t="array" ref="S23">XLOOKUP(C23,datos_personales[id:],datos_personales[E-Mail:],"no dato",0,1)</f>
        <v>melgarejovivi88@gmail.com</v>
      </c>
      <c r="T23" s="88" t="str">
        <f t="array" ref="T23">XLOOKUP(R23,telefonos_afiliados[numeros_loys],telefonos_afiliados[esta],"no esta",0,1)</f>
        <v>no esta</v>
      </c>
      <c r="U23" s="80"/>
      <c r="V23" s="104"/>
      <c r="W23" s="78"/>
    </row>
    <row r="24" ht="15.75" hidden="1" customHeight="1">
      <c r="A24" s="79"/>
      <c r="B24" s="80"/>
      <c r="C24" s="81">
        <f>datos_personales[id:]</f>
        <v>31896263</v>
      </c>
      <c r="D24" s="81" t="str">
        <f t="array" ref="D24">XLOOKUP(C24,datos_laborales[clave_foranea],datos_laborales[Relacion de Dependencia],"dato no encontrado",0,1)</f>
        <v>monotributista</v>
      </c>
      <c r="E24" s="80" t="str">
        <f t="array" ref="E24">XLOOKUP(C24,datos_delegados[clave_foranea:],datos_delegados[En Actividad]," ",0,1)</f>
        <v> </v>
      </c>
      <c r="F24" s="81" t="str">
        <f t="array" ref="F24">CONCATENATE(XLOOKUP(C24,datos_personales[id:],datos_personales[Apellido:],"no dato",0,1),", ",XLOOKUP(C24,datos_personales[id:],datos_personales[Nombre],"no dato",0,1))</f>
        <v>nogueira, diego marcelo</v>
      </c>
      <c r="G24" s="81">
        <f t="array" ref="G24">XLOOKUP(C24,datos_laborales[clave_foranea],datos_laborales[N° De Legajo],"no dato",0,1)</f>
        <v>2323</v>
      </c>
      <c r="H24" s="82">
        <f t="array" ref="H24">XLOOKUP(C24,datos_laborales[clave_foranea], datos_laborales[Inicio Actividad:],"no dato",0,1)</f>
        <v>45017</v>
      </c>
      <c r="I24" s="81">
        <f t="array" ref="I24">XLOOKUP(C24,datos_laborales[clave_foranea],datos_laborales[Años en Actividad:],"no dato",0,1)</f>
        <v>2</v>
      </c>
      <c r="J24" s="81">
        <f t="array" ref="J24">XLOOKUP(C24,datos_personales[id:],datos_personales[D.n.i:],"no dato",0,1)</f>
        <v>31896263</v>
      </c>
      <c r="K24" s="82">
        <f t="array" ref="K24">XLOOKUP(C24,datos_personales[id:],datos_personales[Fecha Nacimiento:],"no dato",0,1)</f>
        <v>31465</v>
      </c>
      <c r="L24" s="81">
        <f>COUNTIF(hijos!B:B,C24)</f>
        <v>1</v>
      </c>
      <c r="M24" s="83">
        <f>COUNTIFS(hijos!B:B,C24,hijos!I:I,1)</f>
        <v>0</v>
      </c>
      <c r="N24" s="84">
        <f>COUNTIFS(hijos!B:B,C24,hijos!J:J,1)</f>
        <v>0</v>
      </c>
      <c r="O24" s="84">
        <f>COUNTIFS(hijos!B:B,C24,hijos!K:K,1)</f>
        <v>0</v>
      </c>
      <c r="P24" s="84">
        <f>COUNTIFS(hijos!B:B,C24,hijos!L:L,1)</f>
        <v>1</v>
      </c>
      <c r="Q24" s="84">
        <f t="shared" si="1"/>
        <v>1</v>
      </c>
      <c r="R24" s="81">
        <f t="array" ref="R24">XLOOKUP(C24,datos_personales[id:],datos_personales[Tel. Contacto:],"no dato",0,1)</f>
        <v>1140450018</v>
      </c>
      <c r="S24" s="81" t="str">
        <f t="array" ref="S24">XLOOKUP(C24,datos_personales[id:],datos_personales[E-Mail:],"no dato",0,1)</f>
        <v>diegoluli21@gmail</v>
      </c>
      <c r="T24" s="81" t="str">
        <f t="array" ref="T24">XLOOKUP(R24,telefonos_afiliados[numeros_loys],telefonos_afiliados[esta],"no esta",0,1)</f>
        <v>1</v>
      </c>
      <c r="U24" s="81" t="str">
        <f t="array" ref="U24">XLOOKUP(C24,datos_laborales[id:],datos_laborales[renuncio],"no dato",0,1)</f>
        <v>no dato</v>
      </c>
      <c r="V24" s="104"/>
      <c r="W24" s="78"/>
    </row>
    <row r="25" ht="15.75" hidden="1" customHeight="1">
      <c r="A25" s="79"/>
      <c r="B25" s="80"/>
      <c r="C25" s="88">
        <f>datos_personales[id:]</f>
        <v>32554313</v>
      </c>
      <c r="D25" s="88" t="str">
        <f t="array" ref="D25">XLOOKUP(C25,datos_laborales[clave_foranea],datos_laborales[Relacion de Dependencia],"dato no encontrado",0,1)</f>
        <v>monotributista</v>
      </c>
      <c r="E25" s="80" t="str">
        <f t="array" ref="E25">XLOOKUP(C25,datos_delegados[clave_foranea:],datos_delegados[En Actividad]," ",0,1)</f>
        <v> </v>
      </c>
      <c r="F25" s="88" t="str">
        <f t="array" ref="F25">CONCATENATE(XLOOKUP(C25,datos_personales[id:],datos_personales[Apellido:],"no dato",0,1),", ",XLOOKUP(C25,datos_personales[id:],datos_personales[Nombre],"no dato",0,1))</f>
        <v>bonomo, yamila maria</v>
      </c>
      <c r="G25" s="88">
        <f t="array" ref="G25">XLOOKUP(C25,datos_laborales[clave_foranea],datos_laborales[N° De Legajo],"no dato",0,1)</f>
        <v>1444</v>
      </c>
      <c r="H25" s="89">
        <f t="array" ref="H25">XLOOKUP(C25,datos_laborales[clave_foranea], datos_laborales[Inicio Actividad:],"no dato",0,1)</f>
        <v>43252</v>
      </c>
      <c r="I25" s="88">
        <f t="array" ref="I25">XLOOKUP(C25,datos_laborales[clave_foranea],datos_laborales[Años en Actividad:],"no dato",0,1)</f>
        <v>7</v>
      </c>
      <c r="J25" s="88">
        <f t="array" ref="J25">XLOOKUP(C25,datos_personales[id:],datos_personales[D.n.i:],"no dato",0,1)</f>
        <v>32554313</v>
      </c>
      <c r="K25" s="89">
        <f t="array" ref="K25">XLOOKUP(C25,datos_personales[id:],datos_personales[Fecha Nacimiento:],"no dato",0,1)</f>
        <v>31644</v>
      </c>
      <c r="L25" s="88">
        <f>COUNTIF(hijos!B:B,C25)</f>
        <v>4</v>
      </c>
      <c r="M25" s="90">
        <f>COUNTIFS(hijos!B:B,C25,hijos!I:I,1)</f>
        <v>0</v>
      </c>
      <c r="N25" s="91">
        <f>COUNTIFS(hijos!B:B,C25,hijos!J:J,1)</f>
        <v>1</v>
      </c>
      <c r="O25" s="91">
        <f>COUNTIFS(hijos!B:B,C25,hijos!K:K,1)</f>
        <v>0</v>
      </c>
      <c r="P25" s="91">
        <f>COUNTIFS(hijos!B:B,C25,hijos!L:L,1)</f>
        <v>3</v>
      </c>
      <c r="Q25" s="91">
        <f t="shared" si="1"/>
        <v>4</v>
      </c>
      <c r="R25" s="103">
        <f t="array" ref="R25">XLOOKUP(C25,datos_personales[id:],datos_personales[Tel. Contacto:],"no dato",0,1)</f>
        <v>1160341130</v>
      </c>
      <c r="S25" s="88" t="str">
        <f t="array" ref="S25">XLOOKUP(C25,datos_personales[id:],datos_personales[E-Mail:],"no dato",0,1)</f>
        <v>yamilabonomo@hotmail.com</v>
      </c>
      <c r="T25" s="88" t="str">
        <f t="array" ref="T25">XLOOKUP(R25,telefonos_afiliados[numeros_loys],telefonos_afiliados[esta],"no esta",0,1)</f>
        <v>1</v>
      </c>
      <c r="U25" s="88" t="str">
        <f t="array" ref="U25">XLOOKUP(C25,datos_laborales[id:],datos_laborales[renuncio],"no dato",0,1)</f>
        <v>no dato</v>
      </c>
      <c r="V25" s="93" t="str">
        <f t="array" ref="V25">XLOOKUP(C25,datos_laborales[clave_foranea],datos_laborales[tiene_ficha_pdf],"no tiene ficha pdf",0,1)</f>
        <v>no tiene en pdf</v>
      </c>
      <c r="W25" s="78"/>
    </row>
    <row r="26" ht="15.75" hidden="1" customHeight="1">
      <c r="A26" s="79"/>
      <c r="B26" s="80"/>
      <c r="C26" s="81">
        <f>datos_personales[id:]</f>
        <v>33905319</v>
      </c>
      <c r="D26" s="81" t="str">
        <f t="array" ref="D26">XLOOKUP(C26,datos_laborales[clave_foranea],datos_laborales[Relacion de Dependencia],"dato no encontrado",0,1)</f>
        <v>monotributista</v>
      </c>
      <c r="E26" s="80" t="str">
        <f t="array" ref="E26">XLOOKUP(C26,datos_delegados[clave_foranea:],datos_delegados[En Actividad]," ",0,1)</f>
        <v> </v>
      </c>
      <c r="F26" s="81" t="str">
        <f t="array" ref="F26">CONCATENATE(XLOOKUP(C26,datos_personales[id:],datos_personales[Apellido:],"no dato",0,1),", ",XLOOKUP(C26,datos_personales[id:],datos_personales[Nombre],"no dato",0,1))</f>
        <v>herrera, gaston</v>
      </c>
      <c r="G26" s="81">
        <f t="array" ref="G26">XLOOKUP(C26,datos_laborales[clave_foranea],datos_laborales[N° De Legajo],"no dato",0,1)</f>
        <v>2479</v>
      </c>
      <c r="H26" s="82">
        <f t="array" ref="H26">XLOOKUP(C26,datos_laborales[clave_foranea], datos_laborales[Inicio Actividad:],"no dato",0,1)</f>
        <v>45019</v>
      </c>
      <c r="I26" s="81">
        <f t="array" ref="I26">XLOOKUP(C26,datos_laborales[clave_foranea],datos_laborales[Años en Actividad:],"no dato",0,1)</f>
        <v>2</v>
      </c>
      <c r="J26" s="81">
        <f t="array" ref="J26">XLOOKUP(C26,datos_personales[id:],datos_personales[D.n.i:],"no dato",0,1)</f>
        <v>33905319</v>
      </c>
      <c r="K26" s="82">
        <f t="array" ref="K26">XLOOKUP(C26,datos_personales[id:],datos_personales[Fecha Nacimiento:],"no dato",0,1)</f>
        <v>0</v>
      </c>
      <c r="L26" s="81">
        <f>COUNTIF(hijos!B:B,C26)</f>
        <v>2</v>
      </c>
      <c r="M26" s="83">
        <f>COUNTIFS(hijos!B:B,C26,hijos!I:I,1)</f>
        <v>1</v>
      </c>
      <c r="N26" s="84">
        <f>COUNTIFS(hijos!B:B,C26,hijos!J:J,1)</f>
        <v>0</v>
      </c>
      <c r="O26" s="84">
        <f>COUNTIFS(hijos!B:B,C26,hijos!K:K,1)</f>
        <v>1</v>
      </c>
      <c r="P26" s="84">
        <f>COUNTIFS(hijos!B:B,C26,hijos!L:L,1)</f>
        <v>0</v>
      </c>
      <c r="Q26" s="84">
        <f t="shared" si="1"/>
        <v>2</v>
      </c>
      <c r="R26" s="92" t="str">
        <f t="array" ref="R26">XLOOKUP(C26,datos_personales[id:],datos_personales[Tel. Contacto:],"no dato",0,1)</f>
        <v/>
      </c>
      <c r="S26" s="81" t="str">
        <f t="array" ref="S26">XLOOKUP(C26,datos_personales[id:],datos_personales[E-Mail:],"no dato",0,1)</f>
        <v>herreragas2021@gmail.com</v>
      </c>
      <c r="T26" s="81" t="str">
        <f t="array" ref="T26">XLOOKUP(R26,telefonos_afiliados[numeros_loys],telefonos_afiliados[esta],"no esta",0,1)</f>
        <v>no esta</v>
      </c>
      <c r="U26" s="81" t="str">
        <f t="array" ref="U26">XLOOKUP(C26,datos_personales[id:],datos_laborales[renuncio],"no dato",0,1)</f>
        <v>#N/A</v>
      </c>
      <c r="V26" s="87" t="str">
        <f t="array" ref="V26">XLOOKUP(C26,datos_laborales[clave_foranea],datos_laborales[tiene_ficha_pdf],"no tiene ficha pdf",0,1)</f>
        <v>no tiene en pdf</v>
      </c>
      <c r="W26" s="78"/>
    </row>
    <row r="27" ht="15.75" customHeight="1">
      <c r="A27" s="79"/>
      <c r="B27" s="80"/>
      <c r="C27" s="88">
        <f>datos_personales[id:]</f>
        <v>31302984</v>
      </c>
      <c r="D27" s="88" t="str">
        <f t="array" ref="D27">XLOOKUP(C27,datos_laborales[clave_foranea],datos_laborales[Relacion de Dependencia],"dato no encontrado",0,1)</f>
        <v>monotributista</v>
      </c>
      <c r="E27" s="80" t="str">
        <f t="array" ref="E27">XLOOKUP(C27,datos_delegados[clave_foranea:],datos_delegados[En Actividad]," ",0,1)</f>
        <v> </v>
      </c>
      <c r="F27" s="88" t="str">
        <f t="array" ref="F27">CONCATENATE(XLOOKUP(C27,datos_personales[id:],datos_personales[Apellido:],"no dato",0,1),", ",XLOOKUP(C27,datos_personales[id:],datos_personales[Nombre],"no dato",0,1))</f>
        <v>sinchicay, nelida del valle</v>
      </c>
      <c r="G27" s="88">
        <f t="array" ref="G27">XLOOKUP(C27,datos_laborales[clave_foranea],datos_laborales[N° De Legajo],"no dato",0,1)</f>
        <v>1142</v>
      </c>
      <c r="H27" s="89">
        <f t="array" ref="H27">XLOOKUP(C27,datos_laborales[clave_foranea], datos_laborales[Inicio Actividad:],"no dato",0,1)</f>
        <v>0</v>
      </c>
      <c r="I27" s="88">
        <f t="array" ref="I27">XLOOKUP(C27,datos_laborales[clave_foranea],datos_laborales[Años en Actividad:],"no dato",0,1)</f>
        <v>126</v>
      </c>
      <c r="J27" s="88">
        <f t="array" ref="J27">XLOOKUP(C27,datos_personales[id:],datos_personales[D.n.i:],"no dato",0,1)</f>
        <v>31302984</v>
      </c>
      <c r="K27" s="89">
        <f t="array" ref="K27">XLOOKUP(C27,datos_personales[id:],datos_personales[Fecha Nacimiento:],"no dato",0,1)</f>
        <v>30966</v>
      </c>
      <c r="L27" s="88">
        <f>COUNTIF(hijos!B:B,C27)</f>
        <v>1</v>
      </c>
      <c r="M27" s="90">
        <f>COUNTIFS(hijos!B:B,C27,hijos!I:I,1)</f>
        <v>0</v>
      </c>
      <c r="N27" s="91">
        <f>COUNTIFS(hijos!B:B,C27,hijos!J:J,1)</f>
        <v>0</v>
      </c>
      <c r="O27" s="91">
        <f>COUNTIFS(hijos!B:B,C27,hijos!K:K,1)</f>
        <v>1</v>
      </c>
      <c r="P27" s="91">
        <f>COUNTIFS(hijos!B:B,C27,hijos!L:L,1)</f>
        <v>0</v>
      </c>
      <c r="Q27" s="91">
        <f t="shared" si="1"/>
        <v>1</v>
      </c>
      <c r="R27" s="88">
        <f t="array" ref="R27">XLOOKUP(C27,datos_personales[id:],datos_personales[Tel. Contacto:],"no dato",0,1)</f>
        <v>1130700402</v>
      </c>
      <c r="S27" s="88" t="str">
        <f t="array" ref="S27">XLOOKUP(C27,datos_personales[id:],datos_personales[E-Mail:],"no dato",0,1)</f>
        <v>nelus872009@hotmail.com</v>
      </c>
      <c r="T27" s="88" t="str">
        <f t="array" ref="T27">XLOOKUP(R27,telefonos_afiliados[numeros_loys],telefonos_afiliados[esta],"no esta",0,1)</f>
        <v>1</v>
      </c>
      <c r="U27" s="80"/>
      <c r="V27" s="104"/>
      <c r="W27" s="78"/>
    </row>
    <row r="28" ht="15.75" hidden="1" customHeight="1">
      <c r="A28" s="79"/>
      <c r="B28" s="80"/>
      <c r="C28" s="81">
        <f>datos_personales[id:]</f>
        <v>34423850</v>
      </c>
      <c r="D28" s="81" t="str">
        <f t="array" ref="D28">XLOOKUP(C28,datos_laborales[clave_foranea],datos_laborales[Relacion de Dependencia],"dato no encontrado",0,1)</f>
        <v>monotributista</v>
      </c>
      <c r="E28" s="80" t="str">
        <f t="array" ref="E28">XLOOKUP(C28,datos_delegados[clave_foranea:],datos_delegados[En Actividad]," ",0,1)</f>
        <v> </v>
      </c>
      <c r="F28" s="81" t="str">
        <f t="array" ref="F28">CONCATENATE(XLOOKUP(C28,datos_personales[id:],datos_personales[Apellido:],"no dato",0,1),", ",XLOOKUP(C28,datos_personales[id:],datos_personales[Nombre],"no dato",0,1))</f>
        <v>mariani, melina giselle </v>
      </c>
      <c r="G28" s="81">
        <f t="array" ref="G28">XLOOKUP(C28,datos_laborales[clave_foranea],datos_laborales[N° De Legajo],"no dato",0,1)</f>
        <v>1591</v>
      </c>
      <c r="H28" s="82">
        <f t="array" ref="H28">XLOOKUP(C28,datos_laborales[clave_foranea], datos_laborales[Inicio Actividad:],"no dato",0,1)</f>
        <v>43466</v>
      </c>
      <c r="I28" s="81">
        <f t="array" ref="I28">XLOOKUP(C28,datos_laborales[clave_foranea],datos_laborales[Años en Actividad:],"no dato",0,1)</f>
        <v>6</v>
      </c>
      <c r="J28" s="81">
        <f t="array" ref="J28">XLOOKUP(C28,datos_personales[id:],datos_personales[D.n.i:],"no dato",0,1)</f>
        <v>34423850</v>
      </c>
      <c r="K28" s="82">
        <f t="array" ref="K28">XLOOKUP(C28,datos_personales[id:],datos_personales[Fecha Nacimiento:],"no dato",0,1)</f>
        <v>32546</v>
      </c>
      <c r="L28" s="81">
        <f>COUNTIF(hijos!B:B,C28)</f>
        <v>1</v>
      </c>
      <c r="M28" s="83">
        <f>COUNTIFS(hijos!B:B,C28,hijos!I:I,1)</f>
        <v>0</v>
      </c>
      <c r="N28" s="84">
        <f>COUNTIFS(hijos!B:B,C28,hijos!J:J,1)</f>
        <v>0</v>
      </c>
      <c r="O28" s="84">
        <f>COUNTIFS(hijos!B:B,C28,hijos!K:K,1)</f>
        <v>0</v>
      </c>
      <c r="P28" s="84">
        <f>COUNTIFS(hijos!B:B,C28,hijos!L:L,1)</f>
        <v>1</v>
      </c>
      <c r="Q28" s="84">
        <f t="shared" si="1"/>
        <v>1</v>
      </c>
      <c r="R28" s="85">
        <f t="array" ref="R28">XLOOKUP(C28,datos_personales[id:],datos_personales[Tel. Contacto:],"no dato",0,1)</f>
        <v>1144171447</v>
      </c>
      <c r="S28" s="81" t="str">
        <f t="array" ref="S28">XLOOKUP(C28,datos_personales[id:],datos_personales[E-Mail:],"no dato",0,1)</f>
        <v>melinamariani@hotmail.com</v>
      </c>
      <c r="T28" s="81" t="str">
        <f t="array" ref="T28">XLOOKUP(R28,telefonos_afiliados[numeros_loys],telefonos_afiliados[esta],"no esta",0,1)</f>
        <v>1</v>
      </c>
      <c r="U28" s="81" t="str">
        <f t="array" ref="U28">XLOOKUP(C28,datos_laborales[id:],datos_laborales[renuncio],"no dato",0,1)</f>
        <v>no dato</v>
      </c>
      <c r="V28" s="87" t="str">
        <f t="array" ref="V28">XLOOKUP(C28,datos_laborales[clave_foranea],datos_laborales[tiene_ficha_pdf],"no tiene ficha pdf",0,1)</f>
        <v>no tiene en pdf</v>
      </c>
      <c r="W28" s="78"/>
    </row>
    <row r="29" ht="15.75" hidden="1" customHeight="1">
      <c r="A29" s="79"/>
      <c r="B29" s="80"/>
      <c r="C29" s="88">
        <f>datos_personales[id:]</f>
        <v>32616368</v>
      </c>
      <c r="D29" s="88" t="str">
        <f t="array" ref="D29">XLOOKUP(C29,datos_laborales[clave_foranea],datos_laborales[Relacion de Dependencia],"dato no encontrado",0,1)</f>
        <v>monotributista</v>
      </c>
      <c r="E29" s="80" t="str">
        <f t="array" ref="E29">XLOOKUP(C29,datos_delegados[clave_foranea:],datos_delegados[En Actividad]," ",0,1)</f>
        <v> </v>
      </c>
      <c r="F29" s="88" t="str">
        <f t="array" ref="F29">CONCATENATE(XLOOKUP(C29,datos_personales[id:],datos_personales[Apellido:],"no dato",0,1),", ",XLOOKUP(C29,datos_personales[id:],datos_personales[Nombre],"no dato",0,1))</f>
        <v>melgarejo, gabriela romina</v>
      </c>
      <c r="G29" s="88">
        <f t="array" ref="G29">XLOOKUP(C29,datos_laborales[clave_foranea],datos_laborales[N° De Legajo],"no dato",0,1)</f>
        <v>2500</v>
      </c>
      <c r="H29" s="89">
        <f t="array" ref="H29">XLOOKUP(C29,datos_laborales[clave_foranea], datos_laborales[Inicio Actividad:],"no dato",0,1)</f>
        <v>45017</v>
      </c>
      <c r="I29" s="88">
        <f t="array" ref="I29">XLOOKUP(C29,datos_laborales[clave_foranea],datos_laborales[Años en Actividad:],"no dato",0,1)</f>
        <v>2</v>
      </c>
      <c r="J29" s="88">
        <f t="array" ref="J29">XLOOKUP(C29,datos_personales[id:],datos_personales[D.n.i:],"no dato",0,1)</f>
        <v>32616368</v>
      </c>
      <c r="K29" s="89">
        <f t="array" ref="K29">XLOOKUP(C29,datos_personales[id:],datos_personales[Fecha Nacimiento:],"no dato",0,1)</f>
        <v>0</v>
      </c>
      <c r="L29" s="88">
        <f>COUNTIF(hijos!B:B,C29)</f>
        <v>0</v>
      </c>
      <c r="M29" s="90">
        <f>COUNTIFS(hijos!B:B,C29,hijos!I:I,1)</f>
        <v>0</v>
      </c>
      <c r="N29" s="91">
        <f>COUNTIFS(hijos!B:B,C29,hijos!J:J,1)</f>
        <v>0</v>
      </c>
      <c r="O29" s="91">
        <f>COUNTIFS(hijos!B:B,C29,hijos!K:K,1)</f>
        <v>0</v>
      </c>
      <c r="P29" s="91">
        <f>COUNTIFS(hijos!B:B,C29,hijos!L:L,1)</f>
        <v>0</v>
      </c>
      <c r="Q29" s="91">
        <f t="shared" si="1"/>
        <v>0</v>
      </c>
      <c r="R29" s="92" t="str">
        <f t="array" ref="R29">XLOOKUP(C29,datos_personales[id:],datos_personales[Tel. Contacto:],"no dato",0,1)</f>
        <v/>
      </c>
      <c r="S29" s="88" t="str">
        <f t="array" ref="S29">XLOOKUP(C29,datos_personales[id:],datos_personales[E-Mail:],"no dato",0,1)</f>
        <v>gabielarominamelgarejo2@gmail</v>
      </c>
      <c r="T29" s="88" t="str">
        <f t="array" ref="T29">XLOOKUP(R29,telefonos_afiliados[numeros_loys],telefonos_afiliados[esta],"no esta",0,1)</f>
        <v>no esta</v>
      </c>
      <c r="U29" s="88" t="str">
        <f t="array" ref="U29">XLOOKUP(C29,datos_laborales[id:],datos_laborales[renuncio],"no dato",0,1)</f>
        <v>no dato</v>
      </c>
      <c r="V29" s="93" t="str">
        <f t="array" ref="V29">XLOOKUP(C29,datos_laborales[clave_foranea],datos_laborales[tiene_ficha_pdf],"no tiene ficha pdf",0,1)</f>
        <v>no tiene en pdf</v>
      </c>
      <c r="W29" s="78"/>
    </row>
    <row r="30" ht="15.75" hidden="1" customHeight="1">
      <c r="A30" s="79"/>
      <c r="B30" s="80"/>
      <c r="C30" s="81">
        <f>datos_personales[id:]</f>
        <v>43241630</v>
      </c>
      <c r="D30" s="81" t="str">
        <f t="array" ref="D30">XLOOKUP(C30,datos_laborales[clave_foranea],datos_laborales[Relacion de Dependencia],"dato no encontrado",0,1)</f>
        <v>monotributista</v>
      </c>
      <c r="E30" s="80" t="str">
        <f t="array" ref="E30">XLOOKUP(C30,datos_delegados[clave_foranea:],datos_delegados[En Actividad]," ",0,1)</f>
        <v> </v>
      </c>
      <c r="F30" s="81" t="str">
        <f t="array" ref="F30">CONCATENATE(XLOOKUP(C30,datos_personales[id:],datos_personales[Apellido:],"no dato",0,1),", ",XLOOKUP(C30,datos_personales[id:],datos_personales[Nombre],"no dato",0,1))</f>
        <v>silva borda, nicolas rodrigo</v>
      </c>
      <c r="G30" s="81">
        <f t="array" ref="G30">XLOOKUP(C30,datos_laborales[clave_foranea],datos_laborales[N° De Legajo],"no dato",0,1)</f>
        <v>2713</v>
      </c>
      <c r="H30" s="82">
        <f t="array" ref="H30">XLOOKUP(C30,datos_laborales[clave_foranea], datos_laborales[Inicio Actividad:],"no dato",0,1)</f>
        <v>45078</v>
      </c>
      <c r="I30" s="81">
        <f t="array" ref="I30">XLOOKUP(C30,datos_laborales[clave_foranea],datos_laborales[Años en Actividad:],"no dato",0,1)</f>
        <v>2</v>
      </c>
      <c r="J30" s="81">
        <f t="array" ref="J30">XLOOKUP(C30,datos_personales[id:],datos_personales[D.n.i:],"no dato",0,1)</f>
        <v>43241630</v>
      </c>
      <c r="K30" s="82">
        <f t="array" ref="K30">XLOOKUP(C30,datos_personales[id:],datos_personales[Fecha Nacimiento:],"no dato",0,1)</f>
        <v>37013</v>
      </c>
      <c r="L30" s="81">
        <f>COUNTIF(hijos!B:B,C30)</f>
        <v>0</v>
      </c>
      <c r="M30" s="83">
        <f>COUNTIFS(hijos!B:B,C30,hijos!I:I,1)</f>
        <v>0</v>
      </c>
      <c r="N30" s="84">
        <f>COUNTIFS(hijos!B:B,C30,hijos!J:J,1)</f>
        <v>0</v>
      </c>
      <c r="O30" s="84">
        <f>COUNTIFS(hijos!B:B,C30,hijos!K:K,1)</f>
        <v>0</v>
      </c>
      <c r="P30" s="84">
        <f>COUNTIFS(hijos!B:B,C30,hijos!L:L,1)</f>
        <v>0</v>
      </c>
      <c r="Q30" s="84">
        <f t="shared" si="1"/>
        <v>0</v>
      </c>
      <c r="R30" s="81">
        <f t="array" ref="R30">XLOOKUP(C30,datos_personales[id:],datos_personales[Tel. Contacto:],"no dato",0,1)</f>
        <v>1173662195</v>
      </c>
      <c r="S30" s="81" t="str">
        <f t="array" ref="S30">XLOOKUP(C30,datos_personales[id:],datos_personales[E-Mail:],"no dato",0,1)</f>
        <v>nikkoxeneixe@gmail.com</v>
      </c>
      <c r="T30" s="81" t="str">
        <f t="array" ref="T30">XLOOKUP(R30,telefonos_afiliados[numeros_loys],telefonos_afiliados[esta],"no esta",0,1)</f>
        <v>1</v>
      </c>
      <c r="U30" s="80"/>
      <c r="V30" s="104"/>
      <c r="W30" s="78"/>
    </row>
    <row r="31" ht="15.75" hidden="1" customHeight="1">
      <c r="A31" s="79"/>
      <c r="B31" s="80"/>
      <c r="C31" s="88">
        <f>datos_personales[id:]</f>
        <v>30440348</v>
      </c>
      <c r="D31" s="88" t="str">
        <f t="array" ref="D31">XLOOKUP(C31,datos_laborales[clave_foranea],datos_laborales[Relacion de Dependencia],"dato no encontrado",0,1)</f>
        <v>monotributista</v>
      </c>
      <c r="E31" s="80" t="str">
        <f t="array" ref="E31">XLOOKUP(C31,datos_delegados[clave_foranea:],datos_delegados[En Actividad]," ",0,1)</f>
        <v> </v>
      </c>
      <c r="F31" s="88" t="str">
        <f t="array" ref="F31">CONCATENATE(XLOOKUP(C31,datos_personales[id:],datos_personales[Apellido:],"no dato",0,1),", ",XLOOKUP(C31,datos_personales[id:],datos_personales[Nombre],"no dato",0,1))</f>
        <v>gimenez, monica susana</v>
      </c>
      <c r="G31" s="88">
        <f t="array" ref="G31">XLOOKUP(C31,datos_laborales[clave_foranea],datos_laborales[N° De Legajo],"no dato",0,1)</f>
        <v>766</v>
      </c>
      <c r="H31" s="89">
        <f t="array" ref="H31">XLOOKUP(C31,datos_laborales[clave_foranea], datos_laborales[Inicio Actividad:],"no dato",0,1)</f>
        <v>42736</v>
      </c>
      <c r="I31" s="88">
        <f t="array" ref="I31">XLOOKUP(C31,datos_laborales[clave_foranea],datos_laborales[Años en Actividad:],"no dato",0,1)</f>
        <v>8</v>
      </c>
      <c r="J31" s="88">
        <f t="array" ref="J31">XLOOKUP(C31,datos_personales[id:],datos_personales[D.n.i:],"no dato",0,1)</f>
        <v>30440348</v>
      </c>
      <c r="K31" s="89">
        <f t="array" ref="K31">XLOOKUP(C31,datos_personales[id:],datos_personales[Fecha Nacimiento:],"no dato",0,1)</f>
        <v>27746</v>
      </c>
      <c r="L31" s="88">
        <f>COUNTIF(hijos!B:B,C31)</f>
        <v>0</v>
      </c>
      <c r="M31" s="90">
        <f>COUNTIFS(hijos!B:B,C31,hijos!I:I,1)</f>
        <v>0</v>
      </c>
      <c r="N31" s="91">
        <f>COUNTIFS(hijos!B:B,C31,hijos!J:J,1)</f>
        <v>0</v>
      </c>
      <c r="O31" s="91">
        <f>COUNTIFS(hijos!B:B,C31,hijos!K:K,1)</f>
        <v>0</v>
      </c>
      <c r="P31" s="91">
        <f>COUNTIFS(hijos!B:B,C31,hijos!L:L,1)</f>
        <v>0</v>
      </c>
      <c r="Q31" s="91">
        <f t="shared" si="1"/>
        <v>0</v>
      </c>
      <c r="R31" s="88">
        <f t="array" ref="R31">XLOOKUP(C31,datos_personales[id:],datos_personales[Tel. Contacto:],"no dato",0,1)</f>
        <v>1160234773</v>
      </c>
      <c r="S31" s="88" t="str">
        <f t="array" ref="S31">XLOOKUP(C31,datos_personales[id:],datos_personales[E-Mail:],"no dato",0,1)</f>
        <v>moni_181275@hotmail.com</v>
      </c>
      <c r="T31" s="88" t="str">
        <f t="array" ref="T31">XLOOKUP(R31,telefonos_afiliados[numeros_loys],telefonos_afiliados[esta],"no esta",0,1)</f>
        <v>1</v>
      </c>
      <c r="U31" s="80"/>
      <c r="V31" s="104"/>
      <c r="W31" s="78"/>
    </row>
    <row r="32" ht="15.75" hidden="1" customHeight="1">
      <c r="A32" s="79"/>
      <c r="B32" s="80"/>
      <c r="C32" s="81">
        <f>datos_personales[id:]</f>
        <v>30211914</v>
      </c>
      <c r="D32" s="81" t="str">
        <f t="array" ref="D32">XLOOKUP(C32,datos_laborales[clave_foranea],datos_laborales[Relacion de Dependencia],"dato no encontrado",0,1)</f>
        <v>monotributista</v>
      </c>
      <c r="E32" s="80" t="str">
        <f t="array" ref="E32">XLOOKUP(C32,datos_delegados[clave_foranea:],datos_delegados[En Actividad]," ",0,1)</f>
        <v> </v>
      </c>
      <c r="F32" s="81" t="str">
        <f t="array" ref="F32">CONCATENATE(XLOOKUP(C32,datos_personales[id:],datos_personales[Apellido:],"no dato",0,1),", ",XLOOKUP(C32,datos_personales[id:],datos_personales[Nombre],"no dato",0,1))</f>
        <v>jaime, emilse solange</v>
      </c>
      <c r="G32" s="81">
        <f t="array" ref="G32">XLOOKUP(C32,datos_laborales[clave_foranea],datos_laborales[N° De Legajo],"no dato",0,1)</f>
        <v>2290</v>
      </c>
      <c r="H32" s="82">
        <f t="array" ref="H32">XLOOKUP(C32,datos_laborales[clave_foranea], datos_laborales[Inicio Actividad:],"no dato",0,1)</f>
        <v>45034</v>
      </c>
      <c r="I32" s="81">
        <f t="array" ref="I32">XLOOKUP(C32,datos_laborales[clave_foranea],datos_laborales[Años en Actividad:],"no dato",0,1)</f>
        <v>2</v>
      </c>
      <c r="J32" s="81">
        <f t="array" ref="J32">XLOOKUP(C32,datos_personales[id:],datos_personales[D.n.i:],"no dato",0,1)</f>
        <v>30211914</v>
      </c>
      <c r="K32" s="82">
        <f t="array" ref="K32">XLOOKUP(C32,datos_personales[id:],datos_personales[Fecha Nacimiento:],"no dato",0,1)</f>
        <v>30410</v>
      </c>
      <c r="L32" s="81">
        <f>COUNTIF(hijos!B:B,C32)</f>
        <v>1</v>
      </c>
      <c r="M32" s="83">
        <f>COUNTIFS(hijos!B:B,C32,hijos!I:I,1)</f>
        <v>0</v>
      </c>
      <c r="N32" s="84">
        <f>COUNTIFS(hijos!B:B,C32,hijos!J:J,1)</f>
        <v>0</v>
      </c>
      <c r="O32" s="84">
        <f>COUNTIFS(hijos!B:B,C32,hijos!K:K,1)</f>
        <v>0</v>
      </c>
      <c r="P32" s="84">
        <f>COUNTIFS(hijos!B:B,C32,hijos!L:L,1)</f>
        <v>1</v>
      </c>
      <c r="Q32" s="84">
        <f t="shared" si="1"/>
        <v>1</v>
      </c>
      <c r="R32" s="81">
        <f t="array" ref="R32">XLOOKUP(C32,datos_personales[id:],datos_personales[Tel. Contacto:],"no dato",0,1)</f>
        <v>1539209596</v>
      </c>
      <c r="S32" s="81" t="str">
        <f t="array" ref="S32">XLOOKUP(C32,datos_personales[id:],datos_personales[E-Mail:],"no dato",0,1)</f>
        <v>emilse_jaime@hotmail.com</v>
      </c>
      <c r="T32" s="81" t="str">
        <f t="array" ref="T32">XLOOKUP(R32,telefonos_afiliados[numeros_loys],telefonos_afiliados[esta],"no esta",0,1)</f>
        <v>no esta</v>
      </c>
      <c r="U32" s="80"/>
      <c r="V32" s="104"/>
      <c r="W32" s="78"/>
    </row>
    <row r="33" ht="15.75" hidden="1" customHeight="1">
      <c r="A33" s="79"/>
      <c r="B33" s="80"/>
      <c r="C33" s="88">
        <f>datos_personales[id:]</f>
        <v>40873767</v>
      </c>
      <c r="D33" s="88" t="str">
        <f t="array" ref="D33">XLOOKUP(C33,datos_laborales[clave_foranea],datos_laborales[Relacion de Dependencia],"dato no encontrado",0,1)</f>
        <v>monotributista</v>
      </c>
      <c r="E33" s="80" t="str">
        <f t="array" ref="E33">XLOOKUP(C33,datos_delegados[clave_foranea:],datos_delegados[En Actividad]," ",0,1)</f>
        <v> </v>
      </c>
      <c r="F33" s="88" t="str">
        <f t="array" ref="F33">CONCATENATE(XLOOKUP(C33,datos_personales[id:],datos_personales[Apellido:],"no dato",0,1),", ",XLOOKUP(C33,datos_personales[id:],datos_personales[Nombre],"no dato",0,1))</f>
        <v>tuzes, maria ester</v>
      </c>
      <c r="G33" s="88">
        <f t="array" ref="G33">XLOOKUP(C33,datos_laborales[clave_foranea],datos_laborales[N° De Legajo],"no dato",0,1)</f>
        <v>2376</v>
      </c>
      <c r="H33" s="89">
        <f t="array" ref="H33">XLOOKUP(C33,datos_laborales[clave_foranea], datos_laborales[Inicio Actividad:],"no dato",0,1)</f>
        <v>45020</v>
      </c>
      <c r="I33" s="88">
        <f t="array" ref="I33">XLOOKUP(C33,datos_laborales[clave_foranea],datos_laborales[Años en Actividad:],"no dato",0,1)</f>
        <v>2</v>
      </c>
      <c r="J33" s="88">
        <f t="array" ref="J33">XLOOKUP(C33,datos_personales[id:],datos_personales[D.n.i:],"no dato",0,1)</f>
        <v>40873767</v>
      </c>
      <c r="K33" s="89">
        <f t="array" ref="K33">XLOOKUP(C33,datos_personales[id:],datos_personales[Fecha Nacimiento:],"no dato",0,1)</f>
        <v>32635</v>
      </c>
      <c r="L33" s="88">
        <f>COUNTIF(hijos!B:B,C33)</f>
        <v>2</v>
      </c>
      <c r="M33" s="90">
        <f>COUNTIFS(hijos!B:B,C33,hijos!I:I,1)</f>
        <v>0</v>
      </c>
      <c r="N33" s="91">
        <f>COUNTIFS(hijos!B:B,C33,hijos!J:J,1)</f>
        <v>0</v>
      </c>
      <c r="O33" s="91">
        <f>COUNTIFS(hijos!B:B,C33,hijos!K:K,1)</f>
        <v>1</v>
      </c>
      <c r="P33" s="91">
        <f>COUNTIFS(hijos!B:B,C33,hijos!L:L,1)</f>
        <v>1</v>
      </c>
      <c r="Q33" s="91">
        <f t="shared" si="1"/>
        <v>2</v>
      </c>
      <c r="R33" s="103">
        <f t="array" ref="R33">XLOOKUP(C33,datos_personales[id:],datos_personales[Tel. Contacto:],"no dato",0,1)</f>
        <v>1140554236</v>
      </c>
      <c r="S33" s="88" t="str">
        <f t="array" ref="S33">XLOOKUP(C33,datos_personales[id:],datos_personales[E-Mail:],"no dato",0,1)</f>
        <v>martuzesesterm@gmail.com</v>
      </c>
      <c r="T33" s="88" t="str">
        <f t="array" ref="T33">XLOOKUP(R33,telefonos_afiliados[numeros_loys],telefonos_afiliados[esta],"no esta",0,1)</f>
        <v>1</v>
      </c>
      <c r="U33" s="88" t="str">
        <f t="array" ref="U33">XLOOKUP(C33,datos_laborales[id:],datos_laborales[renuncio],"no dato",0,1)</f>
        <v>no dato</v>
      </c>
      <c r="V33" s="105" t="str">
        <f t="array" ref="V33">XLOOKUP(C33,datos_laborales[clave_foranea],datos_laborales[tiene_ficha_pdf],"no tiene ficha pdf",0,1)</f>
        <v>no tiene en pdf</v>
      </c>
      <c r="W33" s="78"/>
    </row>
    <row r="34" ht="15.75" hidden="1" customHeight="1">
      <c r="A34" s="79"/>
      <c r="B34" s="80"/>
      <c r="C34" s="81">
        <f>datos_personales[id:]</f>
        <v>94075255</v>
      </c>
      <c r="D34" s="81" t="str">
        <f t="array" ref="D34">XLOOKUP(C34,datos_laborales[clave_foranea],datos_laborales[Relacion de Dependencia],"dato no encontrado",0,1)</f>
        <v>monotributista</v>
      </c>
      <c r="E34" s="80" t="str">
        <f t="array" ref="E34">XLOOKUP(C34,datos_delegados[clave_foranea:],datos_delegados[En Actividad]," ",0,1)</f>
        <v> </v>
      </c>
      <c r="F34" s="81" t="str">
        <f t="array" ref="F34">CONCATENATE(XLOOKUP(C34,datos_personales[id:],datos_personales[Apellido:],"no dato",0,1),", ",XLOOKUP(C34,datos_personales[id:],datos_personales[Nombre],"no dato",0,1))</f>
        <v>benittez, mirian celeste</v>
      </c>
      <c r="G34" s="81">
        <f t="array" ref="G34">XLOOKUP(C34,datos_laborales[clave_foranea],datos_laborales[N° De Legajo],"no dato",0,1)</f>
        <v>3106</v>
      </c>
      <c r="H34" s="82">
        <f t="array" ref="H34">XLOOKUP(C34,datos_laborales[clave_foranea], datos_laborales[Inicio Actividad:],"no dato",0,1)</f>
        <v>45290</v>
      </c>
      <c r="I34" s="81">
        <f t="array" ref="I34">XLOOKUP(C34,datos_laborales[clave_foranea],datos_laborales[Años en Actividad:],"no dato",0,1)</f>
        <v>2</v>
      </c>
      <c r="J34" s="81">
        <f t="array" ref="J34">XLOOKUP(C34,datos_personales[id:],datos_personales[D.n.i:],"no dato",0,1)</f>
        <v>94075255</v>
      </c>
      <c r="K34" s="82">
        <f t="array" ref="K34">XLOOKUP(C34,datos_personales[id:],datos_personales[Fecha Nacimiento:],"no dato",0,1)</f>
        <v>27897</v>
      </c>
      <c r="L34" s="81">
        <f>COUNTIF(hijos!B:B,C34)</f>
        <v>0</v>
      </c>
      <c r="M34" s="83">
        <f>COUNTIFS(hijos!B:B,C34,hijos!I:I,1)</f>
        <v>0</v>
      </c>
      <c r="N34" s="84">
        <f>COUNTIFS(hijos!B:B,C34,hijos!J:J,1)</f>
        <v>0</v>
      </c>
      <c r="O34" s="84">
        <f>COUNTIFS(hijos!B:B,C34,hijos!K:K,1)</f>
        <v>0</v>
      </c>
      <c r="P34" s="84">
        <f>COUNTIFS(hijos!B:B,C34,hijos!L:L,1)</f>
        <v>0</v>
      </c>
      <c r="Q34" s="84">
        <f t="shared" si="1"/>
        <v>0</v>
      </c>
      <c r="R34" s="81">
        <f t="array" ref="R34">XLOOKUP(C34,datos_personales[id:],datos_personales[Tel. Contacto:],"no dato",0,1)</f>
        <v>1161619314</v>
      </c>
      <c r="S34" s="81" t="str">
        <f t="array" ref="S34">XLOOKUP(C34,datos_personales[id:],datos_personales[E-Mail:],"no dato",0,1)</f>
        <v>micebe2017@gmail.com</v>
      </c>
      <c r="T34" s="81" t="str">
        <f t="array" ref="T34">XLOOKUP(R34,telefonos_afiliados[numeros_loys],telefonos_afiliados[esta],"no esta",0,1)</f>
        <v>1</v>
      </c>
      <c r="U34" s="80"/>
      <c r="V34" s="104"/>
      <c r="W34" s="78"/>
    </row>
    <row r="35" ht="15.75" hidden="1" customHeight="1">
      <c r="A35" s="79"/>
      <c r="B35" s="80"/>
      <c r="C35" s="94">
        <f>datos_personales[id:]</f>
        <v>29064893</v>
      </c>
      <c r="D35" s="94" t="str">
        <f t="array" ref="D35">XLOOKUP(C35,datos_laborales[clave_foranea],datos_laborales[Relacion de Dependencia],"dato no encontrado",0,1)</f>
        <v>monotributista</v>
      </c>
      <c r="E35" s="94">
        <f t="array" ref="E35">XLOOKUP(C35,datos_delegados[clave_foranea:],datos_delegados[En Actividad]," ",0,1)</f>
        <v>1</v>
      </c>
      <c r="F35" s="94" t="str">
        <f t="array" ref="F35">CONCATENATE(XLOOKUP(C35,datos_personales[id:],datos_personales[Apellido:],"no dato",0,1),", ",XLOOKUP(C35,datos_personales[id:],datos_personales[Nombre],"no dato",0,1))</f>
        <v>aquino, emilio javier</v>
      </c>
      <c r="G35" s="94">
        <f t="array" ref="G35">XLOOKUP(C35,datos_laborales[clave_foranea],datos_laborales[N° De Legajo],"no dato",0,1)</f>
        <v>1677</v>
      </c>
      <c r="H35" s="95">
        <f t="array" ref="H35">XLOOKUP(C35,datos_laborales[clave_foranea], datos_laborales[Inicio Actividad:],"no dato",0,1)</f>
        <v>43617</v>
      </c>
      <c r="I35" s="94">
        <f t="array" ref="I35">XLOOKUP(C35,datos_laborales[clave_foranea],datos_laborales[Años en Actividad:],"no dato",0,1)</f>
        <v>6</v>
      </c>
      <c r="J35" s="94">
        <f t="array" ref="J35">XLOOKUP(C35,datos_personales[id:],datos_personales[D.n.i:],"no dato",0,1)</f>
        <v>29064893</v>
      </c>
      <c r="K35" s="95">
        <f t="array" ref="K35">XLOOKUP(C35,datos_personales[id:],datos_personales[Fecha Nacimiento:],"no dato",0,1)</f>
        <v>29845</v>
      </c>
      <c r="L35" s="94">
        <f>COUNTIF(hijos!B:B,C35)</f>
        <v>3</v>
      </c>
      <c r="M35" s="96">
        <f>COUNTIFS(hijos!B:B,C35,hijos!I:I,1)</f>
        <v>0</v>
      </c>
      <c r="N35" s="97">
        <f>COUNTIFS(hijos!B:B,C35,hijos!J:J,1)</f>
        <v>0</v>
      </c>
      <c r="O35" s="97">
        <f>COUNTIFS(hijos!B:B,C35,hijos!K:K,1)</f>
        <v>1</v>
      </c>
      <c r="P35" s="97">
        <f>COUNTIFS(hijos!B:B,C35,hijos!L:L,1)</f>
        <v>2</v>
      </c>
      <c r="Q35" s="97">
        <f t="shared" si="1"/>
        <v>3</v>
      </c>
      <c r="R35" s="94">
        <f t="array" ref="R35">XLOOKUP(C35,datos_personales[id:],datos_personales[Tel. Contacto:],"no dato",0,1)</f>
        <v>1125208147</v>
      </c>
      <c r="S35" s="94" t="str">
        <f t="array" ref="S35">XLOOKUP(C35,datos_personales[id:],datos_personales[E-Mail:],"no dato",0,1)</f>
        <v>aquinoemiliojavier@gmail.com</v>
      </c>
      <c r="T35" s="94" t="str">
        <f t="array" ref="T35">XLOOKUP(R35,telefonos_afiliados[numeros_loys],telefonos_afiliados[esta],"no esta",0,1)</f>
        <v>1</v>
      </c>
      <c r="U35" s="94" t="str">
        <f t="array" ref="U35">XLOOKUP(C35,datos_laborales[id:],datos_laborales[renuncio],"no dato",0,1)</f>
        <v>no dato</v>
      </c>
      <c r="V35" s="104"/>
      <c r="W35" s="78"/>
    </row>
    <row r="36" ht="15.75" hidden="1" customHeight="1">
      <c r="A36" s="79"/>
      <c r="B36" s="80"/>
      <c r="C36" s="94">
        <f>datos_personales[id:]</f>
        <v>37388128</v>
      </c>
      <c r="D36" s="94" t="str">
        <f t="array" ref="D36">XLOOKUP(C36,datos_laborales[clave_foranea],datos_laborales[Relacion de Dependencia],"dato no encontrado",0,1)</f>
        <v>Monotributista</v>
      </c>
      <c r="E36" s="94">
        <f t="array" ref="E36">XLOOKUP(C36,datos_delegados[clave_foranea:],datos_delegados[En Actividad]," ",0,1)</f>
        <v>1</v>
      </c>
      <c r="F36" s="94" t="str">
        <f t="array" ref="F36">CONCATENATE(XLOOKUP(C36,datos_personales[id:],datos_personales[Apellido:],"no dato",0,1),", ",XLOOKUP(C36,datos_personales[id:],datos_personales[Nombre],"no dato",0,1))</f>
        <v>caballero reyna,  manuel ignacio</v>
      </c>
      <c r="G36" s="94">
        <f t="array" ref="G36">XLOOKUP(C36,datos_laborales[clave_foranea],datos_laborales[N° De Legajo],"no dato",0,1)</f>
        <v>1112</v>
      </c>
      <c r="H36" s="95">
        <f t="array" ref="H36">XLOOKUP(C36,datos_laborales[clave_foranea], datos_laborales[Inicio Actividad:],"no dato",0,1)</f>
        <v>42948</v>
      </c>
      <c r="I36" s="94">
        <f t="array" ref="I36">XLOOKUP(C36,datos_laborales[clave_foranea],datos_laborales[Años en Actividad:],"no dato",0,1)</f>
        <v>8</v>
      </c>
      <c r="J36" s="94">
        <f t="array" ref="J36">XLOOKUP(C36,datos_personales[id:],datos_personales[D.n.i:],"no dato",0,1)</f>
        <v>37388128</v>
      </c>
      <c r="K36" s="106" t="str">
        <f t="array" ref="K36">XLOOKUP(C36,datos_personales[id:],datos_personales[Fecha Nacimiento:],"no dato",0,1)</f>
        <v/>
      </c>
      <c r="L36" s="94">
        <f>COUNTIF(hijos!B:B,C36)</f>
        <v>3</v>
      </c>
      <c r="M36" s="96">
        <f>COUNTIFS(hijos!B:B,C36,hijos!I:I,1)</f>
        <v>0</v>
      </c>
      <c r="N36" s="97">
        <f>COUNTIFS(hijos!B:B,C36,hijos!J:J,1)</f>
        <v>1</v>
      </c>
      <c r="O36" s="97">
        <f>COUNTIFS(hijos!B:B,C36,hijos!K:K,1)</f>
        <v>1</v>
      </c>
      <c r="P36" s="97">
        <f>COUNTIFS(hijos!B:B,C36,hijos!L:L,1)</f>
        <v>1</v>
      </c>
      <c r="Q36" s="97">
        <f t="shared" si="1"/>
        <v>3</v>
      </c>
      <c r="R36" s="94">
        <f t="array" ref="R36">XLOOKUP(C36,datos_personales[id:],datos_personales[Tel. Contacto:],"no dato",0,1)</f>
        <v>1169729268</v>
      </c>
      <c r="S36" s="94" t="str">
        <f t="array" ref="S36">XLOOKUP(C36,datos_personales[id:],datos_personales[E-Mail:],"no dato",0,1)</f>
        <v>manucaballeroreyna2015@gmail.com</v>
      </c>
      <c r="T36" s="94" t="str">
        <f t="array" ref="T36">XLOOKUP(R36,telefonos_afiliados[numeros_loys],telefonos_afiliados[esta],"no esta",0,1)</f>
        <v>no esta</v>
      </c>
      <c r="U36" s="94" t="str">
        <f t="array" ref="U36">XLOOKUP(C36,datos_laborales[id:],datos_laborales[renuncio],"no dato",0,1)</f>
        <v>no dato</v>
      </c>
      <c r="V36" s="104"/>
      <c r="W36" s="78"/>
    </row>
    <row r="37" ht="15.75" hidden="1" customHeight="1">
      <c r="A37" s="79"/>
      <c r="B37" s="80"/>
      <c r="C37" s="88">
        <f>datos_personales[id:]</f>
        <v>31403780</v>
      </c>
      <c r="D37" s="88" t="str">
        <f t="array" ref="D37">XLOOKUP(C37,datos_laborales[clave_foranea],datos_laborales[Relacion de Dependencia],"dato no encontrado",0,1)</f>
        <v>Monotributista</v>
      </c>
      <c r="E37" s="80" t="str">
        <f t="array" ref="E37">XLOOKUP(C37,datos_delegados[clave_foranea:],datos_delegados[En Actividad]," ",0,1)</f>
        <v> </v>
      </c>
      <c r="F37" s="88" t="str">
        <f t="array" ref="F37">CONCATENATE(XLOOKUP(C37,datos_personales[id:],datos_personales[Apellido:],"no dato",0,1),", ",XLOOKUP(C37,datos_personales[id:],datos_personales[Nombre],"no dato",0,1))</f>
        <v>cardozo,  gladys mabel</v>
      </c>
      <c r="G37" s="88">
        <f t="array" ref="G37">XLOOKUP(C37,datos_laborales[clave_foranea],datos_laborales[N° De Legajo],"no dato",0,1)</f>
        <v>729</v>
      </c>
      <c r="H37" s="89">
        <f t="array" ref="H37">XLOOKUP(C37,datos_laborales[clave_foranea], datos_laborales[Inicio Actividad:],"no dato",0,1)</f>
        <v>42948</v>
      </c>
      <c r="I37" s="88">
        <f t="array" ref="I37">XLOOKUP(C37,datos_laborales[clave_foranea],datos_laborales[Años en Actividad:],"no dato",0,1)</f>
        <v>8</v>
      </c>
      <c r="J37" s="88">
        <f t="array" ref="J37">XLOOKUP(C37,datos_personales[id:],datos_personales[D.n.i:],"no dato",0,1)</f>
        <v>31403780</v>
      </c>
      <c r="K37" s="89">
        <f t="array" ref="K37">XLOOKUP(C37,datos_personales[id:],datos_personales[Fecha Nacimiento:],"no dato",0,1)</f>
        <v>31012</v>
      </c>
      <c r="L37" s="88">
        <f>COUNTIF(hijos!B:B,C37)</f>
        <v>2</v>
      </c>
      <c r="M37" s="90">
        <f>COUNTIFS(hijos!B:B,C37,hijos!I:I,1)</f>
        <v>0</v>
      </c>
      <c r="N37" s="91">
        <f>COUNTIFS(hijos!B:B,C37,hijos!J:J,1)</f>
        <v>0</v>
      </c>
      <c r="O37" s="91">
        <f>COUNTIFS(hijos!B:B,C37,hijos!K:K,1)</f>
        <v>1</v>
      </c>
      <c r="P37" s="91">
        <f>COUNTIFS(hijos!B:B,C37,hijos!L:L,1)</f>
        <v>1</v>
      </c>
      <c r="Q37" s="91">
        <f t="shared" si="1"/>
        <v>2</v>
      </c>
      <c r="R37" s="103">
        <f t="array" ref="R37">XLOOKUP(C37,datos_personales[id:],datos_personales[Tel. Contacto:],"no dato",0,1)</f>
        <v>1137920163</v>
      </c>
      <c r="S37" s="88" t="str">
        <f t="array" ref="S37">XLOOKUP(C37,datos_personales[id:],datos_personales[E-Mail:],"no dato",0,1)</f>
        <v>mabu21@gmail.com</v>
      </c>
      <c r="T37" s="88" t="str">
        <f t="array" ref="T37">XLOOKUP(R37,telefonos_afiliados[numeros_loys],telefonos_afiliados[esta],"no esta",0,1)</f>
        <v>no esta</v>
      </c>
      <c r="U37" s="88" t="str">
        <f t="array" ref="U37">XLOOKUP(C37,datos_laborales[id:],datos_laborales[renuncio],"no dato",0,1)</f>
        <v>no dato</v>
      </c>
      <c r="V37" s="93" t="str">
        <f t="array" ref="V37">XLOOKUP(C37,datos_laborales[clave_foranea],datos_laborales[tiene_ficha_pdf],"no tiene ficha pdf",0,1)</f>
        <v>no tiene en pdf</v>
      </c>
      <c r="W37" s="78"/>
    </row>
    <row r="38" ht="15.75" hidden="1" customHeight="1">
      <c r="A38" s="79"/>
      <c r="B38" s="80"/>
      <c r="C38" s="81">
        <f>datos_personales[id:]</f>
        <v>41917769</v>
      </c>
      <c r="D38" s="81" t="str">
        <f t="array" ref="D38">XLOOKUP(C38,datos_laborales[clave_foranea],datos_laborales[Relacion de Dependencia],"dato no encontrado",0,1)</f>
        <v>Monotributista</v>
      </c>
      <c r="E38" s="80" t="str">
        <f t="array" ref="E38">XLOOKUP(C38,datos_delegados[clave_foranea:],datos_delegados[En Actividad]," ",0,1)</f>
        <v> </v>
      </c>
      <c r="F38" s="81" t="str">
        <f t="array" ref="F38">CONCATENATE(XLOOKUP(C38,datos_personales[id:],datos_personales[Apellido:],"no dato",0,1),", ",XLOOKUP(C38,datos_personales[id:],datos_personales[Nombre],"no dato",0,1))</f>
        <v>cipriano,  facundo nicolas</v>
      </c>
      <c r="G38" s="81">
        <f t="array" ref="G38">XLOOKUP(C38,datos_laborales[clave_foranea],datos_laborales[N° De Legajo],"no dato",0,1)</f>
        <v>1923</v>
      </c>
      <c r="H38" s="82">
        <f t="array" ref="H38">XLOOKUP(C38,datos_laborales[clave_foranea], datos_laborales[Inicio Actividad:],"no dato",0,1)</f>
        <v>44713</v>
      </c>
      <c r="I38" s="81">
        <f t="array" ref="I38">XLOOKUP(C38,datos_laborales[clave_foranea],datos_laborales[Años en Actividad:],"no dato",0,1)</f>
        <v>3</v>
      </c>
      <c r="J38" s="81">
        <f t="array" ref="J38">XLOOKUP(C38,datos_personales[id:],datos_personales[D.n.i:],"no dato",0,1)</f>
        <v>41917769</v>
      </c>
      <c r="K38" s="106" t="str">
        <f t="array" ref="K38">XLOOKUP(C38,datos_personales[id:],datos_personales[Fecha Nacimiento:],"no dato",0,1)</f>
        <v/>
      </c>
      <c r="L38" s="81">
        <f>COUNTIF(hijos!B:B,C38)</f>
        <v>0</v>
      </c>
      <c r="M38" s="83">
        <f>COUNTIFS(hijos!B:B,C38,hijos!I:I,1)</f>
        <v>0</v>
      </c>
      <c r="N38" s="84">
        <f>COUNTIFS(hijos!B:B,C38,hijos!J:J,1)</f>
        <v>0</v>
      </c>
      <c r="O38" s="84">
        <f>COUNTIFS(hijos!B:B,C38,hijos!K:K,1)</f>
        <v>0</v>
      </c>
      <c r="P38" s="84">
        <f>COUNTIFS(hijos!B:B,C38,hijos!L:L,1)</f>
        <v>0</v>
      </c>
      <c r="Q38" s="84">
        <f t="shared" si="1"/>
        <v>0</v>
      </c>
      <c r="R38" s="85">
        <f t="array" ref="R38">XLOOKUP(C38,datos_personales[id:],datos_personales[Tel. Contacto:],"no dato",0,1)</f>
        <v>1134858925</v>
      </c>
      <c r="S38" s="81" t="str">
        <f t="array" ref="S38">XLOOKUP(C38,datos_personales[id:],datos_personales[E-Mail:],"no dato",0,1)</f>
        <v>ciprianofacundonicolas@gmail.com</v>
      </c>
      <c r="T38" s="81" t="str">
        <f t="array" ref="T38">XLOOKUP(R38,telefonos_afiliados[numeros_loys],telefonos_afiliados[esta],"no esta",0,1)</f>
        <v>1</v>
      </c>
      <c r="U38" s="81" t="str">
        <f t="array" ref="U38">XLOOKUP(C38,datos_personales[id:],datos_laborales[renuncio],"no dato",0,1)</f>
        <v>#N/A</v>
      </c>
      <c r="V38" s="87">
        <f t="array" ref="V38">XLOOKUP(C38,datos_laborales[clave_foranea],datos_laborales[tiene_ficha_pdf],"no tiene ficha pdf",0,1)</f>
        <v>1</v>
      </c>
      <c r="W38" s="78"/>
    </row>
    <row r="39" ht="15.75" hidden="1" customHeight="1">
      <c r="A39" s="79"/>
      <c r="B39" s="80"/>
      <c r="C39" s="94">
        <f>datos_personales[id:]</f>
        <v>22826482</v>
      </c>
      <c r="D39" s="94" t="str">
        <f t="array" ref="D39">XLOOKUP(C39,datos_laborales[clave_foranea],datos_laborales[Relacion de Dependencia],"dato no encontrado",0,1)</f>
        <v>Planta Permanente</v>
      </c>
      <c r="E39" s="94">
        <f t="array" ref="E39">XLOOKUP(C39,datos_delegados[clave_foranea:],datos_delegados[En Actividad]," ",0,1)</f>
        <v>1</v>
      </c>
      <c r="F39" s="94" t="str">
        <f t="array" ref="F39">CONCATENATE(XLOOKUP(C39,datos_personales[id:],datos_personales[Apellido:],"no dato",0,1),", ",XLOOKUP(C39,datos_personales[id:],datos_personales[Nombre],"no dato",0,1))</f>
        <v>corarelu,  alejandra </v>
      </c>
      <c r="G39" s="94">
        <f t="array" ref="G39">XLOOKUP(C39,datos_laborales[clave_foranea],datos_laborales[N° De Legajo],"no dato",0,1)</f>
        <v>130</v>
      </c>
      <c r="H39" s="95">
        <f t="array" ref="H39">XLOOKUP(C39,datos_laborales[clave_foranea], datos_laborales[Inicio Actividad:],"no dato",0,1)</f>
        <v>42675</v>
      </c>
      <c r="I39" s="94">
        <f t="array" ref="I39">XLOOKUP(C39,datos_laborales[clave_foranea],datos_laborales[Años en Actividad:],"no dato",0,1)</f>
        <v>9</v>
      </c>
      <c r="J39" s="94">
        <f t="array" ref="J39">XLOOKUP(C39,datos_personales[id:],datos_personales[D.n.i:],"no dato",0,1)</f>
        <v>22826482</v>
      </c>
      <c r="K39" s="95">
        <f t="array" ref="K39">XLOOKUP(C39,datos_personales[id:],datos_personales[Fecha Nacimiento:],"no dato",0,1)</f>
        <v>26532</v>
      </c>
      <c r="L39" s="94">
        <f>COUNTIF(hijos!B:B,C39)</f>
        <v>2</v>
      </c>
      <c r="M39" s="96">
        <f>COUNTIFS(hijos!B:B,C39,hijos!I:I,1)</f>
        <v>0</v>
      </c>
      <c r="N39" s="97">
        <f>COUNTIFS(hijos!B:B,C39,hijos!J:J,1)</f>
        <v>0</v>
      </c>
      <c r="O39" s="97">
        <f>COUNTIFS(hijos!B:B,C39,hijos!K:K,1)</f>
        <v>0</v>
      </c>
      <c r="P39" s="97">
        <f>COUNTIFS(hijos!B:B,C39,hijos!L:L,1)</f>
        <v>2</v>
      </c>
      <c r="Q39" s="97">
        <f t="shared" si="1"/>
        <v>2</v>
      </c>
      <c r="R39" s="98">
        <f t="array" ref="R39">XLOOKUP(C39,datos_personales[id:],datos_personales[Tel. Contacto:],"no dato",0,1)</f>
        <v>1166482926</v>
      </c>
      <c r="S39" s="94" t="str">
        <f t="array" ref="S39">XLOOKUP(C39,datos_personales[id:],datos_personales[E-Mail:],"no dato",0,1)</f>
        <v>alejandracorarelu@hotmail.com</v>
      </c>
      <c r="T39" s="94" t="str">
        <f t="array" ref="T39">XLOOKUP(R39,telefonos_afiliados[numeros_loys],telefonos_afiliados[esta],"no esta",0,1)</f>
        <v>1</v>
      </c>
      <c r="U39" s="94" t="str">
        <f t="array" ref="U39">XLOOKUP(C39,datos_personales[id:],datos_laborales[renuncio],"no dato",0,1)</f>
        <v>#N/A</v>
      </c>
      <c r="V39" s="99" t="str">
        <f t="array" ref="V39">XLOOKUP(C39,datos_laborales[clave_foranea],datos_laborales[tiene_ficha_pdf],"no tiene ficha pdf",0,1)</f>
        <v>no tiene en pdf</v>
      </c>
      <c r="W39" s="78"/>
    </row>
    <row r="40" ht="15.75" hidden="1" customHeight="1">
      <c r="A40" s="79"/>
      <c r="B40" s="80"/>
      <c r="C40" s="81">
        <f>datos_personales[id:]</f>
        <v>37060301</v>
      </c>
      <c r="D40" s="81" t="str">
        <f t="array" ref="D40">XLOOKUP(C40,datos_laborales[clave_foranea],datos_laborales[Relacion de Dependencia],"dato no encontrado",0,1)</f>
        <v>Monotributista</v>
      </c>
      <c r="E40" s="80" t="str">
        <f t="array" ref="E40">XLOOKUP(C40,datos_delegados[clave_foranea:],datos_delegados[En Actividad]," ",0,1)</f>
        <v> </v>
      </c>
      <c r="F40" s="81" t="str">
        <f t="array" ref="F40">CONCATENATE(XLOOKUP(C40,datos_personales[id:],datos_personales[Apellido:],"no dato",0,1),", ",XLOOKUP(C40,datos_personales[id:],datos_personales[Nombre],"no dato",0,1))</f>
        <v>coronel,  alejandra noemi</v>
      </c>
      <c r="G40" s="81">
        <f t="array" ref="G40">XLOOKUP(C40,datos_laborales[clave_foranea],datos_laborales[N° De Legajo],"no dato",0,1)</f>
        <v>2883</v>
      </c>
      <c r="H40" s="106" t="str">
        <f t="array" ref="H40">XLOOKUP(C40,datos_laborales[clave_foranea], datos_laborales[Inicio Actividad:],"no dato",0,1)</f>
        <v/>
      </c>
      <c r="I40" s="81">
        <f t="array" ref="I40">XLOOKUP(C40,datos_laborales[clave_foranea],datos_laborales[Años en Actividad:],"no dato",0,1)</f>
        <v>126</v>
      </c>
      <c r="J40" s="81">
        <f t="array" ref="J40">XLOOKUP(C40,datos_personales[id:],datos_personales[D.n.i:],"no dato",0,1)</f>
        <v>37060301</v>
      </c>
      <c r="K40" s="82">
        <f t="array" ref="K40">XLOOKUP(C40,datos_personales[id:],datos_personales[Fecha Nacimiento:],"no dato",0,1)</f>
        <v>34084</v>
      </c>
      <c r="L40" s="81">
        <f>COUNTIF(hijos!B:B,C40)</f>
        <v>2</v>
      </c>
      <c r="M40" s="83">
        <f>COUNTIFS(hijos!B:B,C40,hijos!I:I,1)</f>
        <v>0</v>
      </c>
      <c r="N40" s="84">
        <f>COUNTIFS(hijos!B:B,C40,hijos!J:J,1)</f>
        <v>0</v>
      </c>
      <c r="O40" s="84">
        <f>COUNTIFS(hijos!B:B,C40,hijos!K:K,1)</f>
        <v>0</v>
      </c>
      <c r="P40" s="84">
        <f>COUNTIFS(hijos!B:B,C40,hijos!L:L,1)</f>
        <v>2</v>
      </c>
      <c r="Q40" s="84">
        <f t="shared" si="1"/>
        <v>2</v>
      </c>
      <c r="R40" s="92" t="str">
        <f t="array" ref="R40">XLOOKUP(C40,datos_personales[id:],datos_personales[Tel. Contacto:],"no dato",0,1)</f>
        <v/>
      </c>
      <c r="S40" s="81" t="str">
        <f t="array" ref="S40">XLOOKUP(C40,datos_personales[id:],datos_personales[E-Mail:],"no dato",0,1)</f>
        <v>coronel.alejandra21n@gmail.com</v>
      </c>
      <c r="T40" s="81" t="str">
        <f t="array" ref="T40">XLOOKUP(R40,telefonos_afiliados[numeros_loys],telefonos_afiliados[esta],"no esta",0,1)</f>
        <v>no esta</v>
      </c>
      <c r="U40" s="81" t="str">
        <f t="array" ref="U40">XLOOKUP(C40,datos_personales[id:],datos_laborales[renuncio],"no dato",0,1)</f>
        <v>#N/A</v>
      </c>
      <c r="V40" s="104"/>
      <c r="W40" s="78"/>
    </row>
    <row r="41" ht="15.75" hidden="1" customHeight="1">
      <c r="A41" s="79"/>
      <c r="B41" s="80"/>
      <c r="C41" s="88">
        <f>datos_personales[id:]</f>
        <v>21130792</v>
      </c>
      <c r="D41" s="88" t="str">
        <f t="array" ref="D41">XLOOKUP(C41,datos_laborales[clave_foranea],datos_laborales[Relacion de Dependencia],"dato no encontrado",0,1)</f>
        <v>Monotributista</v>
      </c>
      <c r="E41" s="80" t="str">
        <f t="array" ref="E41">XLOOKUP(C41,datos_delegados[clave_foranea:],datos_delegados[En Actividad]," ",0,1)</f>
        <v> </v>
      </c>
      <c r="F41" s="88" t="str">
        <f t="array" ref="F41">CONCATENATE(XLOOKUP(C41,datos_personales[id:],datos_personales[Apellido:],"no dato",0,1),", ",XLOOKUP(C41,datos_personales[id:],datos_personales[Nombre],"no dato",0,1))</f>
        <v>declavio,  maría cristina</v>
      </c>
      <c r="G41" s="88">
        <f t="array" ref="G41">XLOOKUP(C41,datos_laborales[clave_foranea],datos_laborales[N° De Legajo],"no dato",0,1)</f>
        <v>1579</v>
      </c>
      <c r="H41" s="89">
        <f t="array" ref="H41">XLOOKUP(C41,datos_laborales[clave_foranea], datos_laborales[Inicio Actividad:],"no dato",0,1)</f>
        <v>43497</v>
      </c>
      <c r="I41" s="88">
        <f t="array" ref="I41">XLOOKUP(C41,datos_laborales[clave_foranea],datos_laborales[Años en Actividad:],"no dato",0,1)</f>
        <v>6</v>
      </c>
      <c r="J41" s="88">
        <f t="array" ref="J41">XLOOKUP(C41,datos_personales[id:],datos_personales[D.n.i:],"no dato",0,1)</f>
        <v>21130792</v>
      </c>
      <c r="K41" s="89">
        <f t="array" ref="K41">XLOOKUP(C41,datos_personales[id:],datos_personales[Fecha Nacimiento:],"no dato",0,1)</f>
        <v>22594</v>
      </c>
      <c r="L41" s="88">
        <f>COUNTIF(hijos!B:B,C41)</f>
        <v>0</v>
      </c>
      <c r="M41" s="90">
        <f>COUNTIFS(hijos!B:B,C41,hijos!I:I,1)</f>
        <v>0</v>
      </c>
      <c r="N41" s="91">
        <f>COUNTIFS(hijos!B:B,C41,hijos!J:J,1)</f>
        <v>0</v>
      </c>
      <c r="O41" s="91">
        <f>COUNTIFS(hijos!B:B,C41,hijos!K:K,1)</f>
        <v>0</v>
      </c>
      <c r="P41" s="91">
        <f>COUNTIFS(hijos!B:B,C41,hijos!L:L,1)</f>
        <v>0</v>
      </c>
      <c r="Q41" s="91">
        <f t="shared" si="1"/>
        <v>0</v>
      </c>
      <c r="R41" s="103">
        <f t="array" ref="R41">XLOOKUP(C41,datos_personales[id:],datos_personales[Tel. Contacto:],"no dato",0,1)</f>
        <v>1161062052</v>
      </c>
      <c r="S41" s="88" t="str">
        <f t="array" ref="S41">XLOOKUP(C41,datos_personales[id:],datos_personales[E-Mail:],"no dato",0,1)</f>
        <v>Cristinadecla61@gmail .com</v>
      </c>
      <c r="T41" s="88" t="str">
        <f t="array" ref="T41">XLOOKUP(R41,telefonos_afiliados[numeros_loys],telefonos_afiliados[esta],"no esta",0,1)</f>
        <v>no esta</v>
      </c>
      <c r="U41" s="88" t="str">
        <f t="array" ref="U41">XLOOKUP(C41,datos_personales[id:],datos_laborales[renuncio],"no dato",0,1)</f>
        <v>#N/A</v>
      </c>
      <c r="V41" s="93" t="str">
        <f t="array" ref="V41">XLOOKUP(C41,datos_laborales[clave_foranea],datos_laborales[tiene_ficha_pdf],"no tiene ficha pdf",0,1)</f>
        <v>no tiene en pdf</v>
      </c>
      <c r="W41" s="78"/>
    </row>
    <row r="42" ht="15.75" hidden="1" customHeight="1">
      <c r="A42" s="79"/>
      <c r="B42" s="80"/>
      <c r="C42" s="94">
        <f>datos_personales[id:]</f>
        <v>24033237</v>
      </c>
      <c r="D42" s="94" t="str">
        <f t="array" ref="D42">XLOOKUP(C42,datos_laborales[clave_foranea],datos_laborales[Relacion de Dependencia],"dato no encontrado",0,1)</f>
        <v>Planta Transitoria</v>
      </c>
      <c r="E42" s="94">
        <f t="array" ref="E42">XLOOKUP(C42,datos_delegados[clave_foranea:],datos_delegados[En Actividad]," ",0,1)</f>
        <v>1</v>
      </c>
      <c r="F42" s="94" t="str">
        <f t="array" ref="F42">CONCATENATE(XLOOKUP(C42,datos_personales[id:],datos_personales[Apellido:],"no dato",0,1),", ",XLOOKUP(C42,datos_personales[id:],datos_personales[Nombre],"no dato",0,1))</f>
        <v>delluniversidad,  gabriela andrea</v>
      </c>
      <c r="G42" s="94">
        <f t="array" ref="G42">XLOOKUP(C42,datos_laborales[clave_foranea],datos_laborales[N° De Legajo],"no dato",0,1)</f>
        <v>303</v>
      </c>
      <c r="H42" s="95">
        <f t="array" ref="H42">XLOOKUP(C42,datos_laborales[clave_foranea], datos_laborales[Inicio Actividad:],"no dato",0,1)</f>
        <v>42983</v>
      </c>
      <c r="I42" s="94">
        <f t="array" ref="I42">XLOOKUP(C42,datos_laborales[clave_foranea],datos_laborales[Años en Actividad:],"no dato",0,1)</f>
        <v>8</v>
      </c>
      <c r="J42" s="94">
        <f t="array" ref="J42">XLOOKUP(C42,datos_personales[id:],datos_personales[D.n.i:],"no dato",0,1)</f>
        <v>24033237</v>
      </c>
      <c r="K42" s="107">
        <f t="array" ref="K42">XLOOKUP(C42,datos_personales[id:],datos_personales[Fecha Nacimiento:],"no dato",0,1)</f>
        <v>27233</v>
      </c>
      <c r="L42" s="94">
        <f>COUNTIF(hijos!B:B,C42)</f>
        <v>2</v>
      </c>
      <c r="M42" s="96">
        <f>COUNTIFS(hijos!B:B,C42,hijos!I:I,1)</f>
        <v>0</v>
      </c>
      <c r="N42" s="97">
        <f>COUNTIFS(hijos!B:B,C42,hijos!J:J,1)</f>
        <v>0</v>
      </c>
      <c r="O42" s="97">
        <f>COUNTIFS(hijos!B:B,C42,hijos!K:K,1)</f>
        <v>0</v>
      </c>
      <c r="P42" s="97">
        <f>COUNTIFS(hijos!B:B,C42,hijos!L:L,1)</f>
        <v>2</v>
      </c>
      <c r="Q42" s="97">
        <f t="shared" si="1"/>
        <v>2</v>
      </c>
      <c r="R42" s="94">
        <f t="array" ref="R42">XLOOKUP(C42,datos_personales[id:],datos_personales[Tel. Contacto:],"no dato",0,1)</f>
        <v>1125993935</v>
      </c>
      <c r="S42" s="94" t="str">
        <f t="array" ref="S42">XLOOKUP(C42,datos_personales[id:],datos_personales[E-Mail:],"no dato",0,1)</f>
        <v>gabanddell.gd@gmail.com </v>
      </c>
      <c r="T42" s="94" t="str">
        <f t="array" ref="T42">XLOOKUP(R42,telefonos_afiliados[numeros_loys],telefonos_afiliados[esta],"no esta",0,1)</f>
        <v>1</v>
      </c>
      <c r="U42" s="94" t="str">
        <f t="array" ref="U42">XLOOKUP(C42,datos_laborales[id:],datos_laborales[renuncio],"no dato",0,1)</f>
        <v>no dato</v>
      </c>
      <c r="V42" s="104"/>
      <c r="W42" s="78"/>
    </row>
    <row r="43" ht="15.75" hidden="1" customHeight="1">
      <c r="A43" s="79"/>
      <c r="B43" s="80"/>
      <c r="C43" s="88">
        <f>datos_personales[id:]</f>
        <v>22656778</v>
      </c>
      <c r="D43" s="88" t="str">
        <f t="array" ref="D43">XLOOKUP(C43,datos_laborales[clave_foranea],datos_laborales[Relacion de Dependencia],"dato no encontrado",0,1)</f>
        <v>Monotributista</v>
      </c>
      <c r="E43" s="80" t="str">
        <f t="array" ref="E43">XLOOKUP(C43,datos_delegados[clave_foranea:],datos_delegados[En Actividad]," ",0,1)</f>
        <v> </v>
      </c>
      <c r="F43" s="88" t="str">
        <f t="array" ref="F43">CONCATENATE(XLOOKUP(C43,datos_personales[id:],datos_personales[Apellido:],"no dato",0,1),", ",XLOOKUP(C43,datos_personales[id:],datos_personales[Nombre],"no dato",0,1))</f>
        <v>diego,  roxana claudia</v>
      </c>
      <c r="G43" s="88">
        <f t="array" ref="G43">XLOOKUP(C43,datos_laborales[clave_foranea],datos_laborales[N° De Legajo],"no dato",0,1)</f>
        <v>1116</v>
      </c>
      <c r="H43" s="89">
        <f t="array" ref="H43">XLOOKUP(C43,datos_laborales[clave_foranea], datos_laborales[Inicio Actividad:],"no dato",0,1)</f>
        <v>42954</v>
      </c>
      <c r="I43" s="88">
        <f t="array" ref="I43">XLOOKUP(C43,datos_laborales[clave_foranea],datos_laborales[Años en Actividad:],"no dato",0,1)</f>
        <v>8</v>
      </c>
      <c r="J43" s="88">
        <f t="array" ref="J43">XLOOKUP(C43,datos_personales[id:],datos_personales[D.n.i:],"no dato",0,1)</f>
        <v>22656778</v>
      </c>
      <c r="K43" s="89">
        <f t="array" ref="K43">XLOOKUP(C43,datos_personales[id:],datos_personales[Fecha Nacimiento:],"no dato",0,1)</f>
        <v>26429</v>
      </c>
      <c r="L43" s="88">
        <f>COUNTIF(hijos!B:B,C43)</f>
        <v>0</v>
      </c>
      <c r="M43" s="90">
        <f>COUNTIFS(hijos!B:B,C43,hijos!I:I,1)</f>
        <v>0</v>
      </c>
      <c r="N43" s="91">
        <f>COUNTIFS(hijos!B:B,C43,hijos!J:J,1)</f>
        <v>0</v>
      </c>
      <c r="O43" s="91">
        <f>COUNTIFS(hijos!B:B,C43,hijos!K:K,1)</f>
        <v>0</v>
      </c>
      <c r="P43" s="91">
        <f>COUNTIFS(hijos!B:B,C43,hijos!L:L,1)</f>
        <v>0</v>
      </c>
      <c r="Q43" s="91">
        <f t="shared" si="1"/>
        <v>0</v>
      </c>
      <c r="R43" s="103">
        <f t="array" ref="R43">XLOOKUP(C43,datos_personales[id:],datos_personales[Tel. Contacto:],"no dato",0,1)</f>
        <v>1164681681</v>
      </c>
      <c r="S43" s="88" t="str">
        <f t="array" ref="S43">XLOOKUP(C43,datos_personales[id:],datos_personales[E-Mail:],"no dato",0,1)</f>
        <v>roxanadiego@yahoo.com.ar</v>
      </c>
      <c r="T43" s="88" t="str">
        <f t="array" ref="T43">XLOOKUP(R43,telefonos_afiliados[numeros_loys],telefonos_afiliados[esta],"no esta",0,1)</f>
        <v>1</v>
      </c>
      <c r="U43" s="88" t="str">
        <f t="array" ref="U43">XLOOKUP(C43,datos_laborales[id:],datos_laborales[renuncio],"no dato",0,1)</f>
        <v>no dato</v>
      </c>
      <c r="V43" s="93">
        <f t="array" ref="V43">XLOOKUP(C43,datos_laborales[clave_foranea],datos_laborales[tiene_ficha_pdf],"no tiene ficha pdf",0,1)</f>
        <v>1</v>
      </c>
      <c r="W43" s="78"/>
    </row>
    <row r="44" ht="15.75" hidden="1" customHeight="1">
      <c r="A44" s="79"/>
      <c r="B44" s="80"/>
      <c r="C44" s="81">
        <f>datos_personales[id:]</f>
        <v>35353668</v>
      </c>
      <c r="D44" s="81" t="str">
        <f t="array" ref="D44">XLOOKUP(C44,datos_laborales[clave_foranea],datos_laborales[Relacion de Dependencia],"dato no encontrado",0,1)</f>
        <v>Monotributista</v>
      </c>
      <c r="E44" s="80" t="str">
        <f t="array" ref="E44">XLOOKUP(C44,datos_delegados[clave_foranea:],datos_delegados[En Actividad]," ",0,1)</f>
        <v> </v>
      </c>
      <c r="F44" s="81" t="str">
        <f t="array" ref="F44">CONCATENATE(XLOOKUP(C44,datos_personales[id:],datos_personales[Apellido:],"no dato",0,1),", ",XLOOKUP(C44,datos_personales[id:],datos_personales[Nombre],"no dato",0,1))</f>
        <v>de como,  daiana</v>
      </c>
      <c r="G44" s="81">
        <f t="array" ref="G44">XLOOKUP(C44,datos_laborales[clave_foranea],datos_laborales[N° De Legajo],"no dato",0,1)</f>
        <v>1640</v>
      </c>
      <c r="H44" s="82">
        <f t="array" ref="H44">XLOOKUP(C44,datos_laborales[clave_foranea], datos_laborales[Inicio Actividad:],"no dato",0,1)</f>
        <v>43525</v>
      </c>
      <c r="I44" s="81">
        <f t="array" ref="I44">XLOOKUP(C44,datos_laborales[clave_foranea],datos_laborales[Años en Actividad:],"no dato",0,1)</f>
        <v>6</v>
      </c>
      <c r="J44" s="81">
        <f t="array" ref="J44">XLOOKUP(C44,datos_personales[id:],datos_personales[D.n.i:],"no dato",0,1)</f>
        <v>35353668</v>
      </c>
      <c r="K44" s="82">
        <f t="array" ref="K44">XLOOKUP(C44,datos_personales[id:],datos_personales[Fecha Nacimiento:],"no dato",0,1)</f>
        <v>33236</v>
      </c>
      <c r="L44" s="81">
        <f>COUNTIF(hijos!B:B,C44)</f>
        <v>0</v>
      </c>
      <c r="M44" s="83">
        <f>COUNTIFS(hijos!B:B,C44,hijos!I:I,1)</f>
        <v>0</v>
      </c>
      <c r="N44" s="84">
        <f>COUNTIFS(hijos!B:B,C44,hijos!J:J,1)</f>
        <v>0</v>
      </c>
      <c r="O44" s="84">
        <f>COUNTIFS(hijos!B:B,C44,hijos!K:K,1)</f>
        <v>0</v>
      </c>
      <c r="P44" s="84">
        <f>COUNTIFS(hijos!B:B,C44,hijos!L:L,1)</f>
        <v>0</v>
      </c>
      <c r="Q44" s="84">
        <f t="shared" si="1"/>
        <v>0</v>
      </c>
      <c r="R44" s="80" t="str">
        <f t="array" ref="R44">XLOOKUP(C44,datos_personales[id:],datos_personales[Tel. Contacto:],"no dato",0,1)</f>
        <v/>
      </c>
      <c r="S44" s="81" t="str">
        <f t="array" ref="S44">XLOOKUP(C44,datos_personales[id:],datos_personales[E-Mail:],"no dato",0,1)</f>
        <v>Daiana.decomo@gmail.com </v>
      </c>
      <c r="T44" s="81" t="str">
        <f t="array" ref="T44">XLOOKUP(R44,telefonos_afiliados[numeros_loys],telefonos_afiliados[esta],"no esta",0,1)</f>
        <v>no esta</v>
      </c>
      <c r="U44" s="80"/>
      <c r="V44" s="104"/>
      <c r="W44" s="78"/>
    </row>
    <row r="45" ht="15.75" hidden="1" customHeight="1">
      <c r="A45" s="79"/>
      <c r="B45" s="80"/>
      <c r="C45" s="88">
        <f>datos_personales[id:]</f>
        <v>21981832</v>
      </c>
      <c r="D45" s="88" t="str">
        <f t="array" ref="D45">XLOOKUP(C45,datos_laborales[clave_foranea],datos_laborales[Relacion de Dependencia],"dato no encontrado",0,1)</f>
        <v>Monotributista</v>
      </c>
      <c r="E45" s="80" t="str">
        <f t="array" ref="E45">XLOOKUP(C45,datos_delegados[clave_foranea:],datos_delegados[En Actividad]," ",0,1)</f>
        <v> </v>
      </c>
      <c r="F45" s="88" t="str">
        <f t="array" ref="F45">CONCATENATE(XLOOKUP(C45,datos_personales[id:],datos_personales[Apellido:],"no dato",0,1),", ",XLOOKUP(C45,datos_personales[id:],datos_personales[Nombre],"no dato",0,1))</f>
        <v>digangi,  stella maris</v>
      </c>
      <c r="G45" s="88">
        <f t="array" ref="G45">XLOOKUP(C45,datos_laborales[clave_foranea],datos_laborales[N° De Legajo],"no dato",0,1)</f>
        <v>2447</v>
      </c>
      <c r="H45" s="106" t="str">
        <f t="array" ref="H45">XLOOKUP(C45,datos_laborales[clave_foranea], datos_laborales[Inicio Actividad:],"no dato",0,1)</f>
        <v/>
      </c>
      <c r="I45" s="88">
        <f t="array" ref="I45">XLOOKUP(C45,datos_laborales[clave_foranea],datos_laborales[Años en Actividad:],"no dato",0,1)</f>
        <v>126</v>
      </c>
      <c r="J45" s="88">
        <f t="array" ref="J45">XLOOKUP(C45,datos_personales[id:],datos_personales[D.n.i:],"no dato",0,1)</f>
        <v>21981832</v>
      </c>
      <c r="K45" s="89">
        <f t="array" ref="K45">XLOOKUP(C45,datos_personales[id:],datos_personales[Fecha Nacimiento:],"no dato",0,1)</f>
        <v>25929</v>
      </c>
      <c r="L45" s="88">
        <f>COUNTIF(hijos!B:B,C45)</f>
        <v>0</v>
      </c>
      <c r="M45" s="90">
        <f>COUNTIFS(hijos!B:B,C45,hijos!I:I,1)</f>
        <v>0</v>
      </c>
      <c r="N45" s="91">
        <f>COUNTIFS(hijos!B:B,C45,hijos!J:J,1)</f>
        <v>0</v>
      </c>
      <c r="O45" s="91">
        <f>COUNTIFS(hijos!B:B,C45,hijos!K:K,1)</f>
        <v>0</v>
      </c>
      <c r="P45" s="91">
        <f>COUNTIFS(hijos!B:B,C45,hijos!L:L,1)</f>
        <v>0</v>
      </c>
      <c r="Q45" s="91">
        <f t="shared" si="1"/>
        <v>0</v>
      </c>
      <c r="R45" s="103">
        <f t="array" ref="R45">XLOOKUP(C45,datos_personales[id:],datos_personales[Tel. Contacto:],"no dato",0,1)</f>
        <v>1149742514</v>
      </c>
      <c r="S45" s="88" t="str">
        <f t="array" ref="S45">XLOOKUP(C45,datos_personales[id:],datos_personales[E-Mail:],"no dato",0,1)</f>
        <v>digangistella@gmail.com</v>
      </c>
      <c r="T45" s="88" t="str">
        <f t="array" ref="T45">XLOOKUP(R45,telefonos_afiliados[numeros_loys],telefonos_afiliados[esta],"no esta",0,1)</f>
        <v>1</v>
      </c>
      <c r="U45" s="88" t="str">
        <f t="array" ref="U45">XLOOKUP(C45,datos_personales[id:],datos_laborales[renuncio],"no dato",0,1)</f>
        <v>#N/A</v>
      </c>
      <c r="V45" s="93" t="str">
        <f t="array" ref="V45">XLOOKUP(C45,datos_laborales[clave_foranea],datos_laborales[tiene_ficha_pdf],"no tiene ficha pdf",0,1)</f>
        <v>no tiene en pdf</v>
      </c>
      <c r="W45" s="78"/>
    </row>
    <row r="46" ht="15.75" hidden="1" customHeight="1">
      <c r="A46" s="79"/>
      <c r="B46" s="80"/>
      <c r="C46" s="81">
        <f>datos_personales[id:]</f>
        <v>41639943</v>
      </c>
      <c r="D46" s="81" t="str">
        <f t="array" ref="D46">XLOOKUP(C46,datos_laborales[clave_foranea],datos_laborales[Relacion de Dependencia],"dato no encontrado",0,1)</f>
        <v>Monotributista</v>
      </c>
      <c r="E46" s="80" t="str">
        <f t="array" ref="E46">XLOOKUP(C46,datos_delegados[clave_foranea:],datos_delegados[En Actividad]," ",0,1)</f>
        <v> </v>
      </c>
      <c r="F46" s="81" t="str">
        <f t="array" ref="F46">CONCATENATE(XLOOKUP(C46,datos_personales[id:],datos_personales[Apellido:],"no dato",0,1),", ",XLOOKUP(C46,datos_personales[id:],datos_personales[Nombre],"no dato",0,1))</f>
        <v>diosquez,  sheila nahir</v>
      </c>
      <c r="G46" s="81">
        <f t="array" ref="G46">XLOOKUP(C46,datos_laborales[clave_foranea],datos_laborales[N° De Legajo],"no dato",0,1)</f>
        <v>2449</v>
      </c>
      <c r="H46" s="106" t="str">
        <f t="array" ref="H46">XLOOKUP(C46,datos_laborales[clave_foranea], datos_laborales[Inicio Actividad:],"no dato",0,1)</f>
        <v/>
      </c>
      <c r="I46" s="81">
        <f t="array" ref="I46">XLOOKUP(C46,datos_laborales[clave_foranea],datos_laborales[Años en Actividad:],"no dato",0,1)</f>
        <v>126</v>
      </c>
      <c r="J46" s="81">
        <f t="array" ref="J46">XLOOKUP(C46,datos_personales[id:],datos_personales[D.n.i:],"no dato",0,1)</f>
        <v>41639943</v>
      </c>
      <c r="K46" s="82">
        <f t="array" ref="K46">XLOOKUP(C46,datos_personales[id:],datos_personales[Fecha Nacimiento:],"no dato",0,1)</f>
        <v>36121</v>
      </c>
      <c r="L46" s="81">
        <f>COUNTIF(hijos!B:B,C46)</f>
        <v>0</v>
      </c>
      <c r="M46" s="83">
        <f>COUNTIFS(hijos!B:B,C46,hijos!I:I,1)</f>
        <v>0</v>
      </c>
      <c r="N46" s="84">
        <f>COUNTIFS(hijos!B:B,C46,hijos!J:J,1)</f>
        <v>0</v>
      </c>
      <c r="O46" s="84">
        <f>COUNTIFS(hijos!B:B,C46,hijos!K:K,1)</f>
        <v>0</v>
      </c>
      <c r="P46" s="84">
        <f>COUNTIFS(hijos!B:B,C46,hijos!L:L,1)</f>
        <v>0</v>
      </c>
      <c r="Q46" s="84">
        <f t="shared" si="1"/>
        <v>0</v>
      </c>
      <c r="R46" s="85">
        <f t="array" ref="R46">XLOOKUP(C46,datos_personales[id:],datos_personales[Tel. Contacto:],"no dato",0,1)</f>
        <v>1158059413</v>
      </c>
      <c r="S46" s="81" t="str">
        <f t="array" ref="S46">XLOOKUP(C46,datos_personales[id:],datos_personales[E-Mail:],"no dato",0,1)</f>
        <v>sheiladiosquez98@gmail.com</v>
      </c>
      <c r="T46" s="81" t="str">
        <f t="array" ref="T46">XLOOKUP(R46,telefonos_afiliados[numeros_loys],telefonos_afiliados[esta],"no esta",0,1)</f>
        <v>1</v>
      </c>
      <c r="U46" s="81" t="str">
        <f t="array" ref="U46">XLOOKUP(C46,datos_laborales[id:],datos_laborales[renuncio],"no dato",0,1)</f>
        <v>no dato</v>
      </c>
      <c r="V46" s="87" t="str">
        <f t="array" ref="V46">XLOOKUP(C46,datos_laborales[clave_foranea],datos_laborales[tiene_ficha_pdf],"no tiene ficha pdf",0,1)</f>
        <v>no tiene en pdf</v>
      </c>
      <c r="W46" s="78"/>
    </row>
    <row r="47" ht="15.75" hidden="1" customHeight="1">
      <c r="A47" s="79"/>
      <c r="B47" s="80"/>
      <c r="C47" s="88">
        <f>datos_personales[id:]</f>
        <v>32404463</v>
      </c>
      <c r="D47" s="88" t="str">
        <f t="array" ref="D47">XLOOKUP(C47,datos_laborales[clave_foranea],datos_laborales[Relacion de Dependencia],"dato no encontrado",0,1)</f>
        <v>Monotributista </v>
      </c>
      <c r="E47" s="80" t="str">
        <f t="array" ref="E47">XLOOKUP(C47,datos_delegados[clave_foranea:],datos_delegados[En Actividad]," ",0,1)</f>
        <v> </v>
      </c>
      <c r="F47" s="88" t="str">
        <f t="array" ref="F47">CONCATENATE(XLOOKUP(C47,datos_personales[id:],datos_personales[Apellido:],"no dato",0,1),", ",XLOOKUP(C47,datos_personales[id:],datos_personales[Nombre],"no dato",0,1))</f>
        <v>d' agostino,  leandro</v>
      </c>
      <c r="G47" s="80" t="str">
        <f t="array" ref="G47">XLOOKUP(C47,datos_laborales[clave_foranea],datos_laborales[N° De Legajo],"no dato",0,1)</f>
        <v/>
      </c>
      <c r="H47" s="106" t="str">
        <f t="array" ref="H47">XLOOKUP(C47,datos_laborales[clave_foranea], datos_laborales[Inicio Actividad:],"no dato",0,1)</f>
        <v/>
      </c>
      <c r="I47" s="88">
        <f t="array" ref="I47">XLOOKUP(C47,datos_laborales[clave_foranea],datos_laborales[Años en Actividad:],"no dato",0,1)</f>
        <v>126</v>
      </c>
      <c r="J47" s="88">
        <f t="array" ref="J47">XLOOKUP(C47,datos_personales[id:],datos_personales[D.n.i:],"no dato",0,1)</f>
        <v>32404463</v>
      </c>
      <c r="K47" s="106" t="str">
        <f t="array" ref="K47">XLOOKUP(C47,datos_personales[id:],datos_personales[Fecha Nacimiento:],"no dato",0,1)</f>
        <v/>
      </c>
      <c r="L47" s="88">
        <f>COUNTIF(hijos!B:B,C47)</f>
        <v>0</v>
      </c>
      <c r="M47" s="90">
        <f>COUNTIFS(hijos!B:B,C47,hijos!I:I,1)</f>
        <v>0</v>
      </c>
      <c r="N47" s="91">
        <f>COUNTIFS(hijos!B:B,C47,hijos!J:J,1)</f>
        <v>0</v>
      </c>
      <c r="O47" s="91">
        <f>COUNTIFS(hijos!B:B,C47,hijos!K:K,1)</f>
        <v>0</v>
      </c>
      <c r="P47" s="91">
        <f>COUNTIFS(hijos!B:B,C47,hijos!L:L,1)</f>
        <v>0</v>
      </c>
      <c r="Q47" s="91">
        <f t="shared" si="1"/>
        <v>0</v>
      </c>
      <c r="R47" s="92" t="str">
        <f t="array" ref="R47">XLOOKUP(C47,datos_personales[id:],datos_personales[Tel. Contacto:],"no dato",0,1)</f>
        <v/>
      </c>
      <c r="S47" s="80" t="str">
        <f t="array" ref="S47">XLOOKUP(C47,datos_personales[id:],datos_personales[E-Mail:],"no dato",0,1)</f>
        <v/>
      </c>
      <c r="T47" s="88" t="str">
        <f t="array" ref="T47">XLOOKUP(R47,telefonos_afiliados[numeros_loys],telefonos_afiliados[esta],"no esta",0,1)</f>
        <v>no esta</v>
      </c>
      <c r="U47" s="88" t="str">
        <f t="array" ref="U47">XLOOKUP(C47,datos_laborales[id:],datos_laborales[renuncio],"no dato",0,1)</f>
        <v>no dato</v>
      </c>
      <c r="V47" s="93" t="str">
        <f t="array" ref="V47">XLOOKUP(C47,datos_laborales[clave_foranea],datos_laborales[tiene_ficha_pdf],"no tiene ficha pdf",0,1)</f>
        <v>no tiene en pdf</v>
      </c>
      <c r="W47" s="78"/>
    </row>
    <row r="48" ht="15.75" hidden="1" customHeight="1">
      <c r="A48" s="79"/>
      <c r="B48" s="80"/>
      <c r="C48" s="81">
        <f>datos_personales[id:]</f>
        <v>36786519</v>
      </c>
      <c r="D48" s="81" t="str">
        <f t="array" ref="D48">XLOOKUP(C48,datos_laborales[clave_foranea],datos_laborales[Relacion de Dependencia],"dato no encontrado",0,1)</f>
        <v>Monotributista </v>
      </c>
      <c r="E48" s="80" t="str">
        <f t="array" ref="E48">XLOOKUP(C48,datos_delegados[clave_foranea:],datos_delegados[En Actividad]," ",0,1)</f>
        <v> </v>
      </c>
      <c r="F48" s="81" t="str">
        <f t="array" ref="F48">CONCATENATE(XLOOKUP(C48,datos_personales[id:],datos_personales[Apellido:],"no dato",0,1),", ",XLOOKUP(C48,datos_personales[id:],datos_personales[Nombre],"no dato",0,1))</f>
        <v>fernandez,  florencia soledad</v>
      </c>
      <c r="G48" s="81">
        <f t="array" ref="G48">XLOOKUP(C48,datos_laborales[clave_foranea],datos_laborales[N° De Legajo],"no dato",0,1)</f>
        <v>2776</v>
      </c>
      <c r="H48" s="106" t="str">
        <f t="array" ref="H48">XLOOKUP(C48,datos_laborales[clave_foranea], datos_laborales[Inicio Actividad:],"no dato",0,1)</f>
        <v/>
      </c>
      <c r="I48" s="81">
        <f t="array" ref="I48">XLOOKUP(C48,datos_laborales[clave_foranea],datos_laborales[Años en Actividad:],"no dato",0,1)</f>
        <v>126</v>
      </c>
      <c r="J48" s="81">
        <f t="array" ref="J48">XLOOKUP(C48,datos_personales[id:],datos_personales[D.n.i:],"no dato",0,1)</f>
        <v>36786519</v>
      </c>
      <c r="K48" s="106" t="str">
        <f t="array" ref="K48">XLOOKUP(C48,datos_personales[id:],datos_personales[Fecha Nacimiento:],"no dato",0,1)</f>
        <v/>
      </c>
      <c r="L48" s="81">
        <f>COUNTIF(hijos!B:B,C48)</f>
        <v>1</v>
      </c>
      <c r="M48" s="83">
        <f>COUNTIFS(hijos!B:B,C48,hijos!I:I,1)</f>
        <v>0</v>
      </c>
      <c r="N48" s="84">
        <f>COUNTIFS(hijos!B:B,C48,hijos!J:J,1)</f>
        <v>1</v>
      </c>
      <c r="O48" s="84">
        <f>COUNTIFS(hijos!B:B,C48,hijos!K:K,1)</f>
        <v>0</v>
      </c>
      <c r="P48" s="84">
        <f>COUNTIFS(hijos!B:B,C48,hijos!L:L,1)</f>
        <v>0</v>
      </c>
      <c r="Q48" s="84">
        <f t="shared" si="1"/>
        <v>1</v>
      </c>
      <c r="R48" s="85">
        <f t="array" ref="R48">XLOOKUP(C48,datos_personales[id:],datos_personales[Tel. Contacto:],"no dato",0,1)</f>
        <v>1164297376</v>
      </c>
      <c r="S48" s="80" t="str">
        <f t="array" ref="S48">XLOOKUP(C48,datos_personales[id:],datos_personales[E-Mail:],"no dato",0,1)</f>
        <v/>
      </c>
      <c r="T48" s="81" t="str">
        <f t="array" ref="T48">XLOOKUP(R48,telefonos_afiliados[numeros_loys],telefonos_afiliados[esta],"no esta",0,1)</f>
        <v>1</v>
      </c>
      <c r="U48" s="81" t="str">
        <f t="array" ref="U48">XLOOKUP(C48,datos_personales[id:],datos_laborales[renuncio],"no dato",0,1)</f>
        <v>#N/A</v>
      </c>
      <c r="V48" s="104"/>
      <c r="W48" s="78"/>
    </row>
    <row r="49" ht="15.75" hidden="1" customHeight="1">
      <c r="A49" s="79"/>
      <c r="B49" s="80"/>
      <c r="C49" s="88">
        <f>datos_personales[id:]</f>
        <v>37036332</v>
      </c>
      <c r="D49" s="88" t="str">
        <f t="array" ref="D49">XLOOKUP(C49,datos_laborales[clave_foranea],datos_laborales[Relacion de Dependencia],"dato no encontrado",0,1)</f>
        <v>Monotributista</v>
      </c>
      <c r="E49" s="80" t="str">
        <f t="array" ref="E49">XLOOKUP(C49,datos_delegados[clave_foranea:],datos_delegados[En Actividad]," ",0,1)</f>
        <v> </v>
      </c>
      <c r="F49" s="88" t="str">
        <f t="array" ref="F49">CONCATENATE(XLOOKUP(C49,datos_personales[id:],datos_personales[Apellido:],"no dato",0,1),", ",XLOOKUP(C49,datos_personales[id:],datos_personales[Nombre],"no dato",0,1))</f>
        <v>ferrari barcia,  brenda belen</v>
      </c>
      <c r="G49" s="88">
        <f t="array" ref="G49">XLOOKUP(C49,datos_laborales[clave_foranea],datos_laborales[N° De Legajo],"no dato",0,1)</f>
        <v>1644</v>
      </c>
      <c r="H49" s="89">
        <f t="array" ref="H49">XLOOKUP(C49,datos_laborales[clave_foranea], datos_laborales[Inicio Actividad:],"no dato",0,1)</f>
        <v>43525</v>
      </c>
      <c r="I49" s="88">
        <f t="array" ref="I49">XLOOKUP(C49,datos_laborales[clave_foranea],datos_laborales[Años en Actividad:],"no dato",0,1)</f>
        <v>6</v>
      </c>
      <c r="J49" s="88">
        <f t="array" ref="J49">XLOOKUP(C49,datos_personales[id:],datos_personales[D.n.i:],"no dato",0,1)</f>
        <v>37036332</v>
      </c>
      <c r="K49" s="89">
        <f t="array" ref="K49">XLOOKUP(C49,datos_personales[id:],datos_personales[Fecha Nacimiento:],"no dato",0,1)</f>
        <v>33843</v>
      </c>
      <c r="L49" s="88">
        <f>COUNTIF(hijos!B:B,C49)</f>
        <v>1</v>
      </c>
      <c r="M49" s="90">
        <f>COUNTIFS(hijos!B:B,C49,hijos!I:I,1)</f>
        <v>0</v>
      </c>
      <c r="N49" s="91">
        <f>COUNTIFS(hijos!B:B,C49,hijos!J:J,1)</f>
        <v>0</v>
      </c>
      <c r="O49" s="91">
        <f>COUNTIFS(hijos!B:B,C49,hijos!K:K,1)</f>
        <v>1</v>
      </c>
      <c r="P49" s="91">
        <f>COUNTIFS(hijos!B:B,C49,hijos!L:L,1)</f>
        <v>0</v>
      </c>
      <c r="Q49" s="91">
        <f t="shared" si="1"/>
        <v>1</v>
      </c>
      <c r="R49" s="103">
        <f t="array" ref="R49">XLOOKUP(C49,datos_personales[id:],datos_personales[Tel. Contacto:],"no dato",0,1)</f>
        <v>1126691233</v>
      </c>
      <c r="S49" s="88" t="str">
        <f t="array" ref="S49">XLOOKUP(C49,datos_personales[id:],datos_personales[E-Mail:],"no dato",0,1)</f>
        <v>brendaff92@hotmail.com</v>
      </c>
      <c r="T49" s="88" t="str">
        <f t="array" ref="T49">XLOOKUP(R49,telefonos_afiliados[numeros_loys],telefonos_afiliados[esta],"no esta",0,1)</f>
        <v>1</v>
      </c>
      <c r="U49" s="88" t="str">
        <f t="array" ref="U49">XLOOKUP(C49,datos_personales[id:],datos_laborales[renuncio],"no dato",0,1)</f>
        <v>#N/A</v>
      </c>
      <c r="V49" s="93">
        <f t="array" ref="V49">XLOOKUP(C49,datos_laborales[clave_foranea],datos_laborales[tiene_ficha_pdf],"no tiene ficha pdf",0,1)</f>
        <v>1</v>
      </c>
      <c r="W49" s="78"/>
    </row>
    <row r="50" ht="15.75" hidden="1" customHeight="1">
      <c r="A50" s="79"/>
      <c r="B50" s="80"/>
      <c r="C50" s="81">
        <f>datos_personales[id:]</f>
        <v>44364634</v>
      </c>
      <c r="D50" s="81" t="str">
        <f t="array" ref="D50">XLOOKUP(C50,datos_laborales[clave_foranea],datos_laborales[Relacion de Dependencia],"dato no encontrado",0,1)</f>
        <v>Monotributista</v>
      </c>
      <c r="E50" s="80" t="str">
        <f t="array" ref="E50">XLOOKUP(C50,datos_delegados[clave_foranea:],datos_delegados[En Actividad]," ",0,1)</f>
        <v> </v>
      </c>
      <c r="F50" s="81" t="str">
        <f t="array" ref="F50">CONCATENATE(XLOOKUP(C50,datos_personales[id:],datos_personales[Apellido:],"no dato",0,1),", ",XLOOKUP(C50,datos_personales[id:],datos_personales[Nombre],"no dato",0,1))</f>
        <v>flamenco,  ludmila  rosalia</v>
      </c>
      <c r="G50" s="81">
        <f t="array" ref="G50">XLOOKUP(C50,datos_laborales[clave_foranea],datos_laborales[N° De Legajo],"no dato",0,1)</f>
        <v>2463</v>
      </c>
      <c r="H50" s="106" t="str">
        <f t="array" ref="H50">XLOOKUP(C50,datos_laborales[clave_foranea], datos_laborales[Inicio Actividad:],"no dato",0,1)</f>
        <v/>
      </c>
      <c r="I50" s="81">
        <f t="array" ref="I50">XLOOKUP(C50,datos_laborales[clave_foranea],datos_laborales[Años en Actividad:],"no dato",0,1)</f>
        <v>126</v>
      </c>
      <c r="J50" s="81">
        <f t="array" ref="J50">XLOOKUP(C50,datos_personales[id:],datos_personales[D.n.i:],"no dato",0,1)</f>
        <v>44364634</v>
      </c>
      <c r="K50" s="82">
        <f t="array" ref="K50">XLOOKUP(C50,datos_personales[id:],datos_personales[Fecha Nacimiento:],"no dato",0,1)</f>
        <v>37497</v>
      </c>
      <c r="L50" s="81">
        <f>COUNTIF(hijos!B:B,C50)</f>
        <v>0</v>
      </c>
      <c r="M50" s="83">
        <f>COUNTIFS(hijos!B:B,C50,hijos!I:I,1)</f>
        <v>0</v>
      </c>
      <c r="N50" s="84">
        <f>COUNTIFS(hijos!B:B,C50,hijos!J:J,1)</f>
        <v>0</v>
      </c>
      <c r="O50" s="84">
        <f>COUNTIFS(hijos!B:B,C50,hijos!K:K,1)</f>
        <v>0</v>
      </c>
      <c r="P50" s="84">
        <f>COUNTIFS(hijos!B:B,C50,hijos!L:L,1)</f>
        <v>0</v>
      </c>
      <c r="Q50" s="84">
        <f t="shared" si="1"/>
        <v>0</v>
      </c>
      <c r="R50" s="81">
        <f t="array" ref="R50">XLOOKUP(C50,datos_personales[id:],datos_personales[Tel. Contacto:],"no dato",0,1)</f>
        <v>1128153730</v>
      </c>
      <c r="S50" s="81" t="str">
        <f t="array" ref="S50">XLOOKUP(C50,datos_personales[id:],datos_personales[E-Mail:],"no dato",0,1)</f>
        <v>flamencoludmila02@gmail.com</v>
      </c>
      <c r="T50" s="81" t="str">
        <f t="array" ref="T50">XLOOKUP(R50,telefonos_afiliados[numeros_loys],telefonos_afiliados[esta],"no esta",0,1)</f>
        <v>1</v>
      </c>
      <c r="U50" s="81" t="str">
        <f t="array" ref="U50">XLOOKUP(C50,datos_laborales[id:],datos_laborales[renuncio],"no dato",0,1)</f>
        <v>no dato</v>
      </c>
      <c r="V50" s="104"/>
      <c r="W50" s="78"/>
    </row>
    <row r="51" ht="15.75" hidden="1" customHeight="1">
      <c r="A51" s="79"/>
      <c r="B51" s="80"/>
      <c r="C51" s="88">
        <f>datos_personales[id:]</f>
        <v>41263312</v>
      </c>
      <c r="D51" s="88" t="str">
        <f t="array" ref="D51">XLOOKUP(C51,datos_laborales[clave_foranea],datos_laborales[Relacion de Dependencia],"dato no encontrado",0,1)</f>
        <v>Monotributista</v>
      </c>
      <c r="E51" s="80" t="str">
        <f t="array" ref="E51">XLOOKUP(C51,datos_delegados[clave_foranea:],datos_delegados[En Actividad]," ",0,1)</f>
        <v> </v>
      </c>
      <c r="F51" s="88" t="str">
        <f t="array" ref="F51">CONCATENATE(XLOOKUP(C51,datos_personales[id:],datos_personales[Apellido:],"no dato",0,1),", ",XLOOKUP(C51,datos_personales[id:],datos_personales[Nombre],"no dato",0,1))</f>
        <v>fernandez,  nazarena abril</v>
      </c>
      <c r="G51" s="88">
        <f t="array" ref="G51">XLOOKUP(C51,datos_laborales[clave_foranea],datos_laborales[N° De Legajo],"no dato",0,1)</f>
        <v>2267</v>
      </c>
      <c r="H51" s="106" t="str">
        <f t="array" ref="H51">XLOOKUP(C51,datos_laborales[clave_foranea], datos_laborales[Inicio Actividad:],"no dato",0,1)</f>
        <v/>
      </c>
      <c r="I51" s="88">
        <f t="array" ref="I51">XLOOKUP(C51,datos_laborales[clave_foranea],datos_laborales[Años en Actividad:],"no dato",0,1)</f>
        <v>126</v>
      </c>
      <c r="J51" s="88">
        <f t="array" ref="J51">XLOOKUP(C51,datos_personales[id:],datos_personales[D.n.i:],"no dato",0,1)</f>
        <v>41263312</v>
      </c>
      <c r="K51" s="89">
        <f t="array" ref="K51">XLOOKUP(C51,datos_personales[id:],datos_personales[Fecha Nacimiento:],"no dato",0,1)</f>
        <v>35937</v>
      </c>
      <c r="L51" s="88">
        <f>COUNTIF(hijos!B:B,C51)</f>
        <v>0</v>
      </c>
      <c r="M51" s="90">
        <f>COUNTIFS(hijos!B:B,C51,hijos!I:I,1)</f>
        <v>0</v>
      </c>
      <c r="N51" s="91">
        <f>COUNTIFS(hijos!B:B,C51,hijos!J:J,1)</f>
        <v>0</v>
      </c>
      <c r="O51" s="91">
        <f>COUNTIFS(hijos!B:B,C51,hijos!K:K,1)</f>
        <v>0</v>
      </c>
      <c r="P51" s="91">
        <f>COUNTIFS(hijos!B:B,C51,hijos!L:L,1)</f>
        <v>0</v>
      </c>
      <c r="Q51" s="91">
        <f t="shared" si="1"/>
        <v>0</v>
      </c>
      <c r="R51" s="88">
        <f t="array" ref="R51">XLOOKUP(C51,datos_personales[id:],datos_personales[Tel. Contacto:],"no dato",0,1)</f>
        <v>1159622747</v>
      </c>
      <c r="S51" s="80" t="str">
        <f t="array" ref="S51">XLOOKUP(C51,datos_personales[id:],datos_personales[E-Mail:],"no dato",0,1)</f>
        <v/>
      </c>
      <c r="T51" s="88" t="str">
        <f t="array" ref="T51">XLOOKUP(R51,telefonos_afiliados[numeros_loys],telefonos_afiliados[esta],"no esta",0,1)</f>
        <v>no esta</v>
      </c>
      <c r="U51" s="88" t="str">
        <f t="array" ref="U51">XLOOKUP(C51,datos_laborales[id:],datos_laborales[renuncio],"no dato",0,1)</f>
        <v>no dato</v>
      </c>
      <c r="V51" s="104"/>
      <c r="W51" s="78"/>
    </row>
    <row r="52" ht="15.75" customHeight="1">
      <c r="A52" s="79"/>
      <c r="B52" s="80"/>
      <c r="C52" s="81">
        <f>datos_personales[id:]</f>
        <v>42586370</v>
      </c>
      <c r="D52" s="81" t="str">
        <f t="array" ref="D52">XLOOKUP(C52,datos_laborales[clave_foranea],datos_laborales[Relacion de Dependencia],"dato no encontrado",0,1)</f>
        <v>Monotributista</v>
      </c>
      <c r="E52" s="80" t="str">
        <f t="array" ref="E52">XLOOKUP(C52,datos_delegados[clave_foranea:],datos_delegados[En Actividad]," ",0,1)</f>
        <v> </v>
      </c>
      <c r="F52" s="81" t="str">
        <f t="array" ref="F52">CONCATENATE(XLOOKUP(C52,datos_personales[id:],datos_personales[Apellido:],"no dato",0,1),", ",XLOOKUP(C52,datos_personales[id:],datos_personales[Nombre],"no dato",0,1))</f>
        <v>figueroa,  fernando </v>
      </c>
      <c r="G52" s="81">
        <f t="array" ref="G52">XLOOKUP(C52,datos_laborales[clave_foranea],datos_laborales[N° De Legajo],"no dato",0,1)</f>
        <v>1645</v>
      </c>
      <c r="H52" s="82">
        <f t="array" ref="H52">XLOOKUP(C52,datos_laborales[clave_foranea], datos_laborales[Inicio Actividad:],"no dato",0,1)</f>
        <v>43556</v>
      </c>
      <c r="I52" s="81">
        <f t="array" ref="I52">XLOOKUP(C52,datos_laborales[clave_foranea],datos_laborales[Años en Actividad:],"no dato",0,1)</f>
        <v>6</v>
      </c>
      <c r="J52" s="81">
        <f t="array" ref="J52">XLOOKUP(C52,datos_personales[id:],datos_personales[D.n.i:],"no dato",0,1)</f>
        <v>42586370</v>
      </c>
      <c r="K52" s="82">
        <f t="array" ref="K52">XLOOKUP(C52,datos_personales[id:],datos_personales[Fecha Nacimiento:],"no dato",0,1)</f>
        <v>36652</v>
      </c>
      <c r="L52" s="81">
        <f>COUNTIF(hijos!B:B,C52)</f>
        <v>1</v>
      </c>
      <c r="M52" s="83">
        <f>COUNTIFS(hijos!B:B,C52,hijos!I:I,1)</f>
        <v>1</v>
      </c>
      <c r="N52" s="84">
        <f>COUNTIFS(hijos!B:B,C52,hijos!J:J,1)</f>
        <v>0</v>
      </c>
      <c r="O52" s="84">
        <f>COUNTIFS(hijos!B:B,C52,hijos!K:K,1)</f>
        <v>0</v>
      </c>
      <c r="P52" s="84">
        <f>COUNTIFS(hijos!B:B,C52,hijos!L:L,1)</f>
        <v>0</v>
      </c>
      <c r="Q52" s="84">
        <f t="shared" si="1"/>
        <v>1</v>
      </c>
      <c r="R52" s="81">
        <f t="array" ref="R52">XLOOKUP(C52,datos_personales[id:],datos_personales[Tel. Contacto:],"no dato",0,1)</f>
        <v>1125475896</v>
      </c>
      <c r="S52" s="81" t="str">
        <f t="array" ref="S52">XLOOKUP(C52,datos_personales[id:],datos_personales[E-Mail:],"no dato",0,1)</f>
        <v>ferfigueroa794@gmail.com</v>
      </c>
      <c r="T52" s="81" t="str">
        <f t="array" ref="T52">XLOOKUP(R52,telefonos_afiliados[numeros_loys],telefonos_afiliados[esta],"no esta",0,1)</f>
        <v>1</v>
      </c>
      <c r="U52" s="80"/>
      <c r="V52" s="104"/>
      <c r="W52" s="78"/>
    </row>
    <row r="53" ht="15.75" hidden="1" customHeight="1">
      <c r="A53" s="79"/>
      <c r="B53" s="80"/>
      <c r="C53" s="88">
        <f>datos_personales[id:]</f>
        <v>34871654</v>
      </c>
      <c r="D53" s="88" t="str">
        <f t="array" ref="D53">XLOOKUP(C53,datos_laborales[clave_foranea],datos_laborales[Relacion de Dependencia],"dato no encontrado",0,1)</f>
        <v>Monotributista</v>
      </c>
      <c r="E53" s="80" t="str">
        <f t="array" ref="E53">XLOOKUP(C53,datos_delegados[clave_foranea:],datos_delegados[En Actividad]," ",0,1)</f>
        <v> </v>
      </c>
      <c r="F53" s="88" t="str">
        <f t="array" ref="F53">CONCATENATE(XLOOKUP(C53,datos_personales[id:],datos_personales[Apellido:],"no dato",0,1),", ",XLOOKUP(C53,datos_personales[id:],datos_personales[Nombre],"no dato",0,1))</f>
        <v>garcia,  maria belen</v>
      </c>
      <c r="G53" s="88">
        <f t="array" ref="G53">XLOOKUP(C53,datos_laborales[clave_foranea],datos_laborales[N° De Legajo],"no dato",0,1)</f>
        <v>2785</v>
      </c>
      <c r="H53" s="89">
        <f t="array" ref="H53">XLOOKUP(C53,datos_laborales[clave_foranea], datos_laborales[Inicio Actividad:],"no dato",0,1)</f>
        <v>45111</v>
      </c>
      <c r="I53" s="88">
        <f t="array" ref="I53">XLOOKUP(C53,datos_laborales[clave_foranea],datos_laborales[Años en Actividad:],"no dato",0,1)</f>
        <v>2</v>
      </c>
      <c r="J53" s="88">
        <f t="array" ref="J53">XLOOKUP(C53,datos_personales[id:],datos_personales[D.n.i:],"no dato",0,1)</f>
        <v>34871654</v>
      </c>
      <c r="K53" s="89">
        <f t="array" ref="K53">XLOOKUP(C53,datos_personales[id:],datos_personales[Fecha Nacimiento:],"no dato",0,1)</f>
        <v>32867</v>
      </c>
      <c r="L53" s="88">
        <f>COUNTIF(hijos!B:B,C53)</f>
        <v>2</v>
      </c>
      <c r="M53" s="90">
        <f>COUNTIFS(hijos!B:B,C53,hijos!I:I,1)</f>
        <v>1</v>
      </c>
      <c r="N53" s="91">
        <f>COUNTIFS(hijos!B:B,C53,hijos!J:J,1)</f>
        <v>0</v>
      </c>
      <c r="O53" s="91">
        <f>COUNTIFS(hijos!B:B,C53,hijos!K:K,1)</f>
        <v>0</v>
      </c>
      <c r="P53" s="91">
        <f>COUNTIFS(hijos!B:B,C53,hijos!L:L,1)</f>
        <v>1</v>
      </c>
      <c r="Q53" s="91">
        <f t="shared" si="1"/>
        <v>2</v>
      </c>
      <c r="R53" s="88">
        <f t="array" ref="R53">XLOOKUP(C53,datos_personales[id:],datos_personales[Tel. Contacto:],"no dato",0,1)</f>
        <v>1150235407</v>
      </c>
      <c r="S53" s="88" t="str">
        <f t="array" ref="S53">XLOOKUP(C53,datos_personales[id:],datos_personales[E-Mail:],"no dato",0,1)</f>
        <v>beeelgarcia@gmail.com</v>
      </c>
      <c r="T53" s="88" t="str">
        <f t="array" ref="T53">XLOOKUP(R53,telefonos_afiliados[numeros_loys],telefonos_afiliados[esta],"no esta",0,1)</f>
        <v>1</v>
      </c>
      <c r="U53" s="88" t="str">
        <f t="array" ref="U53">XLOOKUP(C53,datos_laborales[id:],datos_laborales[renuncio],"no dato",0,1)</f>
        <v>no dato</v>
      </c>
      <c r="V53" s="104"/>
      <c r="W53" s="78"/>
    </row>
    <row r="54" ht="15.75" hidden="1" customHeight="1">
      <c r="A54" s="79"/>
      <c r="B54" s="80"/>
      <c r="C54" s="81">
        <f>datos_personales[id:]</f>
        <v>39275500</v>
      </c>
      <c r="D54" s="81" t="str">
        <f t="array" ref="D54">XLOOKUP(C54,datos_laborales[clave_foranea],datos_laborales[Relacion de Dependencia],"dato no encontrado",0,1)</f>
        <v>Monotributista</v>
      </c>
      <c r="E54" s="80" t="str">
        <f t="array" ref="E54">XLOOKUP(C54,datos_delegados[clave_foranea:],datos_delegados[En Actividad]," ",0,1)</f>
        <v> </v>
      </c>
      <c r="F54" s="81" t="str">
        <f t="array" ref="F54">CONCATENATE(XLOOKUP(C54,datos_personales[id:],datos_personales[Apellido:],"no dato",0,1),", ",XLOOKUP(C54,datos_personales[id:],datos_personales[Nombre],"no dato",0,1))</f>
        <v>galarza,  wanda noemi</v>
      </c>
      <c r="G54" s="81">
        <f t="array" ref="G54">XLOOKUP(C54,datos_laborales[clave_foranea],datos_laborales[N° De Legajo],"no dato",0,1)</f>
        <v>3150</v>
      </c>
      <c r="H54" s="106" t="str">
        <f t="array" ref="H54">XLOOKUP(C54,datos_laborales[clave_foranea], datos_laborales[Inicio Actividad:],"no dato",0,1)</f>
        <v/>
      </c>
      <c r="I54" s="81">
        <f t="array" ref="I54">XLOOKUP(C54,datos_laborales[clave_foranea],datos_laborales[Años en Actividad:],"no dato",0,1)</f>
        <v>126</v>
      </c>
      <c r="J54" s="81">
        <f t="array" ref="J54">XLOOKUP(C54,datos_personales[id:],datos_personales[D.n.i:],"no dato",0,1)</f>
        <v>39275500</v>
      </c>
      <c r="K54" s="82">
        <f t="array" ref="K54">XLOOKUP(C54,datos_personales[id:],datos_personales[Fecha Nacimiento:],"no dato",0,1)</f>
        <v>35031</v>
      </c>
      <c r="L54" s="81">
        <f>COUNTIF(hijos!B:B,C54)</f>
        <v>0</v>
      </c>
      <c r="M54" s="83">
        <f>COUNTIFS(hijos!B:B,C54,hijos!I:I,1)</f>
        <v>0</v>
      </c>
      <c r="N54" s="84">
        <f>COUNTIFS(hijos!B:B,C54,hijos!J:J,1)</f>
        <v>0</v>
      </c>
      <c r="O54" s="84">
        <f>COUNTIFS(hijos!B:B,C54,hijos!K:K,1)</f>
        <v>0</v>
      </c>
      <c r="P54" s="84">
        <f>COUNTIFS(hijos!B:B,C54,hijos!L:L,1)</f>
        <v>0</v>
      </c>
      <c r="Q54" s="84">
        <f t="shared" si="1"/>
        <v>0</v>
      </c>
      <c r="R54" s="81">
        <f t="array" ref="R54">XLOOKUP(C54,datos_personales[id:],datos_personales[Tel. Contacto:],"no dato",0,1)</f>
        <v>1155818302</v>
      </c>
      <c r="S54" s="80" t="str">
        <f t="array" ref="S54">XLOOKUP(C54,datos_personales[id:],datos_personales[E-Mail:],"no dato",0,1)</f>
        <v/>
      </c>
      <c r="T54" s="81" t="str">
        <f t="array" ref="T54">XLOOKUP(R54,telefonos_afiliados[numeros_loys],telefonos_afiliados[esta],"no esta",0,1)</f>
        <v>1</v>
      </c>
      <c r="U54" s="81" t="str">
        <f t="array" ref="U54">XLOOKUP(C54,datos_laborales[id:],datos_laborales[renuncio],"no dato",0,1)</f>
        <v>no dato</v>
      </c>
      <c r="V54" s="104"/>
      <c r="W54" s="78"/>
    </row>
    <row r="55" ht="15.75" hidden="1" customHeight="1">
      <c r="A55" s="79"/>
      <c r="B55" s="80"/>
      <c r="C55" s="88">
        <f>datos_personales[id:]</f>
        <v>40133136</v>
      </c>
      <c r="D55" s="88" t="str">
        <f t="array" ref="D55">XLOOKUP(C55,datos_laborales[clave_foranea],datos_laborales[Relacion de Dependencia],"dato no encontrado",0,1)</f>
        <v>Monotributista </v>
      </c>
      <c r="E55" s="80" t="str">
        <f t="array" ref="E55">XLOOKUP(C55,datos_delegados[clave_foranea:],datos_delegados[En Actividad]," ",0,1)</f>
        <v> </v>
      </c>
      <c r="F55" s="88" t="str">
        <f t="array" ref="F55">CONCATENATE(XLOOKUP(C55,datos_personales[id:],datos_personales[Apellido:],"no dato",0,1),", ",XLOOKUP(C55,datos_personales[id:],datos_personales[Nombre],"no dato",0,1))</f>
        <v>galeano,  carla antonella</v>
      </c>
      <c r="G55" s="88">
        <f t="array" ref="G55">XLOOKUP(C55,datos_laborales[clave_foranea],datos_laborales[N° De Legajo],"no dato",0,1)</f>
        <v>2275</v>
      </c>
      <c r="H55" s="89">
        <f t="array" ref="H55">XLOOKUP(C55,datos_laborales[clave_foranea], datos_laborales[Inicio Actividad:],"no dato",0,1)</f>
        <v>45291</v>
      </c>
      <c r="I55" s="88">
        <f t="array" ref="I55">XLOOKUP(C55,datos_laborales[clave_foranea],datos_laborales[Años en Actividad:],"no dato",0,1)</f>
        <v>2</v>
      </c>
      <c r="J55" s="88">
        <f t="array" ref="J55">XLOOKUP(C55,datos_personales[id:],datos_personales[D.n.i:],"no dato",0,1)</f>
        <v>40133136</v>
      </c>
      <c r="K55" s="89">
        <f t="array" ref="K55">XLOOKUP(C55,datos_personales[id:],datos_personales[Fecha Nacimiento:],"no dato",0,1)</f>
        <v>35463</v>
      </c>
      <c r="L55" s="88">
        <f>COUNTIF(hijos!B:B,C55)</f>
        <v>2</v>
      </c>
      <c r="M55" s="90">
        <f>COUNTIFS(hijos!B:B,C55,hijos!I:I,1)</f>
        <v>0</v>
      </c>
      <c r="N55" s="91">
        <f>COUNTIFS(hijos!B:B,C55,hijos!J:J,1)</f>
        <v>0</v>
      </c>
      <c r="O55" s="91">
        <f>COUNTIFS(hijos!B:B,C55,hijos!K:K,1)</f>
        <v>1</v>
      </c>
      <c r="P55" s="91">
        <f>COUNTIFS(hijos!B:B,C55,hijos!L:L,1)</f>
        <v>0</v>
      </c>
      <c r="Q55" s="91">
        <f t="shared" si="1"/>
        <v>1</v>
      </c>
      <c r="R55" s="103">
        <f t="array" ref="R55">XLOOKUP(C55,datos_personales[id:],datos_personales[Tel. Contacto:],"no dato",0,1)</f>
        <v>1122416811</v>
      </c>
      <c r="S55" s="88" t="str">
        <f t="array" ref="S55">XLOOKUP(C55,datos_personales[id:],datos_personales[E-Mail:],"no dato",0,1)</f>
        <v>carlaagaleano@hotmail.com</v>
      </c>
      <c r="T55" s="88" t="str">
        <f t="array" ref="T55">XLOOKUP(R55,telefonos_afiliados[numeros_loys],telefonos_afiliados[esta],"no esta",0,1)</f>
        <v>1</v>
      </c>
      <c r="U55" s="88" t="str">
        <f t="array" ref="U55">XLOOKUP(C55,datos_laborales[id:],datos_laborales[renuncio],"no dato",0,1)</f>
        <v>no dato</v>
      </c>
      <c r="V55" s="93" t="str">
        <f t="array" ref="V55">XLOOKUP(C55,datos_laborales[clave_foranea],datos_laborales[tiene_ficha_pdf],"no tiene ficha pdf",0,1)</f>
        <v>no tiene en pdf</v>
      </c>
      <c r="W55" s="78"/>
    </row>
    <row r="56" ht="15.75" hidden="1" customHeight="1">
      <c r="A56" s="79"/>
      <c r="B56" s="80"/>
      <c r="C56" s="81">
        <f>datos_personales[id:]</f>
        <v>38710314</v>
      </c>
      <c r="D56" s="81" t="str">
        <f t="array" ref="D56">XLOOKUP(C56,datos_laborales[clave_foranea],datos_laborales[Relacion de Dependencia],"dato no encontrado",0,1)</f>
        <v>Monotributista</v>
      </c>
      <c r="E56" s="80" t="str">
        <f t="array" ref="E56">XLOOKUP(C56,datos_delegados[clave_foranea:],datos_delegados[En Actividad]," ",0,1)</f>
        <v> </v>
      </c>
      <c r="F56" s="81" t="str">
        <f t="array" ref="F56">CONCATENATE(XLOOKUP(C56,datos_personales[id:],datos_personales[Apellido:],"no dato",0,1),", ",XLOOKUP(C56,datos_personales[id:],datos_personales[Nombre],"no dato",0,1))</f>
        <v>galian,  daiana alejandra</v>
      </c>
      <c r="G56" s="81">
        <f t="array" ref="G56">XLOOKUP(C56,datos_laborales[clave_foranea],datos_laborales[N° De Legajo],"no dato",0,1)</f>
        <v>1984</v>
      </c>
      <c r="H56" s="82">
        <f t="array" ref="H56">XLOOKUP(C56,datos_laborales[clave_foranea], datos_laborales[Inicio Actividad:],"no dato",0,1)</f>
        <v>44958</v>
      </c>
      <c r="I56" s="81">
        <f t="array" ref="I56">XLOOKUP(C56,datos_laborales[clave_foranea],datos_laborales[Años en Actividad:],"no dato",0,1)</f>
        <v>2</v>
      </c>
      <c r="J56" s="81">
        <f t="array" ref="J56">XLOOKUP(C56,datos_personales[id:],datos_personales[D.n.i:],"no dato",0,1)</f>
        <v>38710314</v>
      </c>
      <c r="K56" s="82">
        <f t="array" ref="K56">XLOOKUP(C56,datos_personales[id:],datos_personales[Fecha Nacimiento:],"no dato",0,1)</f>
        <v>34827</v>
      </c>
      <c r="L56" s="81">
        <f>COUNTIF(hijos!B:B,C56)</f>
        <v>0</v>
      </c>
      <c r="M56" s="83">
        <f>COUNTIFS(hijos!B:B,C56,hijos!I:I,1)</f>
        <v>0</v>
      </c>
      <c r="N56" s="84">
        <f>COUNTIFS(hijos!B:B,C56,hijos!J:J,1)</f>
        <v>0</v>
      </c>
      <c r="O56" s="84">
        <f>COUNTIFS(hijos!B:B,C56,hijos!K:K,1)</f>
        <v>0</v>
      </c>
      <c r="P56" s="84">
        <f>COUNTIFS(hijos!B:B,C56,hijos!L:L,1)</f>
        <v>0</v>
      </c>
      <c r="Q56" s="84">
        <f t="shared" si="1"/>
        <v>0</v>
      </c>
      <c r="R56" s="81">
        <f t="array" ref="R56">XLOOKUP(C56,datos_personales[id:],datos_personales[Tel. Contacto:],"no dato",0,1)</f>
        <v>1154983632</v>
      </c>
      <c r="S56" s="81" t="str">
        <f t="array" ref="S56">XLOOKUP(C56,datos_personales[id:],datos_personales[E-Mail:],"no dato",0,1)</f>
        <v>daianagalean.08@gmail.com</v>
      </c>
      <c r="T56" s="81" t="str">
        <f t="array" ref="T56">XLOOKUP(R56,telefonos_afiliados[numeros_loys],telefonos_afiliados[esta],"no esta",0,1)</f>
        <v>1</v>
      </c>
      <c r="U56" s="80"/>
      <c r="V56" s="104"/>
      <c r="W56" s="78"/>
    </row>
    <row r="57" ht="15.75" hidden="1" customHeight="1">
      <c r="A57" s="79"/>
      <c r="B57" s="80"/>
      <c r="C57" s="88">
        <f>datos_personales[id:]</f>
        <v>43916827</v>
      </c>
      <c r="D57" s="88" t="str">
        <f t="array" ref="D57">XLOOKUP(C57,datos_laborales[clave_foranea],datos_laborales[Relacion de Dependencia],"dato no encontrado",0,1)</f>
        <v>Monotributista</v>
      </c>
      <c r="E57" s="80" t="str">
        <f t="array" ref="E57">XLOOKUP(C57,datos_delegados[clave_foranea:],datos_delegados[En Actividad]," ",0,1)</f>
        <v> </v>
      </c>
      <c r="F57" s="88" t="str">
        <f t="array" ref="F57">CONCATENATE(XLOOKUP(C57,datos_personales[id:],datos_personales[Apellido:],"no dato",0,1),", ",XLOOKUP(C57,datos_personales[id:],datos_personales[Nombre],"no dato",0,1))</f>
        <v>geirola,  tomas agustin</v>
      </c>
      <c r="G57" s="88">
        <f t="array" ref="G57">XLOOKUP(C57,datos_laborales[clave_foranea],datos_laborales[N° De Legajo],"no dato",0,1)</f>
        <v>2636</v>
      </c>
      <c r="H57" s="106" t="str">
        <f t="array" ref="H57">XLOOKUP(C57,datos_laborales[clave_foranea], datos_laborales[Inicio Actividad:],"no dato",0,1)</f>
        <v/>
      </c>
      <c r="I57" s="88">
        <f t="array" ref="I57">XLOOKUP(C57,datos_laborales[clave_foranea],datos_laborales[Años en Actividad:],"no dato",0,1)</f>
        <v>126</v>
      </c>
      <c r="J57" s="88">
        <f t="array" ref="J57">XLOOKUP(C57,datos_personales[id:],datos_personales[D.n.i:],"no dato",0,1)</f>
        <v>43916827</v>
      </c>
      <c r="K57" s="89">
        <f t="array" ref="K57">XLOOKUP(C57,datos_personales[id:],datos_personales[Fecha Nacimiento:],"no dato",0,1)</f>
        <v>37281</v>
      </c>
      <c r="L57" s="88">
        <f>COUNTIF(hijos!B:B,C57)</f>
        <v>0</v>
      </c>
      <c r="M57" s="90">
        <f>COUNTIFS(hijos!B:B,C57,hijos!I:I,1)</f>
        <v>0</v>
      </c>
      <c r="N57" s="91">
        <f>COUNTIFS(hijos!B:B,C57,hijos!J:J,1)</f>
        <v>0</v>
      </c>
      <c r="O57" s="91">
        <f>COUNTIFS(hijos!B:B,C57,hijos!K:K,1)</f>
        <v>0</v>
      </c>
      <c r="P57" s="91">
        <f>COUNTIFS(hijos!B:B,C57,hijos!L:L,1)</f>
        <v>0</v>
      </c>
      <c r="Q57" s="91">
        <f t="shared" si="1"/>
        <v>0</v>
      </c>
      <c r="R57" s="80" t="str">
        <f t="array" ref="R57">XLOOKUP(C57,datos_personales[id:],datos_personales[Tel. Contacto:],"no dato",0,1)</f>
        <v/>
      </c>
      <c r="S57" s="80" t="str">
        <f t="array" ref="S57">XLOOKUP(C57,datos_personales[id:],datos_personales[E-Mail:],"no dato",0,1)</f>
        <v/>
      </c>
      <c r="T57" s="88" t="str">
        <f t="array" ref="T57">XLOOKUP(R57,telefonos_afiliados[numeros_loys],telefonos_afiliados[esta],"no esta",0,1)</f>
        <v>no esta</v>
      </c>
      <c r="U57" s="88" t="str">
        <f t="array" ref="U57">XLOOKUP(C57,datos_laborales[id:],datos_laborales[renuncio],"no dato",0,1)</f>
        <v>no dato</v>
      </c>
      <c r="V57" s="104"/>
      <c r="W57" s="78"/>
    </row>
    <row r="58" ht="15.75" customHeight="1">
      <c r="A58" s="79"/>
      <c r="B58" s="80"/>
      <c r="C58" s="81">
        <f>datos_personales[id:]</f>
        <v>36297487</v>
      </c>
      <c r="D58" s="81" t="str">
        <f t="array" ref="D58">XLOOKUP(C58,datos_laborales[clave_foranea],datos_laborales[Relacion de Dependencia],"dato no encontrado",0,1)</f>
        <v>Monotributista</v>
      </c>
      <c r="E58" s="80" t="str">
        <f t="array" ref="E58">XLOOKUP(C58,datos_delegados[clave_foranea:],datos_delegados[En Actividad]," ",0,1)</f>
        <v> </v>
      </c>
      <c r="F58" s="81" t="str">
        <f t="array" ref="F58">CONCATENATE(XLOOKUP(C58,datos_personales[id:],datos_personales[Apellido:],"no dato",0,1),", ",XLOOKUP(C58,datos_personales[id:],datos_personales[Nombre],"no dato",0,1))</f>
        <v>gonzalez,  agostina jessica</v>
      </c>
      <c r="G58" s="81">
        <f t="array" ref="G58">XLOOKUP(C58,datos_laborales[clave_foranea],datos_laborales[N° De Legajo],"no dato",0,1)</f>
        <v>769</v>
      </c>
      <c r="H58" s="82">
        <f t="array" ref="H58">XLOOKUP(C58,datos_laborales[clave_foranea], datos_laborales[Inicio Actividad:],"no dato",0,1)</f>
        <v>42948</v>
      </c>
      <c r="I58" s="81">
        <f t="array" ref="I58">XLOOKUP(C58,datos_laborales[clave_foranea],datos_laborales[Años en Actividad:],"no dato",0,1)</f>
        <v>8</v>
      </c>
      <c r="J58" s="81">
        <f t="array" ref="J58">XLOOKUP(C58,datos_personales[id:],datos_personales[D.n.i:],"no dato",0,1)</f>
        <v>36297487</v>
      </c>
      <c r="K58" s="108">
        <f t="array" ref="K58">XLOOKUP(C58,datos_personales[id:],datos_personales[Fecha Nacimiento:],"no dato",0,1)</f>
        <v>33504</v>
      </c>
      <c r="L58" s="81">
        <f>COUNTIF(hijos!B:B,C58)</f>
        <v>3</v>
      </c>
      <c r="M58" s="83">
        <f>COUNTIFS(hijos!B:B,C58,hijos!I:I,1)</f>
        <v>1</v>
      </c>
      <c r="N58" s="84">
        <f>COUNTIFS(hijos!B:B,C58,hijos!J:J,1)</f>
        <v>1</v>
      </c>
      <c r="O58" s="84">
        <f>COUNTIFS(hijos!B:B,C58,hijos!K:K,1)</f>
        <v>1</v>
      </c>
      <c r="P58" s="84">
        <f>COUNTIFS(hijos!B:B,C58,hijos!L:L,1)</f>
        <v>0</v>
      </c>
      <c r="Q58" s="84">
        <f t="shared" si="1"/>
        <v>3</v>
      </c>
      <c r="R58" s="85">
        <f t="array" ref="R58">XLOOKUP(C58,datos_personales[id:],datos_personales[Tel. Contacto:],"no dato",0,1)</f>
        <v>1141633096</v>
      </c>
      <c r="S58" s="81" t="str">
        <f t="array" ref="S58">XLOOKUP(C58,datos_personales[id:],datos_personales[E-Mail:],"no dato",0,1)</f>
        <v>agostina_kpa@hotmail.com</v>
      </c>
      <c r="T58" s="81" t="str">
        <f t="array" ref="T58">XLOOKUP(R58,telefonos_afiliados[numeros_loys],telefonos_afiliados[esta],"no esta",0,1)</f>
        <v>1</v>
      </c>
      <c r="U58" s="81" t="str">
        <f t="array" ref="U58">XLOOKUP(C58,datos_personales[id:],datos_laborales[renuncio],"no dato",0,1)</f>
        <v>#N/A</v>
      </c>
      <c r="V58" s="87">
        <f t="array" ref="V58">XLOOKUP(C58,datos_laborales[clave_foranea],datos_laborales[tiene_ficha_pdf],"no tiene ficha pdf",0,1)</f>
        <v>1</v>
      </c>
      <c r="W58" s="78"/>
    </row>
    <row r="59" ht="15.75" hidden="1" customHeight="1">
      <c r="A59" s="79"/>
      <c r="B59" s="80"/>
      <c r="C59" s="88">
        <f>datos_personales[id:]</f>
        <v>39665127</v>
      </c>
      <c r="D59" s="88" t="str">
        <f t="array" ref="D59">XLOOKUP(C59,datos_laborales[clave_foranea],datos_laborales[Relacion de Dependencia],"dato no encontrado",0,1)</f>
        <v>Monotributista</v>
      </c>
      <c r="E59" s="80" t="str">
        <f t="array" ref="E59">XLOOKUP(C59,datos_delegados[clave_foranea:],datos_delegados[En Actividad]," ",0,1)</f>
        <v> </v>
      </c>
      <c r="F59" s="88" t="str">
        <f t="array" ref="F59">CONCATENATE(XLOOKUP(C59,datos_personales[id:],datos_personales[Apellido:],"no dato",0,1),", ",XLOOKUP(C59,datos_personales[id:],datos_personales[Nombre],"no dato",0,1))</f>
        <v>gonzalez,  hernan francisco</v>
      </c>
      <c r="G59" s="88">
        <f t="array" ref="G59">XLOOKUP(C59,datos_laborales[clave_foranea],datos_laborales[N° De Legajo],"no dato",0,1)</f>
        <v>2793</v>
      </c>
      <c r="H59" s="106" t="str">
        <f t="array" ref="H59">XLOOKUP(C59,datos_laborales[clave_foranea], datos_laborales[Inicio Actividad:],"no dato",0,1)</f>
        <v/>
      </c>
      <c r="I59" s="88">
        <f t="array" ref="I59">XLOOKUP(C59,datos_laborales[clave_foranea],datos_laborales[Años en Actividad:],"no dato",0,1)</f>
        <v>126</v>
      </c>
      <c r="J59" s="88">
        <f t="array" ref="J59">XLOOKUP(C59,datos_personales[id:],datos_personales[D.n.i:],"no dato",0,1)</f>
        <v>39665127</v>
      </c>
      <c r="K59" s="89">
        <f t="array" ref="K59">XLOOKUP(C59,datos_personales[id:],datos_personales[Fecha Nacimiento:],"no dato",0,1)</f>
        <v>35253</v>
      </c>
      <c r="L59" s="88">
        <f>COUNTIF(hijos!B:B,C59)</f>
        <v>0</v>
      </c>
      <c r="M59" s="90">
        <f>COUNTIFS(hijos!B:B,C59,hijos!I:I,1)</f>
        <v>0</v>
      </c>
      <c r="N59" s="91">
        <f>COUNTIFS(hijos!B:B,C59,hijos!J:J,1)</f>
        <v>0</v>
      </c>
      <c r="O59" s="91">
        <f>COUNTIFS(hijos!B:B,C59,hijos!K:K,1)</f>
        <v>0</v>
      </c>
      <c r="P59" s="91">
        <f>COUNTIFS(hijos!B:B,C59,hijos!L:L,1)</f>
        <v>0</v>
      </c>
      <c r="Q59" s="91">
        <f t="shared" si="1"/>
        <v>0</v>
      </c>
      <c r="R59" s="103">
        <f t="array" ref="R59">XLOOKUP(C59,datos_personales[id:],datos_personales[Tel. Contacto:],"no dato",0,1)</f>
        <v>1125478930</v>
      </c>
      <c r="S59" s="88" t="str">
        <f t="array" ref="S59">XLOOKUP(C59,datos_personales[id:],datos_personales[E-Mail:],"no dato",0,1)</f>
        <v>francisco78@gmail.com</v>
      </c>
      <c r="T59" s="88" t="str">
        <f t="array" ref="T59">XLOOKUP(R59,telefonos_afiliados[numeros_loys],telefonos_afiliados[esta],"no esta",0,1)</f>
        <v>1</v>
      </c>
      <c r="U59" s="88" t="str">
        <f t="array" ref="U59">XLOOKUP(C59,datos_personales[id:],datos_laborales[renuncio],"no dato",0,1)</f>
        <v>#N/A</v>
      </c>
      <c r="V59" s="104"/>
      <c r="W59" s="78"/>
    </row>
    <row r="60" ht="15.75" hidden="1" customHeight="1">
      <c r="A60" s="79"/>
      <c r="B60" s="80"/>
      <c r="C60" s="81">
        <f>datos_personales[id:]</f>
        <v>39646253</v>
      </c>
      <c r="D60" s="81" t="str">
        <f t="array" ref="D60">XLOOKUP(C60,datos_laborales[clave_foranea],datos_laborales[Relacion de Dependencia],"dato no encontrado",0,1)</f>
        <v>Monotributista</v>
      </c>
      <c r="E60" s="80" t="str">
        <f t="array" ref="E60">XLOOKUP(C60,datos_delegados[clave_foranea:],datos_delegados[En Actividad]," ",0,1)</f>
        <v> </v>
      </c>
      <c r="F60" s="81" t="str">
        <f t="array" ref="F60">CONCATENATE(XLOOKUP(C60,datos_personales[id:],datos_personales[Apellido:],"no dato",0,1),", ",XLOOKUP(C60,datos_personales[id:],datos_personales[Nombre],"no dato",0,1))</f>
        <v>gonzalez churque,  maria pilar</v>
      </c>
      <c r="G60" s="81">
        <f t="array" ref="G60">XLOOKUP(C60,datos_laborales[clave_foranea],datos_laborales[N° De Legajo],"no dato",0,1)</f>
        <v>2473</v>
      </c>
      <c r="H60" s="106" t="str">
        <f t="array" ref="H60">XLOOKUP(C60,datos_laborales[clave_foranea], datos_laborales[Inicio Actividad:],"no dato",0,1)</f>
        <v/>
      </c>
      <c r="I60" s="81">
        <f t="array" ref="I60">XLOOKUP(C60,datos_laborales[clave_foranea],datos_laborales[Años en Actividad:],"no dato",0,1)</f>
        <v>126</v>
      </c>
      <c r="J60" s="81">
        <f t="array" ref="J60">XLOOKUP(C60,datos_personales[id:],datos_personales[D.n.i:],"no dato",0,1)</f>
        <v>39646253</v>
      </c>
      <c r="K60" s="82">
        <f t="array" ref="K60">XLOOKUP(C60,datos_personales[id:],datos_personales[Fecha Nacimiento:],"no dato",0,1)</f>
        <v>35324</v>
      </c>
      <c r="L60" s="81">
        <f>COUNTIF(hijos!B:B,C60)</f>
        <v>0</v>
      </c>
      <c r="M60" s="83">
        <f>COUNTIFS(hijos!B:B,C60,hijos!I:I,1)</f>
        <v>0</v>
      </c>
      <c r="N60" s="84">
        <f>COUNTIFS(hijos!B:B,C60,hijos!J:J,1)</f>
        <v>0</v>
      </c>
      <c r="O60" s="84">
        <f>COUNTIFS(hijos!B:B,C60,hijos!K:K,1)</f>
        <v>0</v>
      </c>
      <c r="P60" s="84">
        <f>COUNTIFS(hijos!B:B,C60,hijos!L:L,1)</f>
        <v>0</v>
      </c>
      <c r="Q60" s="84">
        <f t="shared" si="1"/>
        <v>0</v>
      </c>
      <c r="R60" s="85">
        <f t="array" ref="R60">XLOOKUP(C60,datos_personales[id:],datos_personales[Tel. Contacto:],"no dato",0,1)</f>
        <v>1125061863</v>
      </c>
      <c r="S60" s="81" t="str">
        <f t="array" ref="S60">XLOOKUP(C60,datos_personales[id:],datos_personales[E-Mail:],"no dato",0,1)</f>
        <v>pili.gonzalez.96@gmail.com</v>
      </c>
      <c r="T60" s="81" t="str">
        <f t="array" ref="T60">XLOOKUP(R60,telefonos_afiliados[numeros_loys],telefonos_afiliados[esta],"no esta",0,1)</f>
        <v>1</v>
      </c>
      <c r="U60" s="81" t="str">
        <f t="array" ref="U60">XLOOKUP(C60,datos_personales[id:],datos_laborales[renuncio],"no dato",0,1)</f>
        <v>#N/A</v>
      </c>
      <c r="V60" s="87">
        <f t="array" ref="V60">XLOOKUP(C60,datos_laborales[clave_foranea],datos_laborales[tiene_ficha_pdf],"no tiene ficha pdf",0,1)</f>
        <v>1</v>
      </c>
      <c r="W60" s="78"/>
    </row>
    <row r="61" ht="15.75" hidden="1" customHeight="1">
      <c r="A61" s="79"/>
      <c r="B61" s="80"/>
      <c r="C61" s="88">
        <f>datos_personales[id:]</f>
        <v>28054001</v>
      </c>
      <c r="D61" s="88" t="str">
        <f t="array" ref="D61">XLOOKUP(C61,datos_laborales[clave_foranea],datos_laborales[Relacion de Dependencia],"dato no encontrado",0,1)</f>
        <v>Monotributista</v>
      </c>
      <c r="E61" s="80" t="str">
        <f t="array" ref="E61">XLOOKUP(C61,datos_delegados[clave_foranea:],datos_delegados[En Actividad]," ",0,1)</f>
        <v> </v>
      </c>
      <c r="F61" s="88" t="str">
        <f t="array" ref="F61">CONCATENATE(XLOOKUP(C61,datos_personales[id:],datos_personales[Apellido:],"no dato",0,1),", ",XLOOKUP(C61,datos_personales[id:],datos_personales[Nombre],"no dato",0,1))</f>
        <v>gonzalez,  claudia </v>
      </c>
      <c r="G61" s="88">
        <f t="array" ref="G61">XLOOKUP(C61,datos_laborales[clave_foranea],datos_laborales[N° De Legajo],"no dato",0,1)</f>
        <v>494</v>
      </c>
      <c r="H61" s="89">
        <f t="array" ref="H61">XLOOKUP(C61,datos_laborales[clave_foranea], datos_laborales[Inicio Actividad:],"no dato",0,1)</f>
        <v>42919</v>
      </c>
      <c r="I61" s="88">
        <f t="array" ref="I61">XLOOKUP(C61,datos_laborales[clave_foranea],datos_laborales[Años en Actividad:],"no dato",0,1)</f>
        <v>8</v>
      </c>
      <c r="J61" s="88">
        <f t="array" ref="J61">XLOOKUP(C61,datos_personales[id:],datos_personales[D.n.i:],"no dato",0,1)</f>
        <v>28054001</v>
      </c>
      <c r="K61" s="89">
        <f t="array" ref="K61">XLOOKUP(C61,datos_personales[id:],datos_personales[Fecha Nacimiento:],"no dato",0,1)</f>
        <v>29421</v>
      </c>
      <c r="L61" s="88">
        <f>COUNTIF(hijos!B:B,C61)</f>
        <v>1</v>
      </c>
      <c r="M61" s="90">
        <f>COUNTIFS(hijos!B:B,C61,hijos!I:I,1)</f>
        <v>0</v>
      </c>
      <c r="N61" s="91">
        <f>COUNTIFS(hijos!B:B,C61,hijos!J:J,1)</f>
        <v>0</v>
      </c>
      <c r="O61" s="91">
        <f>COUNTIFS(hijos!B:B,C61,hijos!K:K,1)</f>
        <v>0</v>
      </c>
      <c r="P61" s="91">
        <f>COUNTIFS(hijos!B:B,C61,hijos!L:L,1)</f>
        <v>0</v>
      </c>
      <c r="Q61" s="91">
        <f t="shared" si="1"/>
        <v>0</v>
      </c>
      <c r="R61" s="88">
        <f t="array" ref="R61">XLOOKUP(C61,datos_personales[id:],datos_personales[Tel. Contacto:],"no dato",0,1)</f>
        <v>1168442449</v>
      </c>
      <c r="S61" s="88" t="str">
        <f t="array" ref="S61">XLOOKUP(C61,datos_personales[id:],datos_personales[E-Mail:],"no dato",0,1)</f>
        <v>2001brisasvale@gmail.com</v>
      </c>
      <c r="T61" s="88" t="str">
        <f t="array" ref="T61">XLOOKUP(R61,telefonos_afiliados[numeros_loys],telefonos_afiliados[esta],"no esta",0,1)</f>
        <v>no esta</v>
      </c>
      <c r="U61" s="88" t="str">
        <f t="array" ref="U61">XLOOKUP(C61,datos_laborales[id:],datos_laborales[renuncio],"no dato",0,1)</f>
        <v>no dato</v>
      </c>
      <c r="V61" s="104"/>
      <c r="W61" s="78"/>
    </row>
    <row r="62" ht="15.75" hidden="1" customHeight="1">
      <c r="A62" s="79"/>
      <c r="B62" s="80"/>
      <c r="C62" s="81">
        <f>datos_personales[id:]</f>
        <v>36162205</v>
      </c>
      <c r="D62" s="81" t="str">
        <f t="array" ref="D62">XLOOKUP(C62,datos_laborales[clave_foranea],datos_laborales[Relacion de Dependencia],"dato no encontrado",0,1)</f>
        <v>Monotributista</v>
      </c>
      <c r="E62" s="80" t="str">
        <f t="array" ref="E62">XLOOKUP(C62,datos_delegados[clave_foranea:],datos_delegados[En Actividad]," ",0,1)</f>
        <v> </v>
      </c>
      <c r="F62" s="81" t="str">
        <f t="array" ref="F62">CONCATENATE(XLOOKUP(C62,datos_personales[id:],datos_personales[Apellido:],"no dato",0,1),", ",XLOOKUP(C62,datos_personales[id:],datos_personales[Nombre],"no dato",0,1))</f>
        <v>gonzalez,  ruth esther</v>
      </c>
      <c r="G62" s="81">
        <f t="array" ref="G62">XLOOKUP(C62,datos_laborales[clave_foranea],datos_laborales[N° De Legajo],"no dato",0,1)</f>
        <v>2184</v>
      </c>
      <c r="H62" s="106" t="str">
        <f t="array" ref="H62">XLOOKUP(C62,datos_laborales[clave_foranea], datos_laborales[Inicio Actividad:],"no dato",0,1)</f>
        <v/>
      </c>
      <c r="I62" s="81">
        <f t="array" ref="I62">XLOOKUP(C62,datos_laborales[clave_foranea],datos_laborales[Años en Actividad:],"no dato",0,1)</f>
        <v>126</v>
      </c>
      <c r="J62" s="81">
        <f t="array" ref="J62">XLOOKUP(C62,datos_personales[id:],datos_personales[D.n.i:],"no dato",0,1)</f>
        <v>36162205</v>
      </c>
      <c r="K62" s="106" t="str">
        <f t="array" ref="K62">XLOOKUP(C62,datos_personales[id:],datos_personales[Fecha Nacimiento:],"no dato",0,1)</f>
        <v/>
      </c>
      <c r="L62" s="81">
        <f>COUNTIF(hijos!B:B,C62)</f>
        <v>3</v>
      </c>
      <c r="M62" s="83">
        <f>COUNTIFS(hijos!B:B,C62,hijos!I:I,1)</f>
        <v>0</v>
      </c>
      <c r="N62" s="84">
        <f>COUNTIFS(hijos!B:B,C62,hijos!J:J,1)</f>
        <v>1</v>
      </c>
      <c r="O62" s="84">
        <f>COUNTIFS(hijos!B:B,C62,hijos!K:K,1)</f>
        <v>0</v>
      </c>
      <c r="P62" s="84">
        <f>COUNTIFS(hijos!B:B,C62,hijos!L:L,1)</f>
        <v>2</v>
      </c>
      <c r="Q62" s="84">
        <f t="shared" si="1"/>
        <v>3</v>
      </c>
      <c r="R62" s="81">
        <f t="array" ref="R62">XLOOKUP(C62,datos_personales[id:],datos_personales[Tel. Contacto:],"no dato",0,1)</f>
        <v>1123555040</v>
      </c>
      <c r="S62" s="80" t="str">
        <f t="array" ref="S62">XLOOKUP(C62,datos_personales[id:],datos_personales[E-Mail:],"no dato",0,1)</f>
        <v/>
      </c>
      <c r="T62" s="81" t="str">
        <f t="array" ref="T62">XLOOKUP(R62,telefonos_afiliados[numeros_loys],telefonos_afiliados[esta],"no esta",0,1)</f>
        <v>1</v>
      </c>
      <c r="U62" s="81" t="str">
        <f t="array" ref="U62">XLOOKUP(C62,datos_laborales[id:],datos_laborales[renuncio],"no dato",0,1)</f>
        <v>no dato</v>
      </c>
      <c r="V62" s="104"/>
      <c r="W62" s="78"/>
    </row>
    <row r="63" ht="15.75" hidden="1" customHeight="1">
      <c r="A63" s="79"/>
      <c r="B63" s="80"/>
      <c r="C63" s="88">
        <f>datos_personales[id:]</f>
        <v>27930531</v>
      </c>
      <c r="D63" s="88" t="str">
        <f t="array" ref="D63">XLOOKUP(C63,datos_laborales[clave_foranea],datos_laborales[Relacion de Dependencia],"dato no encontrado",0,1)</f>
        <v>Monotributista</v>
      </c>
      <c r="E63" s="80" t="str">
        <f t="array" ref="E63">XLOOKUP(C63,datos_delegados[clave_foranea:],datos_delegados[En Actividad]," ",0,1)</f>
        <v> </v>
      </c>
      <c r="F63" s="88" t="str">
        <f t="array" ref="F63">CONCATENATE(XLOOKUP(C63,datos_personales[id:],datos_personales[Apellido:],"no dato",0,1),", ",XLOOKUP(C63,datos_personales[id:],datos_personales[Nombre],"no dato",0,1))</f>
        <v>hermida,  vanesa karina</v>
      </c>
      <c r="G63" s="88">
        <f t="array" ref="G63">XLOOKUP(C63,datos_laborales[clave_foranea],datos_laborales[N° De Legajo],"no dato",0,1)</f>
        <v>576</v>
      </c>
      <c r="H63" s="89">
        <f t="array" ref="H63">XLOOKUP(C63,datos_laborales[clave_foranea], datos_laborales[Inicio Actividad:],"no dato",0,1)</f>
        <v>42917</v>
      </c>
      <c r="I63" s="88">
        <f t="array" ref="I63">XLOOKUP(C63,datos_laborales[clave_foranea],datos_laborales[Años en Actividad:],"no dato",0,1)</f>
        <v>8</v>
      </c>
      <c r="J63" s="88">
        <f t="array" ref="J63">XLOOKUP(C63,datos_personales[id:],datos_personales[D.n.i:],"no dato",0,1)</f>
        <v>27930531</v>
      </c>
      <c r="K63" s="89">
        <f t="array" ref="K63">XLOOKUP(C63,datos_personales[id:],datos_personales[Fecha Nacimiento:],"no dato",0,1)</f>
        <v>29291</v>
      </c>
      <c r="L63" s="88">
        <f>COUNTIF(hijos!B:B,C63)</f>
        <v>0</v>
      </c>
      <c r="M63" s="90">
        <f>COUNTIFS(hijos!B:B,C63,hijos!I:I,1)</f>
        <v>0</v>
      </c>
      <c r="N63" s="91">
        <f>COUNTIFS(hijos!B:B,C63,hijos!J:J,1)</f>
        <v>0</v>
      </c>
      <c r="O63" s="91">
        <f>COUNTIFS(hijos!B:B,C63,hijos!K:K,1)</f>
        <v>0</v>
      </c>
      <c r="P63" s="91">
        <f>COUNTIFS(hijos!B:B,C63,hijos!L:L,1)</f>
        <v>0</v>
      </c>
      <c r="Q63" s="91">
        <f t="shared" si="1"/>
        <v>0</v>
      </c>
      <c r="R63" s="88">
        <f t="array" ref="R63">XLOOKUP(C63,datos_personales[id:],datos_personales[Tel. Contacto:],"no dato",0,1)</f>
        <v>1134211980</v>
      </c>
      <c r="S63" s="88" t="str">
        <f t="array" ref="S63">XLOOKUP(C63,datos_personales[id:],datos_personales[E-Mail:],"no dato",0,1)</f>
        <v>vankarher@gmail.com</v>
      </c>
      <c r="T63" s="88" t="str">
        <f t="array" ref="T63">XLOOKUP(R63,telefonos_afiliados[numeros_loys],telefonos_afiliados[esta],"no esta",0,1)</f>
        <v>no esta</v>
      </c>
      <c r="U63" s="88" t="str">
        <f t="array" ref="U63">XLOOKUP(C63,datos_laborales[id:],datos_laborales[renuncio],"no dato",0,1)</f>
        <v>no dato</v>
      </c>
      <c r="V63" s="104"/>
      <c r="W63" s="78"/>
    </row>
    <row r="64" ht="15.75" hidden="1" customHeight="1">
      <c r="A64" s="79"/>
      <c r="B64" s="80"/>
      <c r="C64" s="81">
        <f>datos_personales[id:]</f>
        <v>22447579</v>
      </c>
      <c r="D64" s="81" t="str">
        <f t="array" ref="D64">XLOOKUP(C64,datos_laborales[clave_foranea],datos_laborales[Relacion de Dependencia],"dato no encontrado",0,1)</f>
        <v>Monotributista</v>
      </c>
      <c r="E64" s="80" t="str">
        <f t="array" ref="E64">XLOOKUP(C64,datos_delegados[clave_foranea:],datos_delegados[En Actividad]," ",0,1)</f>
        <v> </v>
      </c>
      <c r="F64" s="81" t="str">
        <f t="array" ref="F64">CONCATENATE(XLOOKUP(C64,datos_personales[id:],datos_personales[Apellido:],"no dato",0,1),", ",XLOOKUP(C64,datos_personales[id:],datos_personales[Nombre],"no dato",0,1))</f>
        <v>hidalgo,  silvia roxana</v>
      </c>
      <c r="G64" s="81">
        <f t="array" ref="G64">XLOOKUP(C64,datos_laborales[clave_foranea],datos_laborales[N° De Legajo],"no dato",0,1)</f>
        <v>1608</v>
      </c>
      <c r="H64" s="82">
        <f t="array" ref="H64">XLOOKUP(C64,datos_laborales[clave_foranea], datos_laborales[Inicio Actividad:],"no dato",0,1)</f>
        <v>43497</v>
      </c>
      <c r="I64" s="81">
        <f t="array" ref="I64">XLOOKUP(C64,datos_laborales[clave_foranea],datos_laborales[Años en Actividad:],"no dato",0,1)</f>
        <v>6</v>
      </c>
      <c r="J64" s="81">
        <f t="array" ref="J64">XLOOKUP(C64,datos_personales[id:],datos_personales[D.n.i:],"no dato",0,1)</f>
        <v>22447579</v>
      </c>
      <c r="K64" s="82">
        <f t="array" ref="K64">XLOOKUP(C64,datos_personales[id:],datos_personales[Fecha Nacimiento:],"no dato",0,1)</f>
        <v>26202</v>
      </c>
      <c r="L64" s="81">
        <f>COUNTIF(hijos!B:B,C64)</f>
        <v>2</v>
      </c>
      <c r="M64" s="83">
        <f>COUNTIFS(hijos!B:B,C64,hijos!I:I,1)</f>
        <v>0</v>
      </c>
      <c r="N64" s="84">
        <f>COUNTIFS(hijos!B:B,C64,hijos!J:J,1)</f>
        <v>0</v>
      </c>
      <c r="O64" s="84">
        <f>COUNTIFS(hijos!B:B,C64,hijos!K:K,1)</f>
        <v>0</v>
      </c>
      <c r="P64" s="84">
        <f>COUNTIFS(hijos!B:B,C64,hijos!L:L,1)</f>
        <v>2</v>
      </c>
      <c r="Q64" s="84">
        <f t="shared" si="1"/>
        <v>2</v>
      </c>
      <c r="R64" s="81">
        <f t="array" ref="R64">XLOOKUP(C64,datos_personales[id:],datos_personales[Tel. Contacto:],"no dato",0,1)</f>
        <v>1135003642</v>
      </c>
      <c r="S64" s="81" t="str">
        <f t="array" ref="S64">XLOOKUP(C64,datos_personales[id:],datos_personales[E-Mail:],"no dato",0,1)</f>
        <v>Silviahidalgo71@yahoo.com.ar </v>
      </c>
      <c r="T64" s="81" t="str">
        <f t="array" ref="T64">XLOOKUP(R64,telefonos_afiliados[numeros_loys],telefonos_afiliados[esta],"no esta",0,1)</f>
        <v>no esta</v>
      </c>
      <c r="U64" s="80"/>
      <c r="V64" s="104"/>
      <c r="W64" s="78"/>
    </row>
    <row r="65" ht="15.75" hidden="1" customHeight="1">
      <c r="A65" s="79"/>
      <c r="B65" s="80"/>
      <c r="C65" s="88">
        <f>datos_personales[id:]</f>
        <v>28735010</v>
      </c>
      <c r="D65" s="88" t="str">
        <f t="array" ref="D65">XLOOKUP(C65,datos_laborales[clave_foranea],datos_laborales[Relacion de Dependencia],"dato no encontrado",0,1)</f>
        <v>Monotributista</v>
      </c>
      <c r="E65" s="80" t="str">
        <f t="array" ref="E65">XLOOKUP(C65,datos_delegados[clave_foranea:],datos_delegados[En Actividad]," ",0,1)</f>
        <v> </v>
      </c>
      <c r="F65" s="88" t="str">
        <f t="array" ref="F65">CONCATENATE(XLOOKUP(C65,datos_personales[id:],datos_personales[Apellido:],"no dato",0,1),", ",XLOOKUP(C65,datos_personales[id:],datos_personales[Nombre],"no dato",0,1))</f>
        <v>ibañez,  maria ines</v>
      </c>
      <c r="G65" s="88">
        <f t="array" ref="G65">XLOOKUP(C65,datos_laborales[clave_foranea],datos_laborales[N° De Legajo],"no dato",0,1)</f>
        <v>1410</v>
      </c>
      <c r="H65" s="89">
        <f t="array" ref="H65">XLOOKUP(C65,datos_laborales[clave_foranea], datos_laborales[Inicio Actividad:],"no dato",0,1)</f>
        <v>41640</v>
      </c>
      <c r="I65" s="88">
        <f t="array" ref="I65">XLOOKUP(C65,datos_laborales[clave_foranea],datos_laborales[Años en Actividad:],"no dato",0,1)</f>
        <v>11</v>
      </c>
      <c r="J65" s="88">
        <f t="array" ref="J65">XLOOKUP(C65,datos_personales[id:],datos_personales[D.n.i:],"no dato",0,1)</f>
        <v>28735010</v>
      </c>
      <c r="K65" s="89">
        <f t="array" ref="K65">XLOOKUP(C65,datos_personales[id:],datos_personales[Fecha Nacimiento:],"no dato",0,1)</f>
        <v>29656</v>
      </c>
      <c r="L65" s="88">
        <f>COUNTIF(hijos!B:B,C65)</f>
        <v>2</v>
      </c>
      <c r="M65" s="90">
        <f>COUNTIFS(hijos!B:B,C65,hijos!I:I,1)</f>
        <v>0</v>
      </c>
      <c r="N65" s="91">
        <f>COUNTIFS(hijos!B:B,C65,hijos!J:J,1)</f>
        <v>1</v>
      </c>
      <c r="O65" s="91">
        <f>COUNTIFS(hijos!B:B,C65,hijos!K:K,1)</f>
        <v>1</v>
      </c>
      <c r="P65" s="91">
        <f>COUNTIFS(hijos!B:B,C65,hijos!L:L,1)</f>
        <v>0</v>
      </c>
      <c r="Q65" s="91">
        <f t="shared" si="1"/>
        <v>2</v>
      </c>
      <c r="R65" s="88">
        <f t="array" ref="R65">XLOOKUP(C65,datos_personales[id:],datos_personales[Tel. Contacto:],"no dato",0,1)</f>
        <v>1176525294</v>
      </c>
      <c r="S65" s="88" t="str">
        <f t="array" ref="S65">XLOOKUP(C65,datos_personales[id:],datos_personales[E-Mail:],"no dato",0,1)</f>
        <v>mariaines37@hotmail.com</v>
      </c>
      <c r="T65" s="88" t="str">
        <f t="array" ref="T65">XLOOKUP(R65,telefonos_afiliados[numeros_loys],telefonos_afiliados[esta],"no esta",0,1)</f>
        <v>1</v>
      </c>
      <c r="U65" s="88" t="str">
        <f t="array" ref="U65">XLOOKUP(C65,datos_laborales[id:],datos_laborales[renuncio],"no dato",0,1)</f>
        <v>no dato</v>
      </c>
      <c r="V65" s="101" t="s">
        <v>1169</v>
      </c>
      <c r="W65" s="78"/>
    </row>
    <row r="66" ht="15.75" hidden="1" customHeight="1">
      <c r="A66" s="79"/>
      <c r="B66" s="80"/>
      <c r="C66" s="81">
        <f>datos_personales[id:]</f>
        <v>94521109</v>
      </c>
      <c r="D66" s="81" t="str">
        <f t="array" ref="D66">XLOOKUP(C66,datos_laborales[clave_foranea],datos_laborales[Relacion de Dependencia],"dato no encontrado",0,1)</f>
        <v>Monotributista</v>
      </c>
      <c r="E66" s="80" t="str">
        <f t="array" ref="E66">XLOOKUP(C66,datos_delegados[clave_foranea:],datos_delegados[En Actividad]," ",0,1)</f>
        <v> </v>
      </c>
      <c r="F66" s="81" t="str">
        <f t="array" ref="F66">CONCATENATE(XLOOKUP(C66,datos_personales[id:],datos_personales[Apellido:],"no dato",0,1),", ",XLOOKUP(C66,datos_personales[id:],datos_personales[Nombre],"no dato",0,1))</f>
        <v>insfran gutierrez,  johanna yanett </v>
      </c>
      <c r="G66" s="81">
        <f t="array" ref="G66">XLOOKUP(C66,datos_laborales[clave_foranea],datos_laborales[N° De Legajo],"no dato",0,1)</f>
        <v>577</v>
      </c>
      <c r="H66" s="82">
        <f t="array" ref="H66">XLOOKUP(C66,datos_laborales[clave_foranea], datos_laborales[Inicio Actividad:],"no dato",0,1)</f>
        <v>42919</v>
      </c>
      <c r="I66" s="81">
        <f t="array" ref="I66">XLOOKUP(C66,datos_laborales[clave_foranea],datos_laborales[Años en Actividad:],"no dato",0,1)</f>
        <v>8</v>
      </c>
      <c r="J66" s="81">
        <f t="array" ref="J66">XLOOKUP(C66,datos_personales[id:],datos_personales[D.n.i:],"no dato",0,1)</f>
        <v>94521109</v>
      </c>
      <c r="K66" s="82">
        <f t="array" ref="K66">XLOOKUP(C66,datos_personales[id:],datos_personales[Fecha Nacimiento:],"no dato",0,1)</f>
        <v>32549</v>
      </c>
      <c r="L66" s="81">
        <f>COUNTIF(hijos!B:B,C66)</f>
        <v>1</v>
      </c>
      <c r="M66" s="83">
        <f>COUNTIFS(hijos!B:B,C66,hijos!I:I,1)</f>
        <v>0</v>
      </c>
      <c r="N66" s="84">
        <f>COUNTIFS(hijos!B:B,C66,hijos!J:J,1)</f>
        <v>1</v>
      </c>
      <c r="O66" s="84">
        <f>COUNTIFS(hijos!B:B,C66,hijos!K:K,1)</f>
        <v>0</v>
      </c>
      <c r="P66" s="84">
        <f>COUNTIFS(hijos!B:B,C66,hijos!L:L,1)</f>
        <v>0</v>
      </c>
      <c r="Q66" s="84">
        <f t="shared" si="1"/>
        <v>1</v>
      </c>
      <c r="R66" s="92" t="str">
        <f t="array" ref="R66">XLOOKUP(C66,datos_personales[id:],datos_personales[Tel. Contacto:],"no dato",0,1)</f>
        <v/>
      </c>
      <c r="S66" s="81" t="str">
        <f t="array" ref="S66">XLOOKUP(C66,datos_personales[id:],datos_personales[E-Mail:],"no dato",0,1)</f>
        <v>johannainsfran@gmail.com</v>
      </c>
      <c r="T66" s="81" t="str">
        <f t="array" ref="T66">XLOOKUP(R66,telefonos_afiliados[numeros_loys],telefonos_afiliados[esta],"no esta",0,1)</f>
        <v>no esta</v>
      </c>
      <c r="U66" s="81" t="str">
        <f t="array" ref="U66">XLOOKUP(C66,datos_laborales[id:],datos_laborales[renuncio],"no dato",0,1)</f>
        <v>no dato</v>
      </c>
      <c r="V66" s="87" t="str">
        <f t="array" ref="V66">XLOOKUP(C66,datos_laborales[clave_foranea],datos_laborales[tiene_ficha_pdf],"no tiene ficha pdf",0,1)</f>
        <v>no tiene en pdf</v>
      </c>
      <c r="W66" s="78"/>
    </row>
    <row r="67" ht="15.75" hidden="1" customHeight="1">
      <c r="A67" s="79"/>
      <c r="B67" s="80"/>
      <c r="C67" s="88">
        <f>datos_personales[id:]</f>
        <v>94290896</v>
      </c>
      <c r="D67" s="88" t="str">
        <f t="array" ref="D67">XLOOKUP(C67,datos_laborales[clave_foranea],datos_laborales[Relacion de Dependencia],"dato no encontrado",0,1)</f>
        <v>Monotributista</v>
      </c>
      <c r="E67" s="80" t="str">
        <f t="array" ref="E67">XLOOKUP(C67,datos_delegados[clave_foranea:],datos_delegados[En Actividad]," ",0,1)</f>
        <v> </v>
      </c>
      <c r="F67" s="88" t="str">
        <f t="array" ref="F67">CONCATENATE(XLOOKUP(C67,datos_personales[id:],datos_personales[Apellido:],"no dato",0,1),", ",XLOOKUP(C67,datos_personales[id:],datos_personales[Nombre],"no dato",0,1))</f>
        <v>irala,  liz </v>
      </c>
      <c r="G67" s="88">
        <f t="array" ref="G67">XLOOKUP(C67,datos_laborales[clave_foranea],datos_laborales[N° De Legajo],"no dato",0,1)</f>
        <v>1326</v>
      </c>
      <c r="H67" s="89">
        <f t="array" ref="H67">XLOOKUP(C67,datos_laborales[clave_foranea], datos_laborales[Inicio Actividad:],"no dato",0,1)</f>
        <v>43132</v>
      </c>
      <c r="I67" s="88">
        <f t="array" ref="I67">XLOOKUP(C67,datos_laborales[clave_foranea],datos_laborales[Años en Actividad:],"no dato",0,1)</f>
        <v>7</v>
      </c>
      <c r="J67" s="88">
        <f t="array" ref="J67">XLOOKUP(C67,datos_personales[id:],datos_personales[D.n.i:],"no dato",0,1)</f>
        <v>94290896</v>
      </c>
      <c r="K67" s="89">
        <f t="array" ref="K67">XLOOKUP(C67,datos_personales[id:],datos_personales[Fecha Nacimiento:],"no dato",0,1)</f>
        <v>34136</v>
      </c>
      <c r="L67" s="88">
        <f>COUNTIF(hijos!B:B,C67)</f>
        <v>1</v>
      </c>
      <c r="M67" s="90">
        <f>COUNTIFS(hijos!B:B,C67,hijos!I:I,1)</f>
        <v>0</v>
      </c>
      <c r="N67" s="91">
        <f>COUNTIFS(hijos!B:B,C67,hijos!J:J,1)</f>
        <v>1</v>
      </c>
      <c r="O67" s="91">
        <f>COUNTIFS(hijos!B:B,C67,hijos!K:K,1)</f>
        <v>0</v>
      </c>
      <c r="P67" s="91">
        <f>COUNTIFS(hijos!B:B,C67,hijos!L:L,1)</f>
        <v>0</v>
      </c>
      <c r="Q67" s="91">
        <f t="shared" si="1"/>
        <v>1</v>
      </c>
      <c r="R67" s="88">
        <f t="array" ref="R67">XLOOKUP(C67,datos_personales[id:],datos_personales[Tel. Contacto:],"no dato",0,1)</f>
        <v>1136269477</v>
      </c>
      <c r="S67" s="88" t="str">
        <f t="array" ref="S67">XLOOKUP(C67,datos_personales[id:],datos_personales[E-Mail:],"no dato",0,1)</f>
        <v>lizirala2604@gmail.com</v>
      </c>
      <c r="T67" s="88" t="str">
        <f t="array" ref="T67">XLOOKUP(R67,telefonos_afiliados[numeros_loys],telefonos_afiliados[esta],"no esta",0,1)</f>
        <v>1</v>
      </c>
      <c r="U67" s="88" t="str">
        <f t="array" ref="U67">XLOOKUP(C67,datos_laborales[id:],datos_laborales[renuncio],"no dato",0,1)</f>
        <v>no dato</v>
      </c>
      <c r="V67" s="104"/>
      <c r="W67" s="78"/>
    </row>
    <row r="68" ht="15.75" hidden="1" customHeight="1">
      <c r="A68" s="79"/>
      <c r="B68" s="80"/>
      <c r="C68" s="94">
        <f>datos_personales[id:]</f>
        <v>29319005</v>
      </c>
      <c r="D68" s="94" t="str">
        <f t="array" ref="D68">XLOOKUP(C68,datos_laborales[clave_foranea],datos_laborales[Relacion de Dependencia],"dato no encontrado",0,1)</f>
        <v>Monotributista</v>
      </c>
      <c r="E68" s="94">
        <f t="array" ref="E68">XLOOKUP(C68,datos_delegados[clave_foranea:],datos_delegados[En Actividad]," ",0,1)</f>
        <v>1</v>
      </c>
      <c r="F68" s="94" t="str">
        <f t="array" ref="F68">CONCATENATE(XLOOKUP(C68,datos_personales[id:],datos_personales[Apellido:],"no dato",0,1),", ",XLOOKUP(C68,datos_personales[id:],datos_personales[Nombre],"no dato",0,1))</f>
        <v>jofre,  vivian</v>
      </c>
      <c r="G68" s="94">
        <f t="array" ref="G68">XLOOKUP(C68,datos_laborales[clave_foranea],datos_laborales[N° De Legajo],"no dato",0,1)</f>
        <v>343</v>
      </c>
      <c r="H68" s="95">
        <f t="array" ref="H68">XLOOKUP(C68,datos_laborales[clave_foranea], datos_laborales[Inicio Actividad:],"no dato",0,1)</f>
        <v>42856</v>
      </c>
      <c r="I68" s="94">
        <f t="array" ref="I68">XLOOKUP(C68,datos_laborales[clave_foranea],datos_laborales[Años en Actividad:],"no dato",0,1)</f>
        <v>8</v>
      </c>
      <c r="J68" s="94">
        <f t="array" ref="J68">XLOOKUP(C68,datos_personales[id:],datos_personales[D.n.i:],"no dato",0,1)</f>
        <v>29319005</v>
      </c>
      <c r="K68" s="95">
        <f t="array" ref="K68">XLOOKUP(C68,datos_personales[id:],datos_personales[Fecha Nacimiento:],"no dato",0,1)</f>
        <v>29991</v>
      </c>
      <c r="L68" s="94">
        <f>COUNTIF(hijos!B:B,C68)</f>
        <v>1</v>
      </c>
      <c r="M68" s="96">
        <f>COUNTIFS(hijos!B:B,C68,hijos!I:I,1)</f>
        <v>0</v>
      </c>
      <c r="N68" s="97">
        <f>COUNTIFS(hijos!B:B,C68,hijos!J:J,1)</f>
        <v>0</v>
      </c>
      <c r="O68" s="97">
        <f>COUNTIFS(hijos!B:B,C68,hijos!K:K,1)</f>
        <v>1</v>
      </c>
      <c r="P68" s="97">
        <f>COUNTIFS(hijos!B:B,C68,hijos!L:L,1)</f>
        <v>0</v>
      </c>
      <c r="Q68" s="97">
        <f t="shared" si="1"/>
        <v>1</v>
      </c>
      <c r="R68" s="94">
        <f t="array" ref="R68">XLOOKUP(C68,datos_personales[id:],datos_personales[Tel. Contacto:],"no dato",0,1)</f>
        <v>1131374280</v>
      </c>
      <c r="S68" s="80" t="str">
        <f t="array" ref="S68">XLOOKUP(C68,datos_personales[id:],datos_personales[E-Mail:],"no dato",0,1)</f>
        <v/>
      </c>
      <c r="T68" s="94" t="str">
        <f t="array" ref="T68">XLOOKUP(R68,telefonos_afiliados[numeros_loys],telefonos_afiliados[esta],"no esta",0,1)</f>
        <v>1</v>
      </c>
      <c r="U68" s="80"/>
      <c r="V68" s="104"/>
      <c r="W68" s="78"/>
    </row>
    <row r="69" ht="15.75" hidden="1" customHeight="1">
      <c r="A69" s="79"/>
      <c r="B69" s="80"/>
      <c r="C69" s="94">
        <f>datos_personales[id:]</f>
        <v>31703988</v>
      </c>
      <c r="D69" s="94" t="str">
        <f t="array" ref="D69">XLOOKUP(C69,datos_laborales[clave_foranea],datos_laborales[Relacion de Dependencia],"dato no encontrado",0,1)</f>
        <v>Monotributista</v>
      </c>
      <c r="E69" s="94">
        <f t="array" ref="E69">XLOOKUP(C69,datos_delegados[clave_foranea:],datos_delegados[En Actividad]," ",0,1)</f>
        <v>1</v>
      </c>
      <c r="F69" s="94" t="str">
        <f t="array" ref="F69">CONCATENATE(XLOOKUP(C69,datos_personales[id:],datos_personales[Apellido:],"no dato",0,1),", ",XLOOKUP(C69,datos_personales[id:],datos_personales[Nombre],"no dato",0,1))</f>
        <v>jurado usabarrena,  lourdes anabel</v>
      </c>
      <c r="G69" s="94">
        <f t="array" ref="G69">XLOOKUP(C69,datos_laborales[clave_foranea],datos_laborales[N° De Legajo],"no dato",0,1)</f>
        <v>779</v>
      </c>
      <c r="H69" s="95">
        <f t="array" ref="H69">XLOOKUP(C69,datos_laborales[clave_foranea], datos_laborales[Inicio Actividad:],"no dato",0,1)</f>
        <v>42948</v>
      </c>
      <c r="I69" s="94">
        <f t="array" ref="I69">XLOOKUP(C69,datos_laborales[clave_foranea],datos_laborales[Años en Actividad:],"no dato",0,1)</f>
        <v>8</v>
      </c>
      <c r="J69" s="94">
        <f t="array" ref="J69">XLOOKUP(C69,datos_personales[id:],datos_personales[D.n.i:],"no dato",0,1)</f>
        <v>31703988</v>
      </c>
      <c r="K69" s="95">
        <f t="array" ref="K69">XLOOKUP(C69,datos_personales[id:],datos_personales[Fecha Nacimiento:],"no dato",0,1)</f>
        <v>31240</v>
      </c>
      <c r="L69" s="94">
        <f>COUNTIF(hijos!B:B,C69)</f>
        <v>0</v>
      </c>
      <c r="M69" s="96">
        <f>COUNTIFS(hijos!B:B,C69,hijos!I:I,1)</f>
        <v>0</v>
      </c>
      <c r="N69" s="97">
        <f>COUNTIFS(hijos!B:B,C69,hijos!J:J,1)</f>
        <v>0</v>
      </c>
      <c r="O69" s="97">
        <f>COUNTIFS(hijos!B:B,C69,hijos!K:K,1)</f>
        <v>0</v>
      </c>
      <c r="P69" s="97">
        <f>COUNTIFS(hijos!B:B,C69,hijos!L:L,1)</f>
        <v>0</v>
      </c>
      <c r="Q69" s="97">
        <f t="shared" si="1"/>
        <v>0</v>
      </c>
      <c r="R69" s="92" t="str">
        <f t="array" ref="R69">XLOOKUP(C69,datos_personales[id:],datos_personales[Tel. Contacto:],"no dato",0,1)</f>
        <v/>
      </c>
      <c r="S69" s="94" t="str">
        <f t="array" ref="S69">XLOOKUP(C69,datos_personales[id:],datos_personales[E-Mail:],"no dato",0,1)</f>
        <v>lourdesjurado85@gmail.com</v>
      </c>
      <c r="T69" s="94" t="str">
        <f t="array" ref="T69">XLOOKUP(R69,telefonos_afiliados[numeros_loys],telefonos_afiliados[esta],"no esta",0,1)</f>
        <v>no esta</v>
      </c>
      <c r="U69" s="94" t="str">
        <f t="array" ref="U69">XLOOKUP(C69,datos_laborales[id:],datos_laborales[renuncio],"no dato",0,1)</f>
        <v>no dato</v>
      </c>
      <c r="V69" s="99" t="str">
        <f t="array" ref="V69">XLOOKUP(C69,datos_laborales[clave_foranea],datos_laborales[tiene_ficha_pdf],"no tiene ficha pdf",0,1)</f>
        <v>no tiene en pdf</v>
      </c>
      <c r="W69" s="78"/>
    </row>
    <row r="70" ht="15.75" hidden="1" customHeight="1">
      <c r="A70" s="79"/>
      <c r="B70" s="80"/>
      <c r="C70" s="94">
        <f>datos_personales[id:]</f>
        <v>30455729</v>
      </c>
      <c r="D70" s="94" t="str">
        <f t="array" ref="D70">XLOOKUP(C70,datos_laborales[clave_foranea],datos_laborales[Relacion de Dependencia],"dato no encontrado",0,1)</f>
        <v>Planta Transitoria</v>
      </c>
      <c r="E70" s="94">
        <f t="array" ref="E70">XLOOKUP(C70,datos_delegados[clave_foranea:],datos_delegados[En Actividad]," ",0,1)</f>
        <v>1</v>
      </c>
      <c r="F70" s="94" t="str">
        <f t="array" ref="F70">CONCATENATE(XLOOKUP(C70,datos_personales[id:],datos_personales[Apellido:],"no dato",0,1),", ",XLOOKUP(C70,datos_personales[id:],datos_personales[Nombre],"no dato",0,1))</f>
        <v>kehoe,  marianela</v>
      </c>
      <c r="G70" s="94">
        <f t="array" ref="G70">XLOOKUP(C70,datos_laborales[clave_foranea],datos_laborales[N° De Legajo],"no dato",0,1)</f>
        <v>129</v>
      </c>
      <c r="H70" s="95">
        <f t="array" ref="H70">XLOOKUP(C70,datos_laborales[clave_foranea], datos_laborales[Inicio Actividad:],"no dato",0,1)</f>
        <v>41818</v>
      </c>
      <c r="I70" s="94">
        <f t="array" ref="I70">XLOOKUP(C70,datos_laborales[clave_foranea],datos_laborales[Años en Actividad:],"no dato",0,1)</f>
        <v>11</v>
      </c>
      <c r="J70" s="94">
        <f t="array" ref="J70">XLOOKUP(C70,datos_personales[id:],datos_personales[D.n.i:],"no dato",0,1)</f>
        <v>30455729</v>
      </c>
      <c r="K70" s="95">
        <f t="array" ref="K70">XLOOKUP(C70,datos_personales[id:],datos_personales[Fecha Nacimiento:],"no dato",0,1)</f>
        <v>30612</v>
      </c>
      <c r="L70" s="94">
        <f>COUNTIF(hijos!B:B,C70)</f>
        <v>3</v>
      </c>
      <c r="M70" s="96">
        <f>COUNTIFS(hijos!B:B,C70,hijos!I:I,1)</f>
        <v>0</v>
      </c>
      <c r="N70" s="97">
        <f>COUNTIFS(hijos!B:B,C70,hijos!J:J,1)</f>
        <v>0</v>
      </c>
      <c r="O70" s="97">
        <f>COUNTIFS(hijos!B:B,C70,hijos!K:K,1)</f>
        <v>0</v>
      </c>
      <c r="P70" s="97">
        <f>COUNTIFS(hijos!B:B,C70,hijos!L:L,1)</f>
        <v>0</v>
      </c>
      <c r="Q70" s="97">
        <f t="shared" si="1"/>
        <v>0</v>
      </c>
      <c r="R70" s="94">
        <f t="array" ref="R70">XLOOKUP(C70,datos_personales[id:],datos_personales[Tel. Contacto:],"no dato",0,1)</f>
        <v>1127588744</v>
      </c>
      <c r="S70" s="94" t="str">
        <f t="array" ref="S70">XLOOKUP(C70,datos_personales[id:],datos_personales[E-Mail:],"no dato",0,1)</f>
        <v>Mariankehoe83@hotmail.com</v>
      </c>
      <c r="T70" s="94" t="str">
        <f t="array" ref="T70">XLOOKUP(R70,telefonos_afiliados[numeros_loys],telefonos_afiliados[esta],"no esta",0,1)</f>
        <v>1</v>
      </c>
      <c r="U70" s="80"/>
      <c r="V70" s="104"/>
      <c r="W70" s="78"/>
    </row>
    <row r="71" ht="15.75" hidden="1" customHeight="1">
      <c r="A71" s="79"/>
      <c r="B71" s="80"/>
      <c r="C71" s="88">
        <f>datos_personales[id:]</f>
        <v>43406398</v>
      </c>
      <c r="D71" s="88" t="str">
        <f t="array" ref="D71">XLOOKUP(C71,datos_laborales[clave_foranea],datos_laborales[Relacion de Dependencia],"dato no encontrado",0,1)</f>
        <v>Monotributista</v>
      </c>
      <c r="E71" s="80" t="str">
        <f t="array" ref="E71">XLOOKUP(C71,datos_delegados[clave_foranea:],datos_delegados[En Actividad]," ",0,1)</f>
        <v> </v>
      </c>
      <c r="F71" s="88" t="str">
        <f t="array" ref="F71">CONCATENATE(XLOOKUP(C71,datos_personales[id:],datos_personales[Apellido:],"no dato",0,1),", ",XLOOKUP(C71,datos_personales[id:],datos_personales[Nombre],"no dato",0,1))</f>
        <v>kim,  sabrina leila</v>
      </c>
      <c r="G71" s="88">
        <f t="array" ref="G71">XLOOKUP(C71,datos_laborales[clave_foranea],datos_laborales[N° De Legajo],"no dato",0,1)</f>
        <v>1969</v>
      </c>
      <c r="H71" s="106" t="str">
        <f t="array" ref="H71">XLOOKUP(C71,datos_laborales[clave_foranea], datos_laborales[Inicio Actividad:],"no dato",0,1)</f>
        <v/>
      </c>
      <c r="I71" s="88">
        <f t="array" ref="I71">XLOOKUP(C71,datos_laborales[clave_foranea],datos_laborales[Años en Actividad:],"no dato",0,1)</f>
        <v>126</v>
      </c>
      <c r="J71" s="88">
        <f t="array" ref="J71">XLOOKUP(C71,datos_personales[id:],datos_personales[D.n.i:],"no dato",0,1)</f>
        <v>43406398</v>
      </c>
      <c r="K71" s="89">
        <f t="array" ref="K71">XLOOKUP(C71,datos_personales[id:],datos_personales[Fecha Nacimiento:],"no dato",0,1)</f>
        <v>37062</v>
      </c>
      <c r="L71" s="88">
        <f>COUNTIF(hijos!B:B,C71)</f>
        <v>0</v>
      </c>
      <c r="M71" s="90">
        <f>COUNTIFS(hijos!B:B,C71,hijos!I:I,1)</f>
        <v>0</v>
      </c>
      <c r="N71" s="91">
        <f>COUNTIFS(hijos!B:B,C71,hijos!J:J,1)</f>
        <v>0</v>
      </c>
      <c r="O71" s="91">
        <f>COUNTIFS(hijos!B:B,C71,hijos!K:K,1)</f>
        <v>0</v>
      </c>
      <c r="P71" s="91">
        <f>COUNTIFS(hijos!B:B,C71,hijos!L:L,1)</f>
        <v>0</v>
      </c>
      <c r="Q71" s="91">
        <f t="shared" si="1"/>
        <v>0</v>
      </c>
      <c r="R71" s="103">
        <f t="array" ref="R71">XLOOKUP(C71,datos_personales[id:],datos_personales[Tel. Contacto:],"no dato",0,1)</f>
        <v>1165567776</v>
      </c>
      <c r="S71" s="88" t="str">
        <f t="array" ref="S71">XLOOKUP(C71,datos_personales[id:],datos_personales[E-Mail:],"no dato",0,1)</f>
        <v>skleila2001@hotmail.com</v>
      </c>
      <c r="T71" s="88" t="str">
        <f t="array" ref="T71">XLOOKUP(R71,telefonos_afiliados[numeros_loys],telefonos_afiliados[esta],"no esta",0,1)</f>
        <v>1</v>
      </c>
      <c r="U71" s="88" t="str">
        <f t="array" ref="U71">XLOOKUP(C71,datos_personales[id:],datos_laborales[renuncio],"no dato",0,1)</f>
        <v>#N/A</v>
      </c>
      <c r="V71" s="93">
        <f t="array" ref="V71">XLOOKUP(C71,datos_laborales[clave_foranea],datos_laborales[tiene_ficha_pdf],"no tiene ficha pdf",0,1)</f>
        <v>1</v>
      </c>
      <c r="W71" s="78"/>
    </row>
    <row r="72" ht="15.75" hidden="1" customHeight="1">
      <c r="A72" s="79"/>
      <c r="B72" s="80"/>
      <c r="C72" s="94">
        <f>datos_personales[id:]</f>
        <v>34583817</v>
      </c>
      <c r="D72" s="94" t="str">
        <f t="array" ref="D72">XLOOKUP(C72,datos_laborales[clave_foranea],datos_laborales[Relacion de Dependencia],"dato no encontrado",0,1)</f>
        <v>Planta Transitoria</v>
      </c>
      <c r="E72" s="94">
        <f t="array" ref="E72">XLOOKUP(C72,datos_delegados[clave_foranea:],datos_delegados[En Actividad]," ",0,1)</f>
        <v>1</v>
      </c>
      <c r="F72" s="94" t="str">
        <f t="array" ref="F72">CONCATENATE(XLOOKUP(C72,datos_personales[id:],datos_personales[Apellido:],"no dato",0,1),", ",XLOOKUP(C72,datos_personales[id:],datos_personales[Nombre],"no dato",0,1))</f>
        <v>larche,  dario ezequiel </v>
      </c>
      <c r="G72" s="94">
        <f t="array" ref="G72">XLOOKUP(C72,datos_laborales[clave_foranea],datos_laborales[N° De Legajo],"no dato",0,1)</f>
        <v>166</v>
      </c>
      <c r="H72" s="95">
        <f t="array" ref="H72">XLOOKUP(C72,datos_laborales[clave_foranea], datos_laborales[Inicio Actividad:],"no dato",0,1)</f>
        <v>41692</v>
      </c>
      <c r="I72" s="94">
        <f t="array" ref="I72">XLOOKUP(C72,datos_laborales[clave_foranea],datos_laborales[Años en Actividad:],"no dato",0,1)</f>
        <v>11</v>
      </c>
      <c r="J72" s="94">
        <f t="array" ref="J72">XLOOKUP(C72,datos_personales[id:],datos_personales[D.n.i:],"no dato",0,1)</f>
        <v>34583817</v>
      </c>
      <c r="K72" s="95">
        <f t="array" ref="K72">XLOOKUP(C72,datos_personales[id:],datos_personales[Fecha Nacimiento:],"no dato",0,1)</f>
        <v>32698</v>
      </c>
      <c r="L72" s="94">
        <f>COUNTIF(hijos!B:B,C72)</f>
        <v>0</v>
      </c>
      <c r="M72" s="96">
        <f>COUNTIFS(hijos!B:B,C72,hijos!I:I,1)</f>
        <v>0</v>
      </c>
      <c r="N72" s="97">
        <f>COUNTIFS(hijos!B:B,C72,hijos!J:J,1)</f>
        <v>0</v>
      </c>
      <c r="O72" s="97">
        <f>COUNTIFS(hijos!B:B,C72,hijos!K:K,1)</f>
        <v>0</v>
      </c>
      <c r="P72" s="97">
        <f>COUNTIFS(hijos!B:B,C72,hijos!L:L,1)</f>
        <v>0</v>
      </c>
      <c r="Q72" s="97">
        <f t="shared" si="1"/>
        <v>0</v>
      </c>
      <c r="R72" s="94">
        <f t="array" ref="R72">XLOOKUP(C72,datos_personales[id:],datos_personales[Tel. Contacto:],"no dato",0,1)</f>
        <v>1125670074</v>
      </c>
      <c r="S72" s="94" t="str">
        <f t="array" ref="S72">XLOOKUP(C72,datos_personales[id:],datos_personales[E-Mail:],"no dato",0,1)</f>
        <v>dario_larche89@hotmail.com</v>
      </c>
      <c r="T72" s="94" t="str">
        <f t="array" ref="T72">XLOOKUP(R72,telefonos_afiliados[numeros_loys],telefonos_afiliados[esta],"no esta",0,1)</f>
        <v>1</v>
      </c>
      <c r="U72" s="80"/>
      <c r="V72" s="104"/>
      <c r="W72" s="78"/>
    </row>
    <row r="73" ht="15.75" hidden="1" customHeight="1">
      <c r="A73" s="79"/>
      <c r="B73" s="80"/>
      <c r="C73" s="88">
        <f>datos_personales[id:]</f>
        <v>25422284</v>
      </c>
      <c r="D73" s="88" t="str">
        <f t="array" ref="D73">XLOOKUP(C73,datos_laborales[clave_foranea],datos_laborales[Relacion de Dependencia],"dato no encontrado",0,1)</f>
        <v>Monotributista</v>
      </c>
      <c r="E73" s="80" t="str">
        <f t="array" ref="E73">XLOOKUP(C73,datos_delegados[clave_foranea:],datos_delegados[En Actividad]," ",0,1)</f>
        <v> </v>
      </c>
      <c r="F73" s="88" t="str">
        <f t="array" ref="F73">CONCATENATE(XLOOKUP(C73,datos_personales[id:],datos_personales[Apellido:],"no dato",0,1),", ",XLOOKUP(C73,datos_personales[id:],datos_personales[Nombre],"no dato",0,1))</f>
        <v>lenisa,  nancy yanina</v>
      </c>
      <c r="G73" s="88">
        <f t="array" ref="G73">XLOOKUP(C73,datos_laborales[clave_foranea],datos_laborales[N° De Legajo],"no dato",0,1)</f>
        <v>925</v>
      </c>
      <c r="H73" s="89">
        <f t="array" ref="H73">XLOOKUP(C73,datos_laborales[clave_foranea], datos_laborales[Inicio Actividad:],"no dato",0,1)</f>
        <v>42954</v>
      </c>
      <c r="I73" s="88">
        <f t="array" ref="I73">XLOOKUP(C73,datos_laborales[clave_foranea],datos_laborales[Años en Actividad:],"no dato",0,1)</f>
        <v>8</v>
      </c>
      <c r="J73" s="88">
        <f t="array" ref="J73">XLOOKUP(C73,datos_personales[id:],datos_personales[D.n.i:],"no dato",0,1)</f>
        <v>25422284</v>
      </c>
      <c r="K73" s="89">
        <f t="array" ref="K73">XLOOKUP(C73,datos_personales[id:],datos_personales[Fecha Nacimiento:],"no dato",0,1)</f>
        <v>27962</v>
      </c>
      <c r="L73" s="88">
        <f>COUNTIF(hijos!B:B,C73)</f>
        <v>0</v>
      </c>
      <c r="M73" s="90">
        <f>COUNTIFS(hijos!B:B,C73,hijos!I:I,1)</f>
        <v>0</v>
      </c>
      <c r="N73" s="91">
        <f>COUNTIFS(hijos!B:B,C73,hijos!J:J,1)</f>
        <v>0</v>
      </c>
      <c r="O73" s="91">
        <f>COUNTIFS(hijos!B:B,C73,hijos!K:K,1)</f>
        <v>0</v>
      </c>
      <c r="P73" s="91">
        <f>COUNTIFS(hijos!B:B,C73,hijos!L:L,1)</f>
        <v>0</v>
      </c>
      <c r="Q73" s="91">
        <f t="shared" si="1"/>
        <v>0</v>
      </c>
      <c r="R73" s="103">
        <f t="array" ref="R73">XLOOKUP(C73,datos_personales[id:],datos_personales[Tel. Contacto:],"no dato",0,1)</f>
        <v>1131666927</v>
      </c>
      <c r="S73" s="88" t="str">
        <f t="array" ref="S73">XLOOKUP(C73,datos_personales[id:],datos_personales[E-Mail:],"no dato",0,1)</f>
        <v> nancy210776@gmail.com</v>
      </c>
      <c r="T73" s="88" t="str">
        <f t="array" ref="T73">XLOOKUP(R73,telefonos_afiliados[numeros_loys],telefonos_afiliados[esta],"no esta",0,1)</f>
        <v>1</v>
      </c>
      <c r="U73" s="88" t="str">
        <f t="array" ref="U73">XLOOKUP(C73,datos_personales[id:],datos_laborales[renuncio],"no dato",0,1)</f>
        <v>#N/A</v>
      </c>
      <c r="V73" s="93" t="str">
        <f t="array" ref="V73">XLOOKUP(C73,datos_laborales[clave_foranea],datos_laborales[tiene_ficha_pdf],"no tiene ficha pdf",0,1)</f>
        <v>no tiene en pdf</v>
      </c>
      <c r="W73" s="78"/>
    </row>
    <row r="74" ht="15.75" customHeight="1">
      <c r="A74" s="79"/>
      <c r="B74" s="80"/>
      <c r="C74" s="81">
        <f>datos_personales[id:]</f>
        <v>27259537</v>
      </c>
      <c r="D74" s="81" t="str">
        <f t="array" ref="D74">XLOOKUP(C74,datos_laborales[clave_foranea],datos_laborales[Relacion de Dependencia],"dato no encontrado",0,1)</f>
        <v>Monotributista</v>
      </c>
      <c r="E74" s="80" t="str">
        <f t="array" ref="E74">XLOOKUP(C74,datos_delegados[clave_foranea:],datos_delegados[En Actividad]," ",0,1)</f>
        <v> </v>
      </c>
      <c r="F74" s="81" t="str">
        <f t="array" ref="F74">CONCATENATE(XLOOKUP(C74,datos_personales[id:],datos_personales[Apellido:],"no dato",0,1),", ",XLOOKUP(C74,datos_personales[id:],datos_personales[Nombre],"no dato",0,1))</f>
        <v>linos,  dolores del carmen</v>
      </c>
      <c r="G74" s="81">
        <f t="array" ref="G74">XLOOKUP(C74,datos_laborales[clave_foranea],datos_laborales[N° De Legajo],"no dato",0,1)</f>
        <v>1536</v>
      </c>
      <c r="H74" s="82">
        <f t="array" ref="H74">XLOOKUP(C74,datos_laborales[clave_foranea], datos_laborales[Inicio Actividad:],"no dato",0,1)</f>
        <v>43405</v>
      </c>
      <c r="I74" s="81">
        <f t="array" ref="I74">XLOOKUP(C74,datos_laborales[clave_foranea],datos_laborales[Años en Actividad:],"no dato",0,1)</f>
        <v>7</v>
      </c>
      <c r="J74" s="81">
        <f t="array" ref="J74">XLOOKUP(C74,datos_personales[id:],datos_personales[D.n.i:],"no dato",0,1)</f>
        <v>27259537</v>
      </c>
      <c r="K74" s="82">
        <f t="array" ref="K74">XLOOKUP(C74,datos_personales[id:],datos_personales[Fecha Nacimiento:],"no dato",0,1)</f>
        <v>28979</v>
      </c>
      <c r="L74" s="81">
        <f>COUNTIF(hijos!B:B,C74)</f>
        <v>2</v>
      </c>
      <c r="M74" s="83">
        <f>COUNTIFS(hijos!B:B,C74,hijos!I:I,1)</f>
        <v>0</v>
      </c>
      <c r="N74" s="84">
        <f>COUNTIFS(hijos!B:B,C74,hijos!J:J,1)</f>
        <v>0</v>
      </c>
      <c r="O74" s="84">
        <f>COUNTIFS(hijos!B:B,C74,hijos!K:K,1)</f>
        <v>0</v>
      </c>
      <c r="P74" s="84">
        <f>COUNTIFS(hijos!B:B,C74,hijos!L:L,1)</f>
        <v>2</v>
      </c>
      <c r="Q74" s="84">
        <f t="shared" si="1"/>
        <v>2</v>
      </c>
      <c r="R74" s="85">
        <f t="array" ref="R74">XLOOKUP(C74,datos_personales[id:],datos_personales[Tel. Contacto:],"no dato",0,1)</f>
        <v>1166665806</v>
      </c>
      <c r="S74" s="81" t="str">
        <f t="array" ref="S74">XLOOKUP(C74,datos_personales[id:],datos_personales[E-Mail:],"no dato",0,1)</f>
        <v>doloreslinos0405@gmail.com</v>
      </c>
      <c r="T74" s="81" t="str">
        <f t="array" ref="T74">XLOOKUP(R74,telefonos_afiliados[numeros_loys],telefonos_afiliados[esta],"no esta",0,1)</f>
        <v>1</v>
      </c>
      <c r="U74" s="81" t="str">
        <f t="array" ref="U74">XLOOKUP(C74,datos_personales[id:],datos_laborales[renuncio],"no dato",0,1)</f>
        <v>#N/A</v>
      </c>
      <c r="V74" s="87" t="str">
        <f t="array" ref="V74">XLOOKUP(C74,datos_laborales[clave_foranea],datos_laborales[tiene_ficha_pdf],"no tiene ficha pdf",0,1)</f>
        <v>no tiene en pdf</v>
      </c>
      <c r="W74" s="78"/>
    </row>
    <row r="75" ht="15.75" hidden="1" customHeight="1">
      <c r="A75" s="79"/>
      <c r="B75" s="80"/>
      <c r="C75" s="88">
        <f>datos_personales[id:]</f>
        <v>38128116</v>
      </c>
      <c r="D75" s="88" t="str">
        <f t="array" ref="D75">XLOOKUP(C75,datos_laborales[clave_foranea],datos_laborales[Relacion de Dependencia],"dato no encontrado",0,1)</f>
        <v>Monotributista</v>
      </c>
      <c r="E75" s="80" t="str">
        <f t="array" ref="E75">XLOOKUP(C75,datos_delegados[clave_foranea:],datos_delegados[En Actividad]," ",0,1)</f>
        <v> </v>
      </c>
      <c r="F75" s="88" t="str">
        <f t="array" ref="F75">CONCATENATE(XLOOKUP(C75,datos_personales[id:],datos_personales[Apellido:],"no dato",0,1),", ",XLOOKUP(C75,datos_personales[id:],datos_personales[Nombre],"no dato",0,1))</f>
        <v>lopez,  daiana belen</v>
      </c>
      <c r="G75" s="88">
        <f t="array" ref="G75">XLOOKUP(C75,datos_laborales[clave_foranea],datos_laborales[N° De Legajo],"no dato",0,1)</f>
        <v>2649</v>
      </c>
      <c r="H75" s="89">
        <f t="array" ref="H75">XLOOKUP(C75,datos_laborales[clave_foranea], datos_laborales[Inicio Actividad:],"no dato",0,1)</f>
        <v>45048</v>
      </c>
      <c r="I75" s="88">
        <f t="array" ref="I75">XLOOKUP(C75,datos_laborales[clave_foranea],datos_laborales[Años en Actividad:],"no dato",0,1)</f>
        <v>2</v>
      </c>
      <c r="J75" s="88">
        <f t="array" ref="J75">XLOOKUP(C75,datos_personales[id:],datos_personales[D.n.i:],"no dato",0,1)</f>
        <v>38128116</v>
      </c>
      <c r="K75" s="89">
        <f t="array" ref="K75">XLOOKUP(C75,datos_personales[id:],datos_personales[Fecha Nacimiento:],"no dato",0,1)</f>
        <v>34426</v>
      </c>
      <c r="L75" s="88">
        <f>COUNTIF(hijos!B:B,C75)</f>
        <v>0</v>
      </c>
      <c r="M75" s="90">
        <f>COUNTIFS(hijos!B:B,C75,hijos!I:I,1)</f>
        <v>0</v>
      </c>
      <c r="N75" s="91">
        <f>COUNTIFS(hijos!B:B,C75,hijos!J:J,1)</f>
        <v>0</v>
      </c>
      <c r="O75" s="91">
        <f>COUNTIFS(hijos!B:B,C75,hijos!K:K,1)</f>
        <v>0</v>
      </c>
      <c r="P75" s="91">
        <f>COUNTIFS(hijos!B:B,C75,hijos!L:L,1)</f>
        <v>0</v>
      </c>
      <c r="Q75" s="91">
        <f t="shared" si="1"/>
        <v>0</v>
      </c>
      <c r="R75" s="88">
        <f t="array" ref="R75">XLOOKUP(C75,datos_personales[id:],datos_personales[Tel. Contacto:],"no dato",0,1)</f>
        <v>1139545887</v>
      </c>
      <c r="S75" s="80" t="str">
        <f t="array" ref="S75">XLOOKUP(C75,datos_personales[id:],datos_personales[E-Mail:],"no dato",0,1)</f>
        <v/>
      </c>
      <c r="T75" s="88" t="str">
        <f t="array" ref="T75">XLOOKUP(R75,telefonos_afiliados[numeros_loys],telefonos_afiliados[esta],"no esta",0,1)</f>
        <v>1</v>
      </c>
      <c r="U75" s="88" t="str">
        <f t="array" ref="U75">XLOOKUP(C75,datos_laborales[id:],datos_laborales[renuncio],"no dato",0,1)</f>
        <v>no dato</v>
      </c>
      <c r="V75" s="104"/>
      <c r="W75" s="78"/>
    </row>
    <row r="76" ht="15.75" hidden="1" customHeight="1">
      <c r="A76" s="79"/>
      <c r="B76" s="80"/>
      <c r="C76" s="81">
        <f>datos_personales[id:]</f>
        <v>29697288</v>
      </c>
      <c r="D76" s="81" t="str">
        <f t="array" ref="D76">XLOOKUP(C76,datos_laborales[clave_foranea],datos_laborales[Relacion de Dependencia],"dato no encontrado",0,1)</f>
        <v>Planta Permanente</v>
      </c>
      <c r="E76" s="80" t="str">
        <f t="array" ref="E76">XLOOKUP(C76,datos_delegados[clave_foranea:],datos_delegados[En Actividad]," ",0,1)</f>
        <v> </v>
      </c>
      <c r="F76" s="81" t="str">
        <f t="array" ref="F76">CONCATENATE(XLOOKUP(C76,datos_personales[id:],datos_personales[Apellido:],"no dato",0,1),", ",XLOOKUP(C76,datos_personales[id:],datos_personales[Nombre],"no dato",0,1))</f>
        <v>lopez,  gonzalo ezequiel</v>
      </c>
      <c r="G76" s="80" t="str">
        <f t="array" ref="G76">XLOOKUP(C76,datos_laborales[clave_foranea],datos_laborales[N° De Legajo],"no dato",0,1)</f>
        <v/>
      </c>
      <c r="H76" s="82">
        <f t="array" ref="H76">XLOOKUP(C76,datos_laborales[clave_foranea], datos_laborales[Inicio Actividad:],"no dato",0,1)</f>
        <v>39874</v>
      </c>
      <c r="I76" s="81">
        <f t="array" ref="I76">XLOOKUP(C76,datos_laborales[clave_foranea],datos_laborales[Años en Actividad:],"no dato",0,1)</f>
        <v>16</v>
      </c>
      <c r="J76" s="81">
        <f t="array" ref="J76">XLOOKUP(C76,datos_personales[id:],datos_personales[D.n.i:],"no dato",0,1)</f>
        <v>29697288</v>
      </c>
      <c r="K76" s="82">
        <f t="array" ref="K76">XLOOKUP(C76,datos_personales[id:],datos_personales[Fecha Nacimiento:],"no dato",0,1)</f>
        <v>30167</v>
      </c>
      <c r="L76" s="81">
        <f>COUNTIF(hijos!B:B,C76)</f>
        <v>2</v>
      </c>
      <c r="M76" s="83">
        <f>COUNTIFS(hijos!B:B,C76,hijos!I:I,1)</f>
        <v>0</v>
      </c>
      <c r="N76" s="84">
        <f>COUNTIFS(hijos!B:B,C76,hijos!J:J,1)</f>
        <v>0</v>
      </c>
      <c r="O76" s="84">
        <f>COUNTIFS(hijos!B:B,C76,hijos!K:K,1)</f>
        <v>1</v>
      </c>
      <c r="P76" s="84">
        <f>COUNTIFS(hijos!B:B,C76,hijos!L:L,1)</f>
        <v>1</v>
      </c>
      <c r="Q76" s="84">
        <f t="shared" si="1"/>
        <v>2</v>
      </c>
      <c r="R76" s="85">
        <f t="array" ref="R76">XLOOKUP(C76,datos_personales[id:],datos_personales[Tel. Contacto:],"no dato",0,1)</f>
        <v>1130764350</v>
      </c>
      <c r="S76" s="81" t="str">
        <f t="array" ref="S76">XLOOKUP(C76,datos_personales[id:],datos_personales[E-Mail:],"no dato",0,1)</f>
        <v>gonzalocap@hotmail.com</v>
      </c>
      <c r="T76" s="81" t="str">
        <f t="array" ref="T76">XLOOKUP(R76,telefonos_afiliados[numeros_loys],telefonos_afiliados[esta],"no esta",0,1)</f>
        <v>no esta</v>
      </c>
      <c r="U76" s="81" t="str">
        <f t="array" ref="U76">XLOOKUP(C76,datos_personales[id:],datos_laborales[renuncio],"no dato",0,1)</f>
        <v>#N/A</v>
      </c>
      <c r="V76" s="87" t="str">
        <f t="array" ref="V76">XLOOKUP(C76,datos_laborales[clave_foranea],datos_laborales[tiene_ficha_pdf],"no tiene ficha pdf",0,1)</f>
        <v>no tiene en pdf</v>
      </c>
      <c r="W76" s="78"/>
    </row>
    <row r="77" ht="15.75" hidden="1" customHeight="1">
      <c r="A77" s="79"/>
      <c r="B77" s="80"/>
      <c r="C77" s="88">
        <f>datos_personales[id:]</f>
        <v>38165910</v>
      </c>
      <c r="D77" s="88" t="str">
        <f t="array" ref="D77">XLOOKUP(C77,datos_laborales[clave_foranea],datos_laborales[Relacion de Dependencia],"dato no encontrado",0,1)</f>
        <v>Monotributista</v>
      </c>
      <c r="E77" s="80" t="str">
        <f t="array" ref="E77">XLOOKUP(C77,datos_delegados[clave_foranea:],datos_delegados[En Actividad]," ",0,1)</f>
        <v> </v>
      </c>
      <c r="F77" s="88" t="str">
        <f t="array" ref="F77">CONCATENATE(XLOOKUP(C77,datos_personales[id:],datos_personales[Apellido:],"no dato",0,1),", ",XLOOKUP(C77,datos_personales[id:],datos_personales[Nombre],"no dato",0,1))</f>
        <v>lopez,  julieta daiana </v>
      </c>
      <c r="G77" s="88">
        <f t="array" ref="G77">XLOOKUP(C77,datos_laborales[clave_foranea],datos_laborales[N° De Legajo],"no dato",0,1)</f>
        <v>1873</v>
      </c>
      <c r="H77" s="89">
        <f t="array" ref="H77">XLOOKUP(C77,datos_laborales[clave_foranea], datos_laborales[Inicio Actividad:],"no dato",0,1)</f>
        <v>44256</v>
      </c>
      <c r="I77" s="88">
        <f t="array" ref="I77">XLOOKUP(C77,datos_laborales[clave_foranea],datos_laborales[Años en Actividad:],"no dato",0,1)</f>
        <v>4</v>
      </c>
      <c r="J77" s="88">
        <f t="array" ref="J77">XLOOKUP(C77,datos_personales[id:],datos_personales[D.n.i:],"no dato",0,1)</f>
        <v>38165910</v>
      </c>
      <c r="K77" s="89">
        <f t="array" ref="K77">XLOOKUP(C77,datos_personales[id:],datos_personales[Fecha Nacimiento:],"no dato",0,1)</f>
        <v>34440</v>
      </c>
      <c r="L77" s="88">
        <f>COUNTIF(hijos!B:B,C77)</f>
        <v>2</v>
      </c>
      <c r="M77" s="90">
        <f>COUNTIFS(hijos!B:B,C77,hijos!I:I,1)</f>
        <v>0</v>
      </c>
      <c r="N77" s="91">
        <f>COUNTIFS(hijos!B:B,C77,hijos!J:J,1)</f>
        <v>1</v>
      </c>
      <c r="O77" s="91">
        <f>COUNTIFS(hijos!B:B,C77,hijos!K:K,1)</f>
        <v>1</v>
      </c>
      <c r="P77" s="91">
        <f>COUNTIFS(hijos!B:B,C77,hijos!L:L,1)</f>
        <v>0</v>
      </c>
      <c r="Q77" s="91">
        <f t="shared" si="1"/>
        <v>2</v>
      </c>
      <c r="R77" s="103">
        <f t="array" ref="R77">XLOOKUP(C77,datos_personales[id:],datos_personales[Tel. Contacto:],"no dato",0,1)</f>
        <v>1156201540</v>
      </c>
      <c r="S77" s="88" t="str">
        <f t="array" ref="S77">XLOOKUP(C77,datos_personales[id:],datos_personales[E-Mail:],"no dato",0,1)</f>
        <v>lopezjulieta994@gmail.com</v>
      </c>
      <c r="T77" s="88" t="str">
        <f t="array" ref="T77">XLOOKUP(R77,telefonos_afiliados[numeros_loys],telefonos_afiliados[esta],"no esta",0,1)</f>
        <v>1</v>
      </c>
      <c r="U77" s="88" t="str">
        <f t="array" ref="U77">XLOOKUP(C77,datos_laborales[id:],datos_laborales[renuncio],"no dato",0,1)</f>
        <v>no dato</v>
      </c>
      <c r="V77" s="105">
        <f t="array" ref="V77">XLOOKUP(C77,datos_laborales[clave_foranea],datos_laborales[tiene_ficha_pdf],"no tiene ficha pdf",0,1)</f>
        <v>1</v>
      </c>
      <c r="W77" s="78"/>
    </row>
    <row r="78" ht="15.75" hidden="1" customHeight="1">
      <c r="A78" s="79"/>
      <c r="B78" s="80"/>
      <c r="C78" s="81">
        <f>datos_personales[id:]</f>
        <v>37782026</v>
      </c>
      <c r="D78" s="81" t="str">
        <f t="array" ref="D78">XLOOKUP(C78,datos_laborales[clave_foranea],datos_laborales[Relacion de Dependencia],"dato no encontrado",0,1)</f>
        <v>Monotributista</v>
      </c>
      <c r="E78" s="80" t="str">
        <f t="array" ref="E78">XLOOKUP(C78,datos_delegados[clave_foranea:],datos_delegados[En Actividad]," ",0,1)</f>
        <v> </v>
      </c>
      <c r="F78" s="81" t="str">
        <f t="array" ref="F78">CONCATENATE(XLOOKUP(C78,datos_personales[id:],datos_personales[Apellido:],"no dato",0,1),", ",XLOOKUP(C78,datos_personales[id:],datos_personales[Nombre],"no dato",0,1))</f>
        <v>lopez,  lilian elizabeth </v>
      </c>
      <c r="G78" s="81">
        <f t="array" ref="G78">XLOOKUP(C78,datos_laborales[clave_foranea],datos_laborales[N° De Legajo],"no dato",0,1)</f>
        <v>1989</v>
      </c>
      <c r="H78" s="106" t="str">
        <f t="array" ref="H78">XLOOKUP(C78,datos_laborales[clave_foranea], datos_laborales[Inicio Actividad:],"no dato",0,1)</f>
        <v/>
      </c>
      <c r="I78" s="81">
        <f t="array" ref="I78">XLOOKUP(C78,datos_laborales[clave_foranea],datos_laborales[Años en Actividad:],"no dato",0,1)</f>
        <v>126</v>
      </c>
      <c r="J78" s="81">
        <f t="array" ref="J78">XLOOKUP(C78,datos_personales[id:],datos_personales[D.n.i:],"no dato",0,1)</f>
        <v>37782026</v>
      </c>
      <c r="K78" s="82">
        <f t="array" ref="K78">XLOOKUP(C78,datos_personales[id:],datos_personales[Fecha Nacimiento:],"no dato",0,1)</f>
        <v>34158</v>
      </c>
      <c r="L78" s="81">
        <f>COUNTIF(hijos!B:B,C78)</f>
        <v>2</v>
      </c>
      <c r="M78" s="83">
        <f>COUNTIFS(hijos!B:B,C78,hijos!I:I,1)</f>
        <v>0</v>
      </c>
      <c r="N78" s="84">
        <f>COUNTIFS(hijos!B:B,C78,hijos!J:J,1)</f>
        <v>0</v>
      </c>
      <c r="O78" s="84">
        <f>COUNTIFS(hijos!B:B,C78,hijos!K:K,1)</f>
        <v>2</v>
      </c>
      <c r="P78" s="84">
        <f>COUNTIFS(hijos!B:B,C78,hijos!L:L,1)</f>
        <v>0</v>
      </c>
      <c r="Q78" s="84">
        <f t="shared" si="1"/>
        <v>2</v>
      </c>
      <c r="R78" s="85">
        <f t="array" ref="R78">XLOOKUP(C78,datos_personales[id:],datos_personales[Tel. Contacto:],"no dato",0,1)</f>
        <v>1151065312</v>
      </c>
      <c r="S78" s="81" t="str">
        <f t="array" ref="S78">XLOOKUP(C78,datos_personales[id:],datos_personales[E-Mail:],"no dato",0,1)</f>
        <v>lilianqac@gmail.com</v>
      </c>
      <c r="T78" s="81" t="str">
        <f t="array" ref="T78">XLOOKUP(R78,telefonos_afiliados[numeros_loys],telefonos_afiliados[esta],"no esta",0,1)</f>
        <v>1</v>
      </c>
      <c r="U78" s="81" t="str">
        <f t="array" ref="U78">XLOOKUP(C78,datos_laborales[id:],datos_laborales[renuncio],"no dato",0,1)</f>
        <v>no dato</v>
      </c>
      <c r="V78" s="104"/>
      <c r="W78" s="78"/>
    </row>
    <row r="79" ht="15.75" hidden="1" customHeight="1">
      <c r="A79" s="79"/>
      <c r="B79" s="80"/>
      <c r="C79" s="88">
        <f>datos_personales[id:]</f>
        <v>39075526</v>
      </c>
      <c r="D79" s="88" t="str">
        <f t="array" ref="D79">XLOOKUP(C79,datos_laborales[clave_foranea],datos_laborales[Relacion de Dependencia],"dato no encontrado",0,1)</f>
        <v>Monotributista</v>
      </c>
      <c r="E79" s="80" t="str">
        <f t="array" ref="E79">XLOOKUP(C79,datos_delegados[clave_foranea:],datos_delegados[En Actividad]," ",0,1)</f>
        <v> </v>
      </c>
      <c r="F79" s="88" t="str">
        <f t="array" ref="F79">CONCATENATE(XLOOKUP(C79,datos_personales[id:],datos_personales[Apellido:],"no dato",0,1),", ",XLOOKUP(C79,datos_personales[id:],datos_personales[Nombre],"no dato",0,1))</f>
        <v>mamani,  ivan</v>
      </c>
      <c r="G79" s="88">
        <f t="array" ref="G79">XLOOKUP(C79,datos_laborales[clave_foranea],datos_laborales[N° De Legajo],"no dato",0,1)</f>
        <v>2813</v>
      </c>
      <c r="H79" s="106" t="str">
        <f t="array" ref="H79">XLOOKUP(C79,datos_laborales[clave_foranea], datos_laborales[Inicio Actividad:],"no dato",0,1)</f>
        <v/>
      </c>
      <c r="I79" s="88">
        <f t="array" ref="I79">XLOOKUP(C79,datos_laborales[clave_foranea],datos_laborales[Años en Actividad:],"no dato",0,1)</f>
        <v>126</v>
      </c>
      <c r="J79" s="88">
        <f t="array" ref="J79">XLOOKUP(C79,datos_personales[id:],datos_personales[D.n.i:],"no dato",0,1)</f>
        <v>39075526</v>
      </c>
      <c r="K79" s="89">
        <f t="array" ref="K79">XLOOKUP(C79,datos_personales[id:],datos_personales[Fecha Nacimiento:],"no dato",0,1)</f>
        <v>35236</v>
      </c>
      <c r="L79" s="88">
        <f>COUNTIF(hijos!B:B,C79)</f>
        <v>0</v>
      </c>
      <c r="M79" s="90">
        <f>COUNTIFS(hijos!B:B,C79,hijos!I:I,1)</f>
        <v>0</v>
      </c>
      <c r="N79" s="91">
        <f>COUNTIFS(hijos!B:B,C79,hijos!J:J,1)</f>
        <v>0</v>
      </c>
      <c r="O79" s="91">
        <f>COUNTIFS(hijos!B:B,C79,hijos!K:K,1)</f>
        <v>0</v>
      </c>
      <c r="P79" s="91">
        <f>COUNTIFS(hijos!B:B,C79,hijos!L:L,1)</f>
        <v>0</v>
      </c>
      <c r="Q79" s="91">
        <f t="shared" si="1"/>
        <v>0</v>
      </c>
      <c r="R79" s="103">
        <f t="array" ref="R79">XLOOKUP(C79,datos_personales[id:],datos_personales[Tel. Contacto:],"no dato",0,1)</f>
        <v>1138848109</v>
      </c>
      <c r="S79" s="80" t="str">
        <f t="array" ref="S79">XLOOKUP(C79,datos_personales[id:],datos_personales[E-Mail:],"no dato",0,1)</f>
        <v/>
      </c>
      <c r="T79" s="88" t="str">
        <f t="array" ref="T79">XLOOKUP(R79,telefonos_afiliados[numeros_loys],telefonos_afiliados[esta],"no esta",0,1)</f>
        <v>no esta</v>
      </c>
      <c r="U79" s="88" t="str">
        <f t="array" ref="U79">XLOOKUP(C79,datos_personales[id:],datos_laborales[renuncio],"no dato",0,1)</f>
        <v>#N/A</v>
      </c>
      <c r="V79" s="93" t="str">
        <f t="array" ref="V79">XLOOKUP(C79,datos_laborales[clave_foranea],datos_laborales[tiene_ficha_pdf],"no tiene ficha pdf",0,1)</f>
        <v>no tiene en pdf</v>
      </c>
      <c r="W79" s="78"/>
    </row>
    <row r="80" ht="15.75" hidden="1" customHeight="1">
      <c r="A80" s="79"/>
      <c r="B80" s="80"/>
      <c r="C80" s="81">
        <f>datos_personales[id:]</f>
        <v>38672137</v>
      </c>
      <c r="D80" s="81" t="str">
        <f t="array" ref="D80">XLOOKUP(C80,datos_laborales[clave_foranea],datos_laborales[Relacion de Dependencia],"dato no encontrado",0,1)</f>
        <v>Monotributista</v>
      </c>
      <c r="E80" s="80" t="str">
        <f t="array" ref="E80">XLOOKUP(C80,datos_delegados[clave_foranea:],datos_delegados[En Actividad]," ",0,1)</f>
        <v> </v>
      </c>
      <c r="F80" s="81" t="str">
        <f t="array" ref="F80">CONCATENATE(XLOOKUP(C80,datos_personales[id:],datos_personales[Apellido:],"no dato",0,1),", ",XLOOKUP(C80,datos_personales[id:],datos_personales[Nombre],"no dato",0,1))</f>
        <v>mansilla,  fernando damian</v>
      </c>
      <c r="G80" s="81">
        <f t="array" ref="G80">XLOOKUP(C80,datos_laborales[clave_foranea],datos_laborales[N° De Legajo],"no dato",0,1)</f>
        <v>2657</v>
      </c>
      <c r="H80" s="106" t="str">
        <f t="array" ref="H80">XLOOKUP(C80,datos_laborales[clave_foranea], datos_laborales[Inicio Actividad:],"no dato",0,1)</f>
        <v/>
      </c>
      <c r="I80" s="81">
        <f t="array" ref="I80">XLOOKUP(C80,datos_laborales[clave_foranea],datos_laborales[Años en Actividad:],"no dato",0,1)</f>
        <v>126</v>
      </c>
      <c r="J80" s="81">
        <f t="array" ref="J80">XLOOKUP(C80,datos_personales[id:],datos_personales[D.n.i:],"no dato",0,1)</f>
        <v>38672137</v>
      </c>
      <c r="K80" s="82">
        <f t="array" ref="K80">XLOOKUP(C80,datos_personales[id:],datos_personales[Fecha Nacimiento:],"no dato",0,1)</f>
        <v>34567</v>
      </c>
      <c r="L80" s="81">
        <f>COUNTIF(hijos!B:B,C80)</f>
        <v>0</v>
      </c>
      <c r="M80" s="83">
        <f>COUNTIFS(hijos!B:B,C80,hijos!I:I,1)</f>
        <v>0</v>
      </c>
      <c r="N80" s="84">
        <f>COUNTIFS(hijos!B:B,C80,hijos!J:J,1)</f>
        <v>0</v>
      </c>
      <c r="O80" s="84">
        <f>COUNTIFS(hijos!B:B,C80,hijos!K:K,1)</f>
        <v>0</v>
      </c>
      <c r="P80" s="84">
        <f>COUNTIFS(hijos!B:B,C80,hijos!L:L,1)</f>
        <v>0</v>
      </c>
      <c r="Q80" s="84">
        <f t="shared" si="1"/>
        <v>0</v>
      </c>
      <c r="R80" s="85">
        <f t="array" ref="R80">XLOOKUP(C80,datos_personales[id:],datos_personales[Tel. Contacto:],"no dato",0,1)</f>
        <v>1130677874</v>
      </c>
      <c r="S80" s="81" t="str">
        <f t="array" ref="S80">XLOOKUP(C80,datos_personales[id:],datos_personales[E-Mail:],"no dato",0,1)</f>
        <v>mfernandodamian@gmail.com</v>
      </c>
      <c r="T80" s="81" t="str">
        <f t="array" ref="T80">XLOOKUP(R80,telefonos_afiliados[numeros_loys],telefonos_afiliados[esta],"no esta",0,1)</f>
        <v>1</v>
      </c>
      <c r="U80" s="81" t="str">
        <f t="array" ref="U80">XLOOKUP(C80,datos_laborales[id:],datos_laborales[renuncio],"no dato",0,1)</f>
        <v>no dato</v>
      </c>
      <c r="V80" s="87" t="str">
        <f t="array" ref="V80">XLOOKUP(C80,datos_laborales[clave_foranea],datos_laborales[tiene_ficha_pdf],"no tiene ficha pdf",0,1)</f>
        <v>no tiene en pdf</v>
      </c>
      <c r="W80" s="78"/>
    </row>
    <row r="81" ht="15.75" hidden="1" customHeight="1">
      <c r="A81" s="79"/>
      <c r="B81" s="80"/>
      <c r="C81" s="88">
        <f>datos_personales[id:]</f>
        <v>38026805</v>
      </c>
      <c r="D81" s="88" t="str">
        <f t="array" ref="D81">XLOOKUP(C81,datos_laborales[clave_foranea],datos_laborales[Relacion de Dependencia],"dato no encontrado",0,1)</f>
        <v>Monotributista</v>
      </c>
      <c r="E81" s="80" t="str">
        <f t="array" ref="E81">XLOOKUP(C81,datos_delegados[clave_foranea:],datos_delegados[En Actividad]," ",0,1)</f>
        <v> </v>
      </c>
      <c r="F81" s="88" t="str">
        <f t="array" ref="F81">CONCATENATE(XLOOKUP(C81,datos_personales[id:],datos_personales[Apellido:],"no dato",0,1),", ",XLOOKUP(C81,datos_personales[id:],datos_personales[Nombre],"no dato",0,1))</f>
        <v>martin,  nicole</v>
      </c>
      <c r="G81" s="88">
        <f t="array" ref="G81">XLOOKUP(C81,datos_laborales[clave_foranea],datos_laborales[N° De Legajo],"no dato",0,1)</f>
        <v>1657</v>
      </c>
      <c r="H81" s="89">
        <f t="array" ref="H81">XLOOKUP(C81,datos_laborales[clave_foranea], datos_laborales[Inicio Actividad:],"no dato",0,1)</f>
        <v>43525</v>
      </c>
      <c r="I81" s="88">
        <f t="array" ref="I81">XLOOKUP(C81,datos_laborales[clave_foranea],datos_laborales[Años en Actividad:],"no dato",0,1)</f>
        <v>6</v>
      </c>
      <c r="J81" s="88">
        <f t="array" ref="J81">XLOOKUP(C81,datos_personales[id:],datos_personales[D.n.i:],"no dato",0,1)</f>
        <v>38026805</v>
      </c>
      <c r="K81" s="89">
        <f t="array" ref="K81">XLOOKUP(C81,datos_personales[id:],datos_personales[Fecha Nacimiento:],"no dato",0,1)</f>
        <v>34401</v>
      </c>
      <c r="L81" s="88">
        <f>COUNTIF(hijos!B:B,C81)</f>
        <v>1</v>
      </c>
      <c r="M81" s="90">
        <f>COUNTIFS(hijos!B:B,C81,hijos!I:I,1)</f>
        <v>0</v>
      </c>
      <c r="N81" s="91">
        <f>COUNTIFS(hijos!B:B,C81,hijos!J:J,1)</f>
        <v>0</v>
      </c>
      <c r="O81" s="91">
        <f>COUNTIFS(hijos!B:B,C81,hijos!K:K,1)</f>
        <v>1</v>
      </c>
      <c r="P81" s="91">
        <f>COUNTIFS(hijos!B:B,C81,hijos!L:L,1)</f>
        <v>0</v>
      </c>
      <c r="Q81" s="91">
        <f t="shared" si="1"/>
        <v>1</v>
      </c>
      <c r="R81" s="103">
        <f t="array" ref="R81">XLOOKUP(C81,datos_personales[id:],datos_personales[Tel. Contacto:],"no dato",0,1)</f>
        <v>1124048703</v>
      </c>
      <c r="S81" s="88" t="str">
        <f t="array" ref="S81">XLOOKUP(C81,datos_personales[id:],datos_personales[E-Mail:],"no dato",0,1)</f>
        <v>nmmengual17@live.com</v>
      </c>
      <c r="T81" s="88" t="str">
        <f t="array" ref="T81">XLOOKUP(R81,telefonos_afiliados[numeros_loys],telefonos_afiliados[esta],"no esta",0,1)</f>
        <v>no esta</v>
      </c>
      <c r="U81" s="88" t="str">
        <f t="array" ref="U81">XLOOKUP(C81,datos_laborales[id:],datos_laborales[renuncio],"no dato",0,1)</f>
        <v>no dato</v>
      </c>
      <c r="V81" s="104"/>
      <c r="W81" s="78"/>
    </row>
    <row r="82" ht="15.75" customHeight="1">
      <c r="A82" s="79"/>
      <c r="B82" s="80"/>
      <c r="C82" s="81">
        <f>datos_personales[id:]</f>
        <v>22986617</v>
      </c>
      <c r="D82" s="81" t="str">
        <f t="array" ref="D82">XLOOKUP(C82,datos_laborales[clave_foranea],datos_laborales[Relacion de Dependencia],"dato no encontrado",0,1)</f>
        <v>Monotributista</v>
      </c>
      <c r="E82" s="80" t="str">
        <f t="array" ref="E82">XLOOKUP(C82,datos_delegados[clave_foranea:],datos_delegados[En Actividad]," ",0,1)</f>
        <v> </v>
      </c>
      <c r="F82" s="81" t="str">
        <f t="array" ref="F82">CONCATENATE(XLOOKUP(C82,datos_personales[id:],datos_personales[Apellido:],"no dato",0,1),", ",XLOOKUP(C82,datos_personales[id:],datos_personales[Nombre],"no dato",0,1))</f>
        <v>martinez,  raquel</v>
      </c>
      <c r="G82" s="81">
        <f t="array" ref="G82">XLOOKUP(C82,datos_laborales[clave_foranea],datos_laborales[N° De Legajo],"no dato",0,1)</f>
        <v>941</v>
      </c>
      <c r="H82" s="82">
        <f t="array" ref="H82">XLOOKUP(C82,datos_laborales[clave_foranea], datos_laborales[Inicio Actividad:],"no dato",0,1)</f>
        <v>42948</v>
      </c>
      <c r="I82" s="81">
        <f t="array" ref="I82">XLOOKUP(C82,datos_laborales[clave_foranea],datos_laborales[Años en Actividad:],"no dato",0,1)</f>
        <v>8</v>
      </c>
      <c r="J82" s="81">
        <f t="array" ref="J82">XLOOKUP(C82,datos_personales[id:],datos_personales[D.n.i:],"no dato",0,1)</f>
        <v>22986617</v>
      </c>
      <c r="K82" s="82">
        <f t="array" ref="K82">XLOOKUP(C82,datos_personales[id:],datos_personales[Fecha Nacimiento:],"no dato",0,1)</f>
        <v>26547</v>
      </c>
      <c r="L82" s="81">
        <f>COUNTIF(hijos!B:B,C82)</f>
        <v>1</v>
      </c>
      <c r="M82" s="83">
        <f>COUNTIFS(hijos!B:B,C82,hijos!I:I,1)</f>
        <v>0</v>
      </c>
      <c r="N82" s="84">
        <f>COUNTIFS(hijos!B:B,C82,hijos!J:J,1)</f>
        <v>1</v>
      </c>
      <c r="O82" s="84">
        <f>COUNTIFS(hijos!B:B,C82,hijos!K:K,1)</f>
        <v>0</v>
      </c>
      <c r="P82" s="84">
        <f>COUNTIFS(hijos!B:B,C82,hijos!L:L,1)</f>
        <v>0</v>
      </c>
      <c r="Q82" s="84">
        <f t="shared" si="1"/>
        <v>1</v>
      </c>
      <c r="R82" s="85">
        <f t="array" ref="R82">XLOOKUP(C82,datos_personales[id:],datos_personales[Tel. Contacto:],"no dato",0,1)</f>
        <v>1123163394</v>
      </c>
      <c r="S82" s="81" t="str">
        <f t="array" ref="S82">XLOOKUP(C82,datos_personales[id:],datos_personales[E-Mail:],"no dato",0,1)</f>
        <v>jesusteamo07@live.com.mx</v>
      </c>
      <c r="T82" s="81" t="str">
        <f t="array" ref="T82">XLOOKUP(R82,telefonos_afiliados[numeros_loys],telefonos_afiliados[esta],"no esta",0,1)</f>
        <v>1</v>
      </c>
      <c r="U82" s="81" t="str">
        <f t="array" ref="U82">XLOOKUP(C82,datos_laborales[id:],datos_laborales[renuncio],"no dato",0,1)</f>
        <v>no dato</v>
      </c>
      <c r="V82" s="87">
        <f t="array" ref="V82">XLOOKUP(C82,datos_laborales[clave_foranea],datos_laborales[tiene_ficha_pdf],"no tiene ficha pdf",0,1)</f>
        <v>1</v>
      </c>
      <c r="W82" s="78"/>
    </row>
    <row r="83" ht="15.75" hidden="1" customHeight="1">
      <c r="A83" s="79"/>
      <c r="B83" s="80"/>
      <c r="C83" s="88">
        <f>datos_personales[id:]</f>
        <v>34849125</v>
      </c>
      <c r="D83" s="88" t="str">
        <f t="array" ref="D83">XLOOKUP(C83,datos_laborales[clave_foranea],datos_laborales[Relacion de Dependencia],"dato no encontrado",0,1)</f>
        <v>Monotributista</v>
      </c>
      <c r="E83" s="80" t="str">
        <f t="array" ref="E83">XLOOKUP(C83,datos_delegados[clave_foranea:],datos_delegados[En Actividad]," ",0,1)</f>
        <v> </v>
      </c>
      <c r="F83" s="88" t="str">
        <f t="array" ref="F83">CONCATENATE(XLOOKUP(C83,datos_personales[id:],datos_personales[Apellido:],"no dato",0,1),", ",XLOOKUP(C83,datos_personales[id:],datos_personales[Nombre],"no dato",0,1))</f>
        <v>martinez,  debora alejandra</v>
      </c>
      <c r="G83" s="80" t="str">
        <f t="array" ref="G83">XLOOKUP(C83,datos_laborales[clave_foranea],datos_laborales[N° De Legajo],"no dato",0,1)</f>
        <v/>
      </c>
      <c r="H83" s="106" t="str">
        <f t="array" ref="H83">XLOOKUP(C83,datos_laborales[clave_foranea], datos_laborales[Inicio Actividad:],"no dato",0,1)</f>
        <v/>
      </c>
      <c r="I83" s="88">
        <f t="array" ref="I83">XLOOKUP(C83,datos_laborales[clave_foranea],datos_laborales[Años en Actividad:],"no dato",0,1)</f>
        <v>126</v>
      </c>
      <c r="J83" s="88">
        <f t="array" ref="J83">XLOOKUP(C83,datos_personales[id:],datos_personales[D.n.i:],"no dato",0,1)</f>
        <v>34849125</v>
      </c>
      <c r="K83" s="89">
        <f t="array" ref="K83">XLOOKUP(C83,datos_personales[id:],datos_personales[Fecha Nacimiento:],"no dato",0,1)</f>
        <v>31216</v>
      </c>
      <c r="L83" s="88">
        <f>COUNTIF(hijos!B:B,C83)</f>
        <v>0</v>
      </c>
      <c r="M83" s="90">
        <f>COUNTIFS(hijos!B:B,C83,hijos!I:I,1)</f>
        <v>0</v>
      </c>
      <c r="N83" s="91">
        <f>COUNTIFS(hijos!B:B,C83,hijos!J:J,1)</f>
        <v>0</v>
      </c>
      <c r="O83" s="91">
        <f>COUNTIFS(hijos!B:B,C83,hijos!K:K,1)</f>
        <v>0</v>
      </c>
      <c r="P83" s="91">
        <f>COUNTIFS(hijos!B:B,C83,hijos!L:L,1)</f>
        <v>0</v>
      </c>
      <c r="Q83" s="91">
        <f t="shared" si="1"/>
        <v>0</v>
      </c>
      <c r="R83" s="88">
        <f t="array" ref="R83">XLOOKUP(C83,datos_personales[id:],datos_personales[Tel. Contacto:],"no dato",0,1)</f>
        <v>1135661121</v>
      </c>
      <c r="S83" s="88" t="str">
        <f t="array" ref="S83">XLOOKUP(C83,datos_personales[id:],datos_personales[E-Mail:],"no dato",0,1)</f>
        <v>debymaar@gmail.com</v>
      </c>
      <c r="T83" s="88" t="str">
        <f t="array" ref="T83">XLOOKUP(R83,telefonos_afiliados[numeros_loys],telefonos_afiliados[esta],"no esta",0,1)</f>
        <v>no esta</v>
      </c>
      <c r="U83" s="88" t="str">
        <f t="array" ref="U83">XLOOKUP(C83,datos_laborales[id:],datos_laborales[renuncio],"no dato",0,1)</f>
        <v>no dato</v>
      </c>
      <c r="V83" s="104"/>
      <c r="W83" s="78"/>
    </row>
    <row r="84" ht="15.75" hidden="1" customHeight="1">
      <c r="A84" s="79"/>
      <c r="B84" s="80"/>
      <c r="C84" s="81">
        <f>datos_personales[id:]</f>
        <v>36471269</v>
      </c>
      <c r="D84" s="81" t="str">
        <f t="array" ref="D84">XLOOKUP(C84,datos_laborales[clave_foranea],datos_laborales[Relacion de Dependencia],"dato no encontrado",0,1)</f>
        <v>Monotributista</v>
      </c>
      <c r="E84" s="80" t="str">
        <f t="array" ref="E84">XLOOKUP(C84,datos_delegados[clave_foranea:],datos_delegados[En Actividad]," ",0,1)</f>
        <v> </v>
      </c>
      <c r="F84" s="81" t="str">
        <f t="array" ref="F84">CONCATENATE(XLOOKUP(C84,datos_personales[id:],datos_personales[Apellido:],"no dato",0,1),", ",XLOOKUP(C84,datos_personales[id:],datos_personales[Nombre],"no dato",0,1))</f>
        <v>medina,  katerin julieta</v>
      </c>
      <c r="G84" s="81">
        <f t="array" ref="G84">XLOOKUP(C84,datos_laborales[clave_foranea],datos_laborales[N° De Legajo],"no dato",0,1)</f>
        <v>2499</v>
      </c>
      <c r="H84" s="106" t="str">
        <f t="array" ref="H84">XLOOKUP(C84,datos_laborales[clave_foranea], datos_laborales[Inicio Actividad:],"no dato",0,1)</f>
        <v/>
      </c>
      <c r="I84" s="81">
        <f t="array" ref="I84">XLOOKUP(C84,datos_laborales[clave_foranea],datos_laborales[Años en Actividad:],"no dato",0,1)</f>
        <v>126</v>
      </c>
      <c r="J84" s="81">
        <f t="array" ref="J84">XLOOKUP(C84,datos_personales[id:],datos_personales[D.n.i:],"no dato",0,1)</f>
        <v>36471269</v>
      </c>
      <c r="K84" s="82">
        <f t="array" ref="K84">XLOOKUP(C84,datos_personales[id:],datos_personales[Fecha Nacimiento:],"no dato",0,1)</f>
        <v>34231</v>
      </c>
      <c r="L84" s="81">
        <f>COUNTIF(hijos!B:B,C84)</f>
        <v>0</v>
      </c>
      <c r="M84" s="83">
        <f>COUNTIFS(hijos!B:B,C84,hijos!I:I,1)</f>
        <v>0</v>
      </c>
      <c r="N84" s="84">
        <f>COUNTIFS(hijos!B:B,C84,hijos!J:J,1)</f>
        <v>0</v>
      </c>
      <c r="O84" s="84">
        <f>COUNTIFS(hijos!B:B,C84,hijos!K:K,1)</f>
        <v>0</v>
      </c>
      <c r="P84" s="84">
        <f>COUNTIFS(hijos!B:B,C84,hijos!L:L,1)</f>
        <v>0</v>
      </c>
      <c r="Q84" s="84">
        <f t="shared" si="1"/>
        <v>0</v>
      </c>
      <c r="R84" s="85">
        <f t="array" ref="R84">XLOOKUP(C84,datos_personales[id:],datos_personales[Tel. Contacto:],"no dato",0,1)</f>
        <v>1141459520</v>
      </c>
      <c r="S84" s="81" t="str">
        <f t="array" ref="S84">XLOOKUP(C84,datos_personales[id:],datos_personales[E-Mail:],"no dato",0,1)</f>
        <v>julmedi123@gmail.com</v>
      </c>
      <c r="T84" s="81" t="str">
        <f t="array" ref="T84">XLOOKUP(R84,telefonos_afiliados[numeros_loys],telefonos_afiliados[esta],"no esta",0,1)</f>
        <v>1</v>
      </c>
      <c r="U84" s="81" t="str">
        <f t="array" ref="U84">XLOOKUP(C84,datos_laborales[id:],datos_laborales[renuncio],"no dato",0,1)</f>
        <v>no dato</v>
      </c>
      <c r="V84" s="87" t="str">
        <f t="array" ref="V84">XLOOKUP(C84,datos_laborales[clave_foranea],datos_laborales[tiene_ficha_pdf],"no tiene ficha pdf",0,1)</f>
        <v>no tiene en pdf</v>
      </c>
      <c r="W84" s="78"/>
    </row>
    <row r="85" ht="15.75" hidden="1" customHeight="1">
      <c r="A85" s="79"/>
      <c r="B85" s="80"/>
      <c r="C85" s="88">
        <f>datos_personales[id:]</f>
        <v>39962767</v>
      </c>
      <c r="D85" s="88" t="str">
        <f t="array" ref="D85">XLOOKUP(C85,datos_laborales[clave_foranea],datos_laborales[Relacion de Dependencia],"dato no encontrado",0,1)</f>
        <v>Monotributista</v>
      </c>
      <c r="E85" s="80" t="str">
        <f t="array" ref="E85">XLOOKUP(C85,datos_delegados[clave_foranea:],datos_delegados[En Actividad]," ",0,1)</f>
        <v> </v>
      </c>
      <c r="F85" s="88" t="str">
        <f t="array" ref="F85">CONCATENATE(XLOOKUP(C85,datos_personales[id:],datos_personales[Apellido:],"no dato",0,1),", ",XLOOKUP(C85,datos_personales[id:],datos_personales[Nombre],"no dato",0,1))</f>
        <v>mieres,  florencia</v>
      </c>
      <c r="G85" s="88">
        <f t="array" ref="G85">XLOOKUP(C85,datos_laborales[clave_foranea],datos_laborales[N° De Legajo],"no dato",0,1)</f>
        <v>1944</v>
      </c>
      <c r="H85" s="106" t="str">
        <f t="array" ref="H85">XLOOKUP(C85,datos_laborales[clave_foranea], datos_laborales[Inicio Actividad:],"no dato",0,1)</f>
        <v/>
      </c>
      <c r="I85" s="88">
        <f t="array" ref="I85">XLOOKUP(C85,datos_laborales[clave_foranea],datos_laborales[Años en Actividad:],"no dato",0,1)</f>
        <v>126</v>
      </c>
      <c r="J85" s="88">
        <f t="array" ref="J85">XLOOKUP(C85,datos_personales[id:],datos_personales[D.n.i:],"no dato",0,1)</f>
        <v>39962767</v>
      </c>
      <c r="K85" s="89">
        <f t="array" ref="K85">XLOOKUP(C85,datos_personales[id:],datos_personales[Fecha Nacimiento:],"no dato",0,1)</f>
        <v>35347</v>
      </c>
      <c r="L85" s="88">
        <f>COUNTIF(hijos!B:B,C85)</f>
        <v>1</v>
      </c>
      <c r="M85" s="90">
        <f>COUNTIFS(hijos!B:B,C85,hijos!I:I,1)</f>
        <v>0</v>
      </c>
      <c r="N85" s="91">
        <f>COUNTIFS(hijos!B:B,C85,hijos!J:J,1)</f>
        <v>0</v>
      </c>
      <c r="O85" s="91">
        <f>COUNTIFS(hijos!B:B,C85,hijos!K:K,1)</f>
        <v>0</v>
      </c>
      <c r="P85" s="91">
        <f>COUNTIFS(hijos!B:B,C85,hijos!L:L,1)</f>
        <v>1</v>
      </c>
      <c r="Q85" s="91">
        <f t="shared" si="1"/>
        <v>1</v>
      </c>
      <c r="R85" s="103">
        <f t="array" ref="R85">XLOOKUP(C85,datos_personales[id:],datos_personales[Tel. Contacto:],"no dato",0,1)</f>
        <v>1168768011</v>
      </c>
      <c r="S85" s="80" t="str">
        <f t="array" ref="S85">XLOOKUP(C85,datos_personales[id:],datos_personales[E-Mail:],"no dato",0,1)</f>
        <v/>
      </c>
      <c r="T85" s="88" t="str">
        <f t="array" ref="T85">XLOOKUP(R85,telefonos_afiliados[numeros_loys],telefonos_afiliados[esta],"no esta",0,1)</f>
        <v>1</v>
      </c>
      <c r="U85" s="88" t="str">
        <f t="array" ref="U85">XLOOKUP(C85,datos_personales[id:],datos_laborales[renuncio],"no dato",0,1)</f>
        <v>#N/A</v>
      </c>
      <c r="V85" s="93">
        <f t="array" ref="V85">XLOOKUP(C85,datos_laborales[clave_foranea],datos_laborales[tiene_ficha_pdf],"no tiene ficha pdf",0,1)</f>
        <v>1</v>
      </c>
      <c r="W85" s="78"/>
    </row>
    <row r="86" ht="15.75" hidden="1" customHeight="1">
      <c r="A86" s="79"/>
      <c r="B86" s="80"/>
      <c r="C86" s="81">
        <f>datos_personales[id:]</f>
        <v>29332369</v>
      </c>
      <c r="D86" s="81" t="str">
        <f t="array" ref="D86">XLOOKUP(C86,datos_laborales[clave_foranea],datos_laborales[Relacion de Dependencia],"dato no encontrado",0,1)</f>
        <v>Monotributista </v>
      </c>
      <c r="E86" s="80" t="str">
        <f t="array" ref="E86">XLOOKUP(C86,datos_delegados[clave_foranea:],datos_delegados[En Actividad]," ",0,1)</f>
        <v> </v>
      </c>
      <c r="F86" s="81" t="str">
        <f t="array" ref="F86">CONCATENATE(XLOOKUP(C86,datos_personales[id:],datos_personales[Apellido:],"no dato",0,1),", ",XLOOKUP(C86,datos_personales[id:],datos_personales[Nombre],"no dato",0,1))</f>
        <v>montiel,  sergio agustín </v>
      </c>
      <c r="G86" s="81">
        <f t="array" ref="G86">XLOOKUP(C86,datos_laborales[clave_foranea],datos_laborales[N° De Legajo],"no dato",0,1)</f>
        <v>523</v>
      </c>
      <c r="H86" s="82">
        <f t="array" ref="H86">XLOOKUP(C86,datos_laborales[clave_foranea], datos_laborales[Inicio Actividad:],"no dato",0,1)</f>
        <v>42884</v>
      </c>
      <c r="I86" s="81">
        <f t="array" ref="I86">XLOOKUP(C86,datos_laborales[clave_foranea],datos_laborales[Años en Actividad:],"no dato",0,1)</f>
        <v>8</v>
      </c>
      <c r="J86" s="81">
        <f t="array" ref="J86">XLOOKUP(C86,datos_personales[id:],datos_personales[D.n.i:],"no dato",0,1)</f>
        <v>29332369</v>
      </c>
      <c r="K86" s="82">
        <f t="array" ref="K86">XLOOKUP(C86,datos_personales[id:],datos_personales[Fecha Nacimiento:],"no dato",0,1)</f>
        <v>30111</v>
      </c>
      <c r="L86" s="81">
        <f>COUNTIF(hijos!B:B,C86)</f>
        <v>0</v>
      </c>
      <c r="M86" s="83">
        <f>COUNTIFS(hijos!B:B,C86,hijos!I:I,1)</f>
        <v>0</v>
      </c>
      <c r="N86" s="84">
        <f>COUNTIFS(hijos!B:B,C86,hijos!J:J,1)</f>
        <v>0</v>
      </c>
      <c r="O86" s="84">
        <f>COUNTIFS(hijos!B:B,C86,hijos!K:K,1)</f>
        <v>0</v>
      </c>
      <c r="P86" s="84">
        <f>COUNTIFS(hijos!B:B,C86,hijos!L:L,1)</f>
        <v>0</v>
      </c>
      <c r="Q86" s="84">
        <f t="shared" si="1"/>
        <v>0</v>
      </c>
      <c r="R86" s="85">
        <f t="array" ref="R86">XLOOKUP(C86,datos_personales[id:],datos_personales[Tel. Contacto:],"no dato",0,1)</f>
        <v>1131909270</v>
      </c>
      <c r="S86" s="81" t="str">
        <f t="array" ref="S86">XLOOKUP(C86,datos_personales[id:],datos_personales[E-Mail:],"no dato",0,1)</f>
        <v>fa_osiris@hotmail.com</v>
      </c>
      <c r="T86" s="81" t="str">
        <f t="array" ref="T86">XLOOKUP(R86,telefonos_afiliados[numeros_loys],telefonos_afiliados[esta],"no esta",0,1)</f>
        <v>no esta</v>
      </c>
      <c r="U86" s="81" t="str">
        <f t="array" ref="U86">XLOOKUP(C86,datos_personales[id:],datos_laborales[renuncio],"no dato",0,1)</f>
        <v>#N/A</v>
      </c>
      <c r="V86" s="87" t="str">
        <f t="array" ref="V86">XLOOKUP(C86,datos_laborales[clave_foranea],datos_laborales[tiene_ficha_pdf],"no tiene ficha pdf",0,1)</f>
        <v>no tiene en pdf</v>
      </c>
      <c r="W86" s="78"/>
    </row>
    <row r="87" ht="15.75" hidden="1" customHeight="1">
      <c r="A87" s="79"/>
      <c r="B87" s="80"/>
      <c r="C87" s="88">
        <f>datos_personales[id:]</f>
        <v>41556999</v>
      </c>
      <c r="D87" s="88" t="str">
        <f t="array" ref="D87">XLOOKUP(C87,datos_laborales[clave_foranea],datos_laborales[Relacion de Dependencia],"dato no encontrado",0,1)</f>
        <v>Monotributista</v>
      </c>
      <c r="E87" s="80" t="str">
        <f t="array" ref="E87">XLOOKUP(C87,datos_delegados[clave_foranea:],datos_delegados[En Actividad]," ",0,1)</f>
        <v> </v>
      </c>
      <c r="F87" s="88" t="str">
        <f t="array" ref="F87">CONCATENATE(XLOOKUP(C87,datos_personales[id:],datos_personales[Apellido:],"no dato",0,1),", ",XLOOKUP(C87,datos_personales[id:],datos_personales[Nombre],"no dato",0,1))</f>
        <v>monaco,  agustina</v>
      </c>
      <c r="G87" s="88">
        <f t="array" ref="G87">XLOOKUP(C87,datos_laborales[clave_foranea],datos_laborales[N° De Legajo],"no dato",0,1)</f>
        <v>3018</v>
      </c>
      <c r="H87" s="89">
        <f t="array" ref="H87">XLOOKUP(C87,datos_laborales[clave_foranea], datos_laborales[Inicio Actividad:],"no dato",0,1)</f>
        <v>45140</v>
      </c>
      <c r="I87" s="88">
        <f t="array" ref="I87">XLOOKUP(C87,datos_laborales[clave_foranea],datos_laborales[Años en Actividad:],"no dato",0,1)</f>
        <v>2</v>
      </c>
      <c r="J87" s="88">
        <f t="array" ref="J87">XLOOKUP(C87,datos_personales[id:],datos_personales[D.n.i:],"no dato",0,1)</f>
        <v>41556999</v>
      </c>
      <c r="K87" s="89">
        <f t="array" ref="K87">XLOOKUP(C87,datos_personales[id:],datos_personales[Fecha Nacimiento:],"no dato",0,1)</f>
        <v>36102</v>
      </c>
      <c r="L87" s="88">
        <f>COUNTIF(hijos!B:B,C87)</f>
        <v>0</v>
      </c>
      <c r="M87" s="90">
        <f>COUNTIFS(hijos!B:B,C87,hijos!I:I,1)</f>
        <v>0</v>
      </c>
      <c r="N87" s="91">
        <f>COUNTIFS(hijos!B:B,C87,hijos!J:J,1)</f>
        <v>0</v>
      </c>
      <c r="O87" s="91">
        <f>COUNTIFS(hijos!B:B,C87,hijos!K:K,1)</f>
        <v>0</v>
      </c>
      <c r="P87" s="91">
        <f>COUNTIFS(hijos!B:B,C87,hijos!L:L,1)</f>
        <v>0</v>
      </c>
      <c r="Q87" s="91">
        <f t="shared" si="1"/>
        <v>0</v>
      </c>
      <c r="R87" s="88">
        <f t="array" ref="R87">XLOOKUP(C87,datos_personales[id:],datos_personales[Tel. Contacto:],"no dato",0,1)</f>
        <v>1145289291</v>
      </c>
      <c r="S87" s="88" t="str">
        <f t="array" ref="S87">XLOOKUP(C87,datos_personales[id:],datos_personales[E-Mail:],"no dato",0,1)</f>
        <v>agustinamonaco99@gmail.com</v>
      </c>
      <c r="T87" s="88" t="str">
        <f t="array" ref="T87">XLOOKUP(R87,telefonos_afiliados[numeros_loys],telefonos_afiliados[esta],"no esta",0,1)</f>
        <v>1</v>
      </c>
      <c r="U87" s="88" t="str">
        <f t="array" ref="U87">XLOOKUP(C87,datos_laborales[id:],datos_laborales[renuncio],"no dato",0,1)</f>
        <v>no dato</v>
      </c>
      <c r="V87" s="104"/>
      <c r="W87" s="78"/>
    </row>
    <row r="88" ht="15.75" hidden="1" customHeight="1">
      <c r="A88" s="79"/>
      <c r="B88" s="80"/>
      <c r="C88" s="81">
        <f>datos_personales[id:]</f>
        <v>22650822</v>
      </c>
      <c r="D88" s="80" t="str">
        <f t="array" ref="D88">XLOOKUP(C88,datos_laborales[clave_foranea],datos_laborales[Relacion de Dependencia],"dato no encontrado",0,1)</f>
        <v/>
      </c>
      <c r="E88" s="80" t="str">
        <f t="array" ref="E88">XLOOKUP(C88,datos_delegados[clave_foranea:],datos_delegados[En Actividad]," ",0,1)</f>
        <v> </v>
      </c>
      <c r="F88" s="81" t="str">
        <f t="array" ref="F88">CONCATENATE(XLOOKUP(C88,datos_personales[id:],datos_personales[Apellido:],"no dato",0,1),", ",XLOOKUP(C88,datos_personales[id:],datos_personales[Nombre],"no dato",0,1))</f>
        <v>montenegro,  sandra beatriz</v>
      </c>
      <c r="G88" s="81">
        <f t="array" ref="G88">XLOOKUP(C88,datos_laborales[clave_foranea],datos_laborales[N° De Legajo],"no dato",0,1)</f>
        <v>114</v>
      </c>
      <c r="H88" s="82">
        <f t="array" ref="H88">XLOOKUP(C88,datos_laborales[clave_foranea], datos_laborales[Inicio Actividad:],"no dato",0,1)</f>
        <v>42186</v>
      </c>
      <c r="I88" s="81">
        <f t="array" ref="I88">XLOOKUP(C88,datos_laborales[clave_foranea],datos_laborales[Años en Actividad:],"no dato",0,1)</f>
        <v>10</v>
      </c>
      <c r="J88" s="81">
        <f t="array" ref="J88">XLOOKUP(C88,datos_personales[id:],datos_personales[D.n.i:],"no dato",0,1)</f>
        <v>22650822</v>
      </c>
      <c r="K88" s="82">
        <f t="array" ref="K88">XLOOKUP(C88,datos_personales[id:],datos_personales[Fecha Nacimiento:],"no dato",0,1)</f>
        <v>26352</v>
      </c>
      <c r="L88" s="81">
        <f>COUNTIF(hijos!B:B,C88)</f>
        <v>0</v>
      </c>
      <c r="M88" s="83">
        <f>COUNTIFS(hijos!B:B,C88,hijos!I:I,1)</f>
        <v>0</v>
      </c>
      <c r="N88" s="84">
        <f>COUNTIFS(hijos!B:B,C88,hijos!J:J,1)</f>
        <v>0</v>
      </c>
      <c r="O88" s="84">
        <f>COUNTIFS(hijos!B:B,C88,hijos!K:K,1)</f>
        <v>0</v>
      </c>
      <c r="P88" s="84">
        <f>COUNTIFS(hijos!B:B,C88,hijos!L:L,1)</f>
        <v>0</v>
      </c>
      <c r="Q88" s="84">
        <f t="shared" si="1"/>
        <v>0</v>
      </c>
      <c r="R88" s="81">
        <f t="array" ref="R88">XLOOKUP(C88,datos_personales[id:],datos_personales[Tel. Contacto:],"no dato",0,1)</f>
        <v>1158521754</v>
      </c>
      <c r="S88" s="81" t="str">
        <f t="array" ref="S88">XLOOKUP(C88,datos_personales[id:],datos_personales[E-Mail:],"no dato",0,1)</f>
        <v>montenegro-sandra@hotmail.com</v>
      </c>
      <c r="T88" s="81" t="str">
        <f t="array" ref="T88">XLOOKUP(R88,telefonos_afiliados[numeros_loys],telefonos_afiliados[esta],"no esta",0,1)</f>
        <v>1</v>
      </c>
      <c r="U88" s="81" t="str">
        <f t="array" ref="U88">XLOOKUP(C88,datos_laborales[id:],datos_laborales[renuncio],"no dato",0,1)</f>
        <v>no dato</v>
      </c>
      <c r="V88" s="104"/>
      <c r="W88" s="78"/>
    </row>
    <row r="89" ht="15.75" hidden="1" customHeight="1">
      <c r="A89" s="79"/>
      <c r="B89" s="80"/>
      <c r="C89" s="88">
        <f>datos_personales[id:]</f>
        <v>35959231</v>
      </c>
      <c r="D89" s="88" t="str">
        <f t="array" ref="D89">XLOOKUP(C89,datos_laborales[clave_foranea],datos_laborales[Relacion de Dependencia],"dato no encontrado",0,1)</f>
        <v>Monotributista</v>
      </c>
      <c r="E89" s="80" t="str">
        <f t="array" ref="E89">XLOOKUP(C89,datos_delegados[clave_foranea:],datos_delegados[En Actividad]," ",0,1)</f>
        <v> </v>
      </c>
      <c r="F89" s="88" t="str">
        <f t="array" ref="F89">CONCATENATE(XLOOKUP(C89,datos_personales[id:],datos_personales[Apellido:],"no dato",0,1),", ",XLOOKUP(C89,datos_personales[id:],datos_personales[Nombre],"no dato",0,1))</f>
        <v>muscarelli,  florencia sol</v>
      </c>
      <c r="G89" s="88">
        <f t="array" ref="G89">XLOOKUP(C89,datos_laborales[clave_foranea],datos_laborales[N° De Legajo],"no dato",0,1)</f>
        <v>376</v>
      </c>
      <c r="H89" s="89">
        <f t="array" ref="H89">XLOOKUP(C89,datos_laborales[clave_foranea], datos_laborales[Inicio Actividad:],"no dato",0,1)</f>
        <v>42884</v>
      </c>
      <c r="I89" s="88">
        <f t="array" ref="I89">XLOOKUP(C89,datos_laborales[clave_foranea],datos_laborales[Años en Actividad:],"no dato",0,1)</f>
        <v>8</v>
      </c>
      <c r="J89" s="88">
        <f t="array" ref="J89">XLOOKUP(C89,datos_personales[id:],datos_personales[D.n.i:],"no dato",0,1)</f>
        <v>35959231</v>
      </c>
      <c r="K89" s="89">
        <f t="array" ref="K89">XLOOKUP(C89,datos_personales[id:],datos_personales[Fecha Nacimiento:],"no dato",0,1)</f>
        <v>33341</v>
      </c>
      <c r="L89" s="88">
        <f>COUNTIF(hijos!B:B,C89)</f>
        <v>0</v>
      </c>
      <c r="M89" s="90">
        <f>COUNTIFS(hijos!B:B,C89,hijos!I:I,1)</f>
        <v>0</v>
      </c>
      <c r="N89" s="91">
        <f>COUNTIFS(hijos!B:B,C89,hijos!J:J,1)</f>
        <v>0</v>
      </c>
      <c r="O89" s="91">
        <f>COUNTIFS(hijos!B:B,C89,hijos!K:K,1)</f>
        <v>0</v>
      </c>
      <c r="P89" s="91">
        <f>COUNTIFS(hijos!B:B,C89,hijos!L:L,1)</f>
        <v>0</v>
      </c>
      <c r="Q89" s="91">
        <f t="shared" si="1"/>
        <v>0</v>
      </c>
      <c r="R89" s="103">
        <f t="array" ref="R89">XLOOKUP(C89,datos_personales[id:],datos_personales[Tel. Contacto:],"no dato",0,1)</f>
        <v>1167217723</v>
      </c>
      <c r="S89" s="88" t="str">
        <f t="array" ref="S89">XLOOKUP(C89,datos_personales[id:],datos_personales[E-Mail:],"no dato",0,1)</f>
        <v>fsm.91@hotmail.com</v>
      </c>
      <c r="T89" s="88" t="str">
        <f t="array" ref="T89">XLOOKUP(R89,telefonos_afiliados[numeros_loys],telefonos_afiliados[esta],"no esta",0,1)</f>
        <v>1</v>
      </c>
      <c r="U89" s="88" t="str">
        <f t="array" ref="U89">XLOOKUP(C89,datos_personales[id:],datos_laborales[renuncio],"no dato",0,1)</f>
        <v>#N/A</v>
      </c>
      <c r="V89" s="93" t="str">
        <f t="array" ref="V89">XLOOKUP(C89,datos_laborales[clave_foranea],datos_laborales[tiene_ficha_pdf],"no tiene ficha pdf",0,1)</f>
        <v>no tiene en pdf</v>
      </c>
      <c r="W89" s="78"/>
    </row>
    <row r="90" ht="15.75" hidden="1" customHeight="1">
      <c r="A90" s="79"/>
      <c r="B90" s="80"/>
      <c r="C90" s="81">
        <f>datos_personales[id:]</f>
        <v>28418896</v>
      </c>
      <c r="D90" s="81" t="str">
        <f t="array" ref="D90">XLOOKUP(C90,datos_laborales[clave_foranea],datos_laborales[Relacion de Dependencia],"dato no encontrado",0,1)</f>
        <v>Monotributista</v>
      </c>
      <c r="E90" s="80" t="str">
        <f t="array" ref="E90">XLOOKUP(C90,datos_delegados[clave_foranea:],datos_delegados[En Actividad]," ",0,1)</f>
        <v> </v>
      </c>
      <c r="F90" s="81" t="str">
        <f t="array" ref="F90">CONCATENATE(XLOOKUP(C90,datos_personales[id:],datos_personales[Apellido:],"no dato",0,1),", ",XLOOKUP(C90,datos_personales[id:],datos_personales[Nombre],"no dato",0,1))</f>
        <v>nieva,  alcira del valle</v>
      </c>
      <c r="G90" s="81">
        <f t="array" ref="G90">XLOOKUP(C90,datos_laborales[clave_foranea],datos_laborales[N° De Legajo],"no dato",0,1)</f>
        <v>1978</v>
      </c>
      <c r="H90" s="106" t="str">
        <f t="array" ref="H90">XLOOKUP(C90,datos_laborales[clave_foranea], datos_laborales[Inicio Actividad:],"no dato",0,1)</f>
        <v/>
      </c>
      <c r="I90" s="81">
        <f t="array" ref="I90">XLOOKUP(C90,datos_laborales[clave_foranea],datos_laborales[Años en Actividad:],"no dato",0,1)</f>
        <v>126</v>
      </c>
      <c r="J90" s="81">
        <f t="array" ref="J90">XLOOKUP(C90,datos_personales[id:],datos_personales[D.n.i:],"no dato",0,1)</f>
        <v>28418896</v>
      </c>
      <c r="K90" s="82">
        <f t="array" ref="K90">XLOOKUP(C90,datos_personales[id:],datos_personales[Fecha Nacimiento:],"no dato",0,1)</f>
        <v>29461</v>
      </c>
      <c r="L90" s="81">
        <f>COUNTIF(hijos!B:B,C90)</f>
        <v>1</v>
      </c>
      <c r="M90" s="83">
        <f>COUNTIFS(hijos!B:B,C90,hijos!I:I,1)</f>
        <v>0</v>
      </c>
      <c r="N90" s="84">
        <f>COUNTIFS(hijos!B:B,C90,hijos!J:J,1)</f>
        <v>0</v>
      </c>
      <c r="O90" s="84">
        <f>COUNTIFS(hijos!B:B,C90,hijos!K:K,1)</f>
        <v>0</v>
      </c>
      <c r="P90" s="84">
        <f>COUNTIFS(hijos!B:B,C90,hijos!L:L,1)</f>
        <v>1</v>
      </c>
      <c r="Q90" s="84">
        <f t="shared" si="1"/>
        <v>1</v>
      </c>
      <c r="R90" s="81">
        <f t="array" ref="R90">XLOOKUP(C90,datos_personales[id:],datos_personales[Tel. Contacto:],"no dato",0,1)</f>
        <v>1157802702</v>
      </c>
      <c r="S90" s="81" t="str">
        <f t="array" ref="S90">XLOOKUP(C90,datos_personales[id:],datos_personales[E-Mail:],"no dato",0,1)</f>
        <v>alcira_delvalle80@hotmail.com</v>
      </c>
      <c r="T90" s="81" t="str">
        <f t="array" ref="T90">XLOOKUP(R90,telefonos_afiliados[numeros_loys],telefonos_afiliados[esta],"no esta",0,1)</f>
        <v>1</v>
      </c>
      <c r="U90" s="81" t="str">
        <f t="array" ref="U90">XLOOKUP(C90,datos_laborales[id:],datos_laborales[renuncio],"no dato",0,1)</f>
        <v>no dato</v>
      </c>
      <c r="V90" s="104"/>
      <c r="W90" s="78"/>
    </row>
    <row r="91" ht="15.75" hidden="1" customHeight="1">
      <c r="A91" s="79"/>
      <c r="B91" s="80"/>
      <c r="C91" s="88">
        <f>datos_personales[id:]</f>
        <v>40137655</v>
      </c>
      <c r="D91" s="88" t="str">
        <f t="array" ref="D91">XLOOKUP(C91,datos_laborales[clave_foranea],datos_laborales[Relacion de Dependencia],"dato no encontrado",0,1)</f>
        <v>Monotributista</v>
      </c>
      <c r="E91" s="80" t="str">
        <f t="array" ref="E91">XLOOKUP(C91,datos_delegados[clave_foranea:],datos_delegados[En Actividad]," ",0,1)</f>
        <v> </v>
      </c>
      <c r="F91" s="88" t="str">
        <f t="array" ref="F91">CONCATENATE(XLOOKUP(C91,datos_personales[id:],datos_personales[Apellido:],"no dato",0,1),", ",XLOOKUP(C91,datos_personales[id:],datos_personales[Nombre],"no dato",0,1))</f>
        <v>nuñez,  santino alan</v>
      </c>
      <c r="G91" s="88">
        <f t="array" ref="G91">XLOOKUP(C91,datos_laborales[clave_foranea],datos_laborales[N° De Legajo],"no dato",0,1)</f>
        <v>2324</v>
      </c>
      <c r="H91" s="106" t="str">
        <f t="array" ref="H91">XLOOKUP(C91,datos_laborales[clave_foranea], datos_laborales[Inicio Actividad:],"no dato",0,1)</f>
        <v/>
      </c>
      <c r="I91" s="88">
        <f t="array" ref="I91">XLOOKUP(C91,datos_laborales[clave_foranea],datos_laborales[Años en Actividad:],"no dato",0,1)</f>
        <v>126</v>
      </c>
      <c r="J91" s="88">
        <f t="array" ref="J91">XLOOKUP(C91,datos_personales[id:],datos_personales[D.n.i:],"no dato",0,1)</f>
        <v>40137655</v>
      </c>
      <c r="K91" s="89">
        <f t="array" ref="K91">XLOOKUP(C91,datos_personales[id:],datos_personales[Fecha Nacimiento:],"no dato",0,1)</f>
        <v>35451</v>
      </c>
      <c r="L91" s="88">
        <f>COUNTIF(hijos!B:B,C91)</f>
        <v>1</v>
      </c>
      <c r="M91" s="90">
        <f>COUNTIFS(hijos!B:B,C91,hijos!I:I,1)</f>
        <v>1</v>
      </c>
      <c r="N91" s="91">
        <f>COUNTIFS(hijos!B:B,C91,hijos!J:J,1)</f>
        <v>0</v>
      </c>
      <c r="O91" s="91">
        <f>COUNTIFS(hijos!B:B,C91,hijos!K:K,1)</f>
        <v>0</v>
      </c>
      <c r="P91" s="91">
        <f>COUNTIFS(hijos!B:B,C91,hijos!L:L,1)</f>
        <v>0</v>
      </c>
      <c r="Q91" s="91">
        <f t="shared" si="1"/>
        <v>1</v>
      </c>
      <c r="R91" s="103">
        <f t="array" ref="R91">XLOOKUP(C91,datos_personales[id:],datos_personales[Tel. Contacto:],"no dato",0,1)</f>
        <v>1127455035</v>
      </c>
      <c r="S91" s="88" t="str">
        <f t="array" ref="S91">XLOOKUP(C91,datos_personales[id:],datos_personales[E-Mail:],"no dato",0,1)</f>
        <v>santinoalan222@gmail.com</v>
      </c>
      <c r="T91" s="88" t="str">
        <f t="array" ref="T91">XLOOKUP(R91,telefonos_afiliados[numeros_loys],telefonos_afiliados[esta],"no esta",0,1)</f>
        <v>1</v>
      </c>
      <c r="U91" s="88" t="str">
        <f t="array" ref="U91">XLOOKUP(C91,datos_personales[id:],datos_laborales[renuncio],"no dato",0,1)</f>
        <v>#N/A</v>
      </c>
      <c r="V91" s="93">
        <f t="array" ref="V91">XLOOKUP(C91,datos_laborales[clave_foranea],datos_laborales[tiene_ficha_pdf],"no tiene ficha pdf",0,1)</f>
        <v>1</v>
      </c>
      <c r="W91" s="78"/>
    </row>
    <row r="92" ht="15.75" hidden="1" customHeight="1">
      <c r="A92" s="79"/>
      <c r="B92" s="80"/>
      <c r="C92" s="81">
        <f>datos_personales[id:]</f>
        <v>40390933</v>
      </c>
      <c r="D92" s="81" t="str">
        <f t="array" ref="D92">XLOOKUP(C92,datos_laborales[clave_foranea],datos_laborales[Relacion de Dependencia],"dato no encontrado",0,1)</f>
        <v>Monotributista</v>
      </c>
      <c r="E92" s="80" t="str">
        <f t="array" ref="E92">XLOOKUP(C92,datos_delegados[clave_foranea:],datos_delegados[En Actividad]," ",0,1)</f>
        <v> </v>
      </c>
      <c r="F92" s="81" t="str">
        <f t="array" ref="F92">CONCATENATE(XLOOKUP(C92,datos_personales[id:],datos_personales[Apellido:],"no dato",0,1),", ",XLOOKUP(C92,datos_personales[id:],datos_personales[Nombre],"no dato",0,1))</f>
        <v>ortiz,  yazmin vaniria nahir</v>
      </c>
      <c r="G92" s="81">
        <f t="array" ref="G92">XLOOKUP(C92,datos_laborales[clave_foranea],datos_laborales[N° De Legajo],"no dato",0,1)</f>
        <v>1543</v>
      </c>
      <c r="H92" s="82">
        <f t="array" ref="H92">XLOOKUP(C92,datos_laborales[clave_foranea], datos_laborales[Inicio Actividad:],"no dato",0,1)</f>
        <v>43405</v>
      </c>
      <c r="I92" s="81">
        <f t="array" ref="I92">XLOOKUP(C92,datos_laborales[clave_foranea],datos_laborales[Años en Actividad:],"no dato",0,1)</f>
        <v>7</v>
      </c>
      <c r="J92" s="81">
        <f t="array" ref="J92">XLOOKUP(C92,datos_personales[id:],datos_personales[D.n.i:],"no dato",0,1)</f>
        <v>40390933</v>
      </c>
      <c r="K92" s="82">
        <f t="array" ref="K92">XLOOKUP(C92,datos_personales[id:],datos_personales[Fecha Nacimiento:],"no dato",0,1)</f>
        <v>35711</v>
      </c>
      <c r="L92" s="81">
        <f>COUNTIF(hijos!B:B,C92)</f>
        <v>0</v>
      </c>
      <c r="M92" s="83">
        <f>COUNTIFS(hijos!B:B,C92,hijos!I:I,1)</f>
        <v>0</v>
      </c>
      <c r="N92" s="84">
        <f>COUNTIFS(hijos!B:B,C92,hijos!J:J,1)</f>
        <v>0</v>
      </c>
      <c r="O92" s="84">
        <f>COUNTIFS(hijos!B:B,C92,hijos!K:K,1)</f>
        <v>0</v>
      </c>
      <c r="P92" s="84">
        <f>COUNTIFS(hijos!B:B,C92,hijos!L:L,1)</f>
        <v>0</v>
      </c>
      <c r="Q92" s="84">
        <f t="shared" si="1"/>
        <v>0</v>
      </c>
      <c r="R92" s="81">
        <f t="array" ref="R92">XLOOKUP(C92,datos_personales[id:],datos_personales[Tel. Contacto:],"no dato",0,1)</f>
        <v>1125168797</v>
      </c>
      <c r="S92" s="81" t="str">
        <f t="array" ref="S92">XLOOKUP(C92,datos_personales[id:],datos_personales[E-Mail:],"no dato",0,1)</f>
        <v>yazmin-ortiz@hotmail.com</v>
      </c>
      <c r="T92" s="81" t="str">
        <f t="array" ref="T92">XLOOKUP(R92,telefonos_afiliados[numeros_loys],telefonos_afiliados[esta],"no esta",0,1)</f>
        <v>1</v>
      </c>
      <c r="U92" s="80"/>
      <c r="V92" s="104"/>
      <c r="W92" s="78"/>
    </row>
    <row r="93" ht="15.75" hidden="1" customHeight="1">
      <c r="A93" s="79"/>
      <c r="B93" s="80"/>
      <c r="C93" s="94">
        <f>datos_personales[id:]</f>
        <v>40239878</v>
      </c>
      <c r="D93" s="94" t="str">
        <f t="array" ref="D93">XLOOKUP(C93,datos_laborales[clave_foranea],datos_laborales[Relacion de Dependencia],"dato no encontrado",0,1)</f>
        <v>Monotributista</v>
      </c>
      <c r="E93" s="94">
        <f t="array" ref="E93">XLOOKUP(C93,datos_delegados[clave_foranea:],datos_delegados[En Actividad]," ",0,1)</f>
        <v>1</v>
      </c>
      <c r="F93" s="94" t="str">
        <f t="array" ref="F93">CONCATENATE(XLOOKUP(C93,datos_personales[id:],datos_personales[Apellido:],"no dato",0,1),", ",XLOOKUP(C93,datos_personales[id:],datos_personales[Nombre],"no dato",0,1))</f>
        <v>ortiz,  daniela  </v>
      </c>
      <c r="G93" s="94">
        <f t="array" ref="G93">XLOOKUP(C93,datos_laborales[clave_foranea],datos_laborales[N° De Legajo],"no dato",0,1)</f>
        <v>1739</v>
      </c>
      <c r="H93" s="95">
        <f t="array" ref="H93">XLOOKUP(C93,datos_laborales[clave_foranea], datos_laborales[Inicio Actividad:],"no dato",0,1)</f>
        <v>43710</v>
      </c>
      <c r="I93" s="94">
        <f t="array" ref="I93">XLOOKUP(C93,datos_laborales[clave_foranea],datos_laborales[Años en Actividad:],"no dato",0,1)</f>
        <v>6</v>
      </c>
      <c r="J93" s="94">
        <f t="array" ref="J93">XLOOKUP(C93,datos_personales[id:],datos_personales[D.n.i:],"no dato",0,1)</f>
        <v>40239878</v>
      </c>
      <c r="K93" s="95">
        <f t="array" ref="K93">XLOOKUP(C93,datos_personales[id:],datos_personales[Fecha Nacimiento:],"no dato",0,1)</f>
        <v>35449</v>
      </c>
      <c r="L93" s="94">
        <f>COUNTIF(hijos!B:B,C93)</f>
        <v>0</v>
      </c>
      <c r="M93" s="96">
        <f>COUNTIFS(hijos!B:B,C93,hijos!I:I,1)</f>
        <v>0</v>
      </c>
      <c r="N93" s="97">
        <f>COUNTIFS(hijos!B:B,C93,hijos!J:J,1)</f>
        <v>0</v>
      </c>
      <c r="O93" s="97">
        <f>COUNTIFS(hijos!B:B,C93,hijos!K:K,1)</f>
        <v>0</v>
      </c>
      <c r="P93" s="97">
        <f>COUNTIFS(hijos!B:B,C93,hijos!L:L,1)</f>
        <v>0</v>
      </c>
      <c r="Q93" s="97">
        <f t="shared" si="1"/>
        <v>0</v>
      </c>
      <c r="R93" s="94">
        <f t="array" ref="R93">XLOOKUP(C93,datos_personales[id:],datos_personales[Tel. Contacto:],"no dato",0,1)</f>
        <v>1138017700</v>
      </c>
      <c r="S93" s="94" t="str">
        <f t="array" ref="S93">XLOOKUP(C93,datos_personales[id:],datos_personales[E-Mail:],"no dato",0,1)</f>
        <v>Ortizdaniela977@gmail.com</v>
      </c>
      <c r="T93" s="94" t="str">
        <f t="array" ref="T93">XLOOKUP(R93,telefonos_afiliados[numeros_loys],telefonos_afiliados[esta],"no esta",0,1)</f>
        <v>1</v>
      </c>
      <c r="U93" s="94" t="str">
        <f t="array" ref="U93">XLOOKUP(C93,datos_laborales[id:],datos_laborales[renuncio],"no dato",0,1)</f>
        <v>no dato</v>
      </c>
      <c r="V93" s="104"/>
      <c r="W93" s="78"/>
    </row>
    <row r="94" ht="15.75" hidden="1" customHeight="1">
      <c r="A94" s="79"/>
      <c r="B94" s="80"/>
      <c r="C94" s="81">
        <f>datos_personales[id:]</f>
        <v>94997820</v>
      </c>
      <c r="D94" s="81" t="str">
        <f t="array" ref="D94">XLOOKUP(C94,datos_laborales[clave_foranea],datos_laborales[Relacion de Dependencia],"dato no encontrado",0,1)</f>
        <v>Monotributista</v>
      </c>
      <c r="E94" s="80" t="str">
        <f t="array" ref="E94">XLOOKUP(C94,datos_delegados[clave_foranea:],datos_delegados[En Actividad]," ",0,1)</f>
        <v> </v>
      </c>
      <c r="F94" s="81" t="str">
        <f t="array" ref="F94">CONCATENATE(XLOOKUP(C94,datos_personales[id:],datos_personales[Apellido:],"no dato",0,1),", ",XLOOKUP(C94,datos_personales[id:],datos_personales[Nombre],"no dato",0,1))</f>
        <v>ortiz,  gustavo</v>
      </c>
      <c r="G94" s="80" t="str">
        <f t="array" ref="G94">XLOOKUP(C94,datos_laborales[clave_foranea],datos_laborales[N° De Legajo],"no dato",0,1)</f>
        <v/>
      </c>
      <c r="H94" s="82">
        <f t="array" ref="H94">XLOOKUP(C94,datos_laborales[clave_foranea], datos_laborales[Inicio Actividad:],"no dato",0,1)</f>
        <v>44510</v>
      </c>
      <c r="I94" s="81">
        <f t="array" ref="I94">XLOOKUP(C94,datos_laborales[clave_foranea],datos_laborales[Años en Actividad:],"no dato",0,1)</f>
        <v>4</v>
      </c>
      <c r="J94" s="81">
        <f t="array" ref="J94">XLOOKUP(C94,datos_personales[id:],datos_personales[D.n.i:],"no dato",0,1)</f>
        <v>94997820</v>
      </c>
      <c r="K94" s="82">
        <f t="array" ref="K94">XLOOKUP(C94,datos_personales[id:],datos_personales[Fecha Nacimiento:],"no dato",0,1)</f>
        <v>34109</v>
      </c>
      <c r="L94" s="81">
        <f>COUNTIF(hijos!B:B,C94)</f>
        <v>0</v>
      </c>
      <c r="M94" s="83">
        <f>COUNTIFS(hijos!B:B,C94,hijos!I:I,1)</f>
        <v>0</v>
      </c>
      <c r="N94" s="84">
        <f>COUNTIFS(hijos!B:B,C94,hijos!J:J,1)</f>
        <v>0</v>
      </c>
      <c r="O94" s="84">
        <f>COUNTIFS(hijos!B:B,C94,hijos!K:K,1)</f>
        <v>0</v>
      </c>
      <c r="P94" s="84">
        <f>COUNTIFS(hijos!B:B,C94,hijos!L:L,1)</f>
        <v>0</v>
      </c>
      <c r="Q94" s="84">
        <f t="shared" si="1"/>
        <v>0</v>
      </c>
      <c r="R94" s="81">
        <f t="array" ref="R94">XLOOKUP(C94,datos_personales[id:],datos_personales[Tel. Contacto:],"no dato",0,1)</f>
        <v>1168314085</v>
      </c>
      <c r="S94" s="81" t="str">
        <f t="array" ref="S94">XLOOKUP(C94,datos_personales[id:],datos_personales[E-Mail:],"no dato",0,1)</f>
        <v>gusttyortiz_GO@hotmail.com</v>
      </c>
      <c r="T94" s="81" t="str">
        <f t="array" ref="T94">XLOOKUP(R94,telefonos_afiliados[numeros_loys],telefonos_afiliados[esta],"no esta",0,1)</f>
        <v>1</v>
      </c>
      <c r="U94" s="80"/>
      <c r="V94" s="104"/>
      <c r="W94" s="78"/>
    </row>
    <row r="95" ht="15.75" hidden="1" customHeight="1">
      <c r="A95" s="79"/>
      <c r="B95" s="80"/>
      <c r="C95" s="88">
        <f>datos_personales[id:]</f>
        <v>25847688</v>
      </c>
      <c r="D95" s="88" t="str">
        <f t="array" ref="D95">XLOOKUP(C95,datos_laborales[clave_foranea],datos_laborales[Relacion de Dependencia],"dato no encontrado",0,1)</f>
        <v>Monotributista</v>
      </c>
      <c r="E95" s="80" t="str">
        <f t="array" ref="E95">XLOOKUP(C95,datos_delegados[clave_foranea:],datos_delegados[En Actividad]," ",0,1)</f>
        <v> </v>
      </c>
      <c r="F95" s="88" t="str">
        <f t="array" ref="F95">CONCATENATE(XLOOKUP(C95,datos_personales[id:],datos_personales[Apellido:],"no dato",0,1),", ",XLOOKUP(C95,datos_personales[id:],datos_personales[Nombre],"no dato",0,1))</f>
        <v>ortiz,  marina elizabeth</v>
      </c>
      <c r="G95" s="88">
        <f t="array" ref="G95">XLOOKUP(C95,datos_laborales[clave_foranea],datos_laborales[N° De Legajo],"no dato",0,1)</f>
        <v>3199</v>
      </c>
      <c r="H95" s="106" t="str">
        <f t="array" ref="H95">XLOOKUP(C95,datos_laborales[clave_foranea], datos_laborales[Inicio Actividad:],"no dato",0,1)</f>
        <v/>
      </c>
      <c r="I95" s="88">
        <f t="array" ref="I95">XLOOKUP(C95,datos_laborales[clave_foranea],datos_laborales[Años en Actividad:],"no dato",0,1)</f>
        <v>126</v>
      </c>
      <c r="J95" s="88">
        <f t="array" ref="J95">XLOOKUP(C95,datos_personales[id:],datos_personales[D.n.i:],"no dato",0,1)</f>
        <v>25847688</v>
      </c>
      <c r="K95" s="106" t="str">
        <f t="array" ref="K95">XLOOKUP(C95,datos_personales[id:],datos_personales[Fecha Nacimiento:],"no dato",0,1)</f>
        <v/>
      </c>
      <c r="L95" s="88">
        <f>COUNTIF(hijos!B:B,C95)</f>
        <v>2</v>
      </c>
      <c r="M95" s="90">
        <f>COUNTIFS(hijos!B:B,C95,hijos!I:I,1)</f>
        <v>0</v>
      </c>
      <c r="N95" s="91">
        <f>COUNTIFS(hijos!B:B,C95,hijos!J:J,1)</f>
        <v>1</v>
      </c>
      <c r="O95" s="91">
        <f>COUNTIFS(hijos!B:B,C95,hijos!K:K,1)</f>
        <v>0</v>
      </c>
      <c r="P95" s="91">
        <f>COUNTIFS(hijos!B:B,C95,hijos!L:L,1)</f>
        <v>1</v>
      </c>
      <c r="Q95" s="91">
        <f t="shared" si="1"/>
        <v>2</v>
      </c>
      <c r="R95" s="103">
        <f t="array" ref="R95">XLOOKUP(C95,datos_personales[id:],datos_personales[Tel. Contacto:],"no dato",0,1)</f>
        <v>1131269652</v>
      </c>
      <c r="S95" s="80" t="str">
        <f t="array" ref="S95">XLOOKUP(C95,datos_personales[id:],datos_personales[E-Mail:],"no dato",0,1)</f>
        <v/>
      </c>
      <c r="T95" s="88" t="str">
        <f t="array" ref="T95">XLOOKUP(R95,telefonos_afiliados[numeros_loys],telefonos_afiliados[esta],"no esta",0,1)</f>
        <v>1</v>
      </c>
      <c r="U95" s="88" t="str">
        <f t="array" ref="U95">XLOOKUP(C95,datos_laborales[id:],datos_laborales[renuncio],"no dato",0,1)</f>
        <v>no dato</v>
      </c>
      <c r="V95" s="93" t="str">
        <f t="array" ref="V95">XLOOKUP(C95,datos_laborales[clave_foranea],datos_laborales[tiene_ficha_pdf],"no tiene ficha pdf",0,1)</f>
        <v>no tiene en pdf</v>
      </c>
      <c r="W95" s="78"/>
    </row>
    <row r="96" ht="15.75" hidden="1" customHeight="1">
      <c r="A96" s="79"/>
      <c r="B96" s="80"/>
      <c r="C96" s="81">
        <f>datos_personales[id:]</f>
        <v>38152098</v>
      </c>
      <c r="D96" s="81" t="str">
        <f t="array" ref="D96">XLOOKUP(C96,datos_laborales[clave_foranea],datos_laborales[Relacion de Dependencia],"dato no encontrado",0,1)</f>
        <v>Monotributista</v>
      </c>
      <c r="E96" s="80" t="str">
        <f t="array" ref="E96">XLOOKUP(C96,datos_delegados[clave_foranea:],datos_delegados[En Actividad]," ",0,1)</f>
        <v> </v>
      </c>
      <c r="F96" s="81" t="str">
        <f t="array" ref="F96">CONCATENATE(XLOOKUP(C96,datos_personales[id:],datos_personales[Apellido:],"no dato",0,1),", ",XLOOKUP(C96,datos_personales[id:],datos_personales[Nombre],"no dato",0,1))</f>
        <v>paez,  yamila denise</v>
      </c>
      <c r="G96" s="81">
        <f t="array" ref="G96">XLOOKUP(C96,datos_laborales[clave_foranea],datos_laborales[N° De Legajo],"no dato",0,1)</f>
        <v>1594</v>
      </c>
      <c r="H96" s="82">
        <f t="array" ref="H96">XLOOKUP(C96,datos_laborales[clave_foranea], datos_laborales[Inicio Actividad:],"no dato",0,1)</f>
        <v>43497</v>
      </c>
      <c r="I96" s="81">
        <f t="array" ref="I96">XLOOKUP(C96,datos_laborales[clave_foranea],datos_laborales[Años en Actividad:],"no dato",0,1)</f>
        <v>6</v>
      </c>
      <c r="J96" s="81">
        <f t="array" ref="J96">XLOOKUP(C96,datos_personales[id:],datos_personales[D.n.i:],"no dato",0,1)</f>
        <v>38152098</v>
      </c>
      <c r="K96" s="82">
        <f t="array" ref="K96">XLOOKUP(C96,datos_personales[id:],datos_personales[Fecha Nacimiento:],"no dato",0,1)</f>
        <v>34586</v>
      </c>
      <c r="L96" s="81">
        <f>COUNTIF(hijos!B:B,C96)</f>
        <v>0</v>
      </c>
      <c r="M96" s="83">
        <f>COUNTIFS(hijos!B:B,C96,hijos!I:I,1)</f>
        <v>0</v>
      </c>
      <c r="N96" s="84">
        <f>COUNTIFS(hijos!B:B,C96,hijos!J:J,1)</f>
        <v>0</v>
      </c>
      <c r="O96" s="84">
        <f>COUNTIFS(hijos!B:B,C96,hijos!K:K,1)</f>
        <v>0</v>
      </c>
      <c r="P96" s="84">
        <f>COUNTIFS(hijos!B:B,C96,hijos!L:L,1)</f>
        <v>0</v>
      </c>
      <c r="Q96" s="84">
        <f t="shared" si="1"/>
        <v>0</v>
      </c>
      <c r="R96" s="92" t="str">
        <f t="array" ref="R96">XLOOKUP(C96,datos_personales[id:],datos_personales[Tel. Contacto:],"no dato",0,1)</f>
        <v/>
      </c>
      <c r="S96" s="81" t="str">
        <f t="array" ref="S96">XLOOKUP(C96,datos_personales[id:],datos_personales[E-Mail:],"no dato",0,1)</f>
        <v>yamiladpaez@gmail.com</v>
      </c>
      <c r="T96" s="81" t="str">
        <f t="array" ref="T96">XLOOKUP(R96,telefonos_afiliados[numeros_loys],telefonos_afiliados[esta],"no esta",0,1)</f>
        <v>no esta</v>
      </c>
      <c r="U96" s="81" t="str">
        <f t="array" ref="U96">XLOOKUP(C96,datos_laborales[id:],datos_laborales[renuncio],"no dato",0,1)</f>
        <v>no dato</v>
      </c>
      <c r="V96" s="87" t="str">
        <f t="array" ref="V96">XLOOKUP(C96,datos_laborales[clave_foranea],datos_laborales[tiene_ficha_pdf],"no tiene ficha pdf",0,1)</f>
        <v>no tiene en pdf</v>
      </c>
      <c r="W96" s="78"/>
    </row>
    <row r="97" ht="15.75" hidden="1" customHeight="1">
      <c r="A97" s="79"/>
      <c r="B97" s="80"/>
      <c r="C97" s="88">
        <f>datos_personales[id:]</f>
        <v>40698496</v>
      </c>
      <c r="D97" s="88" t="str">
        <f t="array" ref="D97">XLOOKUP(C97,datos_laborales[clave_foranea],datos_laborales[Relacion de Dependencia],"dato no encontrado",0,1)</f>
        <v>Monotributista</v>
      </c>
      <c r="E97" s="80" t="str">
        <f t="array" ref="E97">XLOOKUP(C97,datos_delegados[clave_foranea:],datos_delegados[En Actividad]," ",0,1)</f>
        <v> </v>
      </c>
      <c r="F97" s="88" t="str">
        <f t="array" ref="F97">CONCATENATE(XLOOKUP(C97,datos_personales[id:],datos_personales[Apellido:],"no dato",0,1),", ",XLOOKUP(C97,datos_personales[id:],datos_personales[Nombre],"no dato",0,1))</f>
        <v>paz,  daniela</v>
      </c>
      <c r="G97" s="88">
        <f t="array" ref="G97">XLOOKUP(C97,datos_laborales[clave_foranea],datos_laborales[N° De Legajo],"no dato",0,1)</f>
        <v>2830</v>
      </c>
      <c r="H97" s="106" t="str">
        <f t="array" ref="H97">XLOOKUP(C97,datos_laborales[clave_foranea], datos_laborales[Inicio Actividad:],"no dato",0,1)</f>
        <v/>
      </c>
      <c r="I97" s="88">
        <f t="array" ref="I97">XLOOKUP(C97,datos_laborales[clave_foranea],datos_laborales[Años en Actividad:],"no dato",0,1)</f>
        <v>126</v>
      </c>
      <c r="J97" s="88">
        <f t="array" ref="J97">XLOOKUP(C97,datos_personales[id:],datos_personales[D.n.i:],"no dato",0,1)</f>
        <v>40698496</v>
      </c>
      <c r="K97" s="106" t="str">
        <f t="array" ref="K97">XLOOKUP(C97,datos_personales[id:],datos_personales[Fecha Nacimiento:],"no dato",0,1)</f>
        <v/>
      </c>
      <c r="L97" s="88">
        <f>COUNTIF(hijos!B:B,C97)</f>
        <v>0</v>
      </c>
      <c r="M97" s="90">
        <f>COUNTIFS(hijos!B:B,C97,hijos!I:I,1)</f>
        <v>0</v>
      </c>
      <c r="N97" s="91">
        <f>COUNTIFS(hijos!B:B,C97,hijos!J:J,1)</f>
        <v>0</v>
      </c>
      <c r="O97" s="91">
        <f>COUNTIFS(hijos!B:B,C97,hijos!K:K,1)</f>
        <v>0</v>
      </c>
      <c r="P97" s="91">
        <f>COUNTIFS(hijos!B:B,C97,hijos!L:L,1)</f>
        <v>0</v>
      </c>
      <c r="Q97" s="91">
        <f t="shared" si="1"/>
        <v>0</v>
      </c>
      <c r="R97" s="88">
        <f t="array" ref="R97">XLOOKUP(C97,datos_personales[id:],datos_personales[Tel. Contacto:],"no dato",0,1)</f>
        <v>1165882650</v>
      </c>
      <c r="S97" s="80" t="str">
        <f t="array" ref="S97">XLOOKUP(C97,datos_personales[id:],datos_personales[E-Mail:],"no dato",0,1)</f>
        <v/>
      </c>
      <c r="T97" s="88" t="str">
        <f t="array" ref="T97">XLOOKUP(R97,telefonos_afiliados[numeros_loys],telefonos_afiliados[esta],"no esta",0,1)</f>
        <v>1</v>
      </c>
      <c r="U97" s="80"/>
      <c r="V97" s="104"/>
      <c r="W97" s="78"/>
    </row>
    <row r="98" ht="15.75" hidden="1" customHeight="1">
      <c r="A98" s="79"/>
      <c r="B98" s="80"/>
      <c r="C98" s="94">
        <f>datos_personales[id:]</f>
        <v>30465419</v>
      </c>
      <c r="D98" s="94" t="str">
        <f t="array" ref="D98">XLOOKUP(C98,datos_laborales[clave_foranea],datos_laborales[Relacion de Dependencia],"dato no encontrado",0,1)</f>
        <v>Monotributista</v>
      </c>
      <c r="E98" s="94">
        <f t="array" ref="E98">XLOOKUP(C98,datos_delegados[clave_foranea:],datos_delegados[En Actividad]," ",0,1)</f>
        <v>1</v>
      </c>
      <c r="F98" s="94" t="str">
        <f t="array" ref="F98">CONCATENATE(XLOOKUP(C98,datos_personales[id:],datos_personales[Apellido:],"no dato",0,1),", ",XLOOKUP(C98,datos_personales[id:],datos_personales[Nombre],"no dato",0,1))</f>
        <v>palacio,  gustavo</v>
      </c>
      <c r="G98" s="94">
        <f t="array" ref="G98">XLOOKUP(C98,datos_laborales[clave_foranea],datos_laborales[N° De Legajo],"no dato",0,1)</f>
        <v>1124</v>
      </c>
      <c r="H98" s="95">
        <f t="array" ref="H98">XLOOKUP(C98,datos_laborales[clave_foranea], datos_laborales[Inicio Actividad:],"no dato",0,1)</f>
        <v>43009</v>
      </c>
      <c r="I98" s="94">
        <f t="array" ref="I98">XLOOKUP(C98,datos_laborales[clave_foranea],datos_laborales[Años en Actividad:],"no dato",0,1)</f>
        <v>8</v>
      </c>
      <c r="J98" s="94">
        <f t="array" ref="J98">XLOOKUP(C98,datos_personales[id:],datos_personales[D.n.i:],"no dato",0,1)</f>
        <v>30465419</v>
      </c>
      <c r="K98" s="95">
        <f t="array" ref="K98">XLOOKUP(C98,datos_personales[id:],datos_personales[Fecha Nacimiento:],"no dato",0,1)</f>
        <v>30580</v>
      </c>
      <c r="L98" s="94">
        <f>COUNTIF(hijos!B:B,C98)</f>
        <v>2</v>
      </c>
      <c r="M98" s="96">
        <f>COUNTIFS(hijos!B:B,C98,hijos!I:I,1)</f>
        <v>0</v>
      </c>
      <c r="N98" s="97">
        <f>COUNTIFS(hijos!B:B,C98,hijos!J:J,1)</f>
        <v>1</v>
      </c>
      <c r="O98" s="97">
        <f>COUNTIFS(hijos!B:B,C98,hijos!K:K,1)</f>
        <v>0</v>
      </c>
      <c r="P98" s="97">
        <f>COUNTIFS(hijos!B:B,C98,hijos!L:L,1)</f>
        <v>1</v>
      </c>
      <c r="Q98" s="97">
        <f t="shared" si="1"/>
        <v>2</v>
      </c>
      <c r="R98" s="94">
        <f t="array" ref="R98">XLOOKUP(C98,datos_personales[id:],datos_personales[Tel. Contacto:],"no dato",0,1)</f>
        <v>1151361265</v>
      </c>
      <c r="S98" s="94" t="str">
        <f t="array" ref="S98">XLOOKUP(C98,datos_personales[id:],datos_personales[E-Mail:],"no dato",0,1)</f>
        <v>leonelll_83@hotmail.com</v>
      </c>
      <c r="T98" s="94" t="str">
        <f t="array" ref="T98">XLOOKUP(R98,telefonos_afiliados[numeros_loys],telefonos_afiliados[esta],"no esta",0,1)</f>
        <v>1</v>
      </c>
      <c r="U98" s="94" t="str">
        <f t="array" ref="U98">XLOOKUP(C98,datos_laborales[id:],datos_laborales[renuncio],"no dato",0,1)</f>
        <v>no dato</v>
      </c>
      <c r="V98" s="104"/>
      <c r="W98" s="78"/>
    </row>
    <row r="99" ht="15.75" hidden="1" customHeight="1">
      <c r="A99" s="79"/>
      <c r="B99" s="80"/>
      <c r="C99" s="88">
        <f>datos_personales[id:]</f>
        <v>45285264</v>
      </c>
      <c r="D99" s="88" t="str">
        <f t="array" ref="D99">XLOOKUP(C99,datos_laborales[clave_foranea],datos_laborales[Relacion de Dependencia],"dato no encontrado",0,1)</f>
        <v>Monotributista</v>
      </c>
      <c r="E99" s="80" t="str">
        <f t="array" ref="E99">XLOOKUP(C99,datos_delegados[clave_foranea:],datos_delegados[En Actividad]," ",0,1)</f>
        <v> </v>
      </c>
      <c r="F99" s="88" t="str">
        <f t="array" ref="F99">CONCATENATE(XLOOKUP(C99,datos_personales[id:],datos_personales[Apellido:],"no dato",0,1),", ",XLOOKUP(C99,datos_personales[id:],datos_personales[Nombre],"no dato",0,1))</f>
        <v>perez,  florencia ludmila</v>
      </c>
      <c r="G99" s="88">
        <f t="array" ref="G99">XLOOKUP(C99,datos_laborales[clave_foranea],datos_laborales[N° De Legajo],"no dato",0,1)</f>
        <v>2518</v>
      </c>
      <c r="H99" s="106" t="str">
        <f t="array" ref="H99">XLOOKUP(C99,datos_laborales[clave_foranea], datos_laborales[Inicio Actividad:],"no dato",0,1)</f>
        <v/>
      </c>
      <c r="I99" s="88">
        <f t="array" ref="I99">XLOOKUP(C99,datos_laborales[clave_foranea],datos_laborales[Años en Actividad:],"no dato",0,1)</f>
        <v>126</v>
      </c>
      <c r="J99" s="88">
        <f t="array" ref="J99">XLOOKUP(C99,datos_personales[id:],datos_personales[D.n.i:],"no dato",0,1)</f>
        <v>45285264</v>
      </c>
      <c r="K99" s="89">
        <f t="array" ref="K99">XLOOKUP(C99,datos_personales[id:],datos_personales[Fecha Nacimiento:],"no dato",0,1)</f>
        <v>38070</v>
      </c>
      <c r="L99" s="88">
        <f>COUNTIF(hijos!B:B,C99)</f>
        <v>0</v>
      </c>
      <c r="M99" s="90">
        <f>COUNTIFS(hijos!B:B,C99,hijos!I:I,1)</f>
        <v>0</v>
      </c>
      <c r="N99" s="91">
        <f>COUNTIFS(hijos!B:B,C99,hijos!J:J,1)</f>
        <v>0</v>
      </c>
      <c r="O99" s="91">
        <f>COUNTIFS(hijos!B:B,C99,hijos!K:K,1)</f>
        <v>0</v>
      </c>
      <c r="P99" s="91">
        <f>COUNTIFS(hijos!B:B,C99,hijos!L:L,1)</f>
        <v>0</v>
      </c>
      <c r="Q99" s="91">
        <f t="shared" si="1"/>
        <v>0</v>
      </c>
      <c r="R99" s="88">
        <f t="array" ref="R99">XLOOKUP(C99,datos_personales[id:],datos_personales[Tel. Contacto:],"no dato",0,1)</f>
        <v>1124676665</v>
      </c>
      <c r="S99" s="80" t="str">
        <f t="array" ref="S99">XLOOKUP(C99,datos_personales[id:],datos_personales[E-Mail:],"no dato",0,1)</f>
        <v/>
      </c>
      <c r="T99" s="88" t="str">
        <f t="array" ref="T99">XLOOKUP(R99,telefonos_afiliados[numeros_loys],telefonos_afiliados[esta],"no esta",0,1)</f>
        <v>1</v>
      </c>
      <c r="U99" s="88" t="str">
        <f t="array" ref="U99">XLOOKUP(C99,datos_laborales[id:],datos_laborales[renuncio],"no dato",0,1)</f>
        <v>no dato</v>
      </c>
      <c r="V99" s="104"/>
      <c r="W99" s="78"/>
    </row>
    <row r="100" ht="15.75" hidden="1" customHeight="1">
      <c r="A100" s="79"/>
      <c r="B100" s="80"/>
      <c r="C100" s="81">
        <f>datos_personales[id:]</f>
        <v>40850341</v>
      </c>
      <c r="D100" s="81" t="str">
        <f t="array" ref="D100">XLOOKUP(C100,datos_laborales[clave_foranea],datos_laborales[Relacion de Dependencia],"dato no encontrado",0,1)</f>
        <v>Monotributista</v>
      </c>
      <c r="E100" s="80" t="str">
        <f t="array" ref="E100">XLOOKUP(C100,datos_delegados[clave_foranea:],datos_delegados[En Actividad]," ",0,1)</f>
        <v> </v>
      </c>
      <c r="F100" s="81" t="str">
        <f t="array" ref="F100">CONCATENATE(XLOOKUP(C100,datos_personales[id:],datos_personales[Apellido:],"no dato",0,1),", ",XLOOKUP(C100,datos_personales[id:],datos_personales[Nombre],"no dato",0,1))</f>
        <v>perez,  maría bettina </v>
      </c>
      <c r="G100" s="81">
        <f t="array" ref="G100">XLOOKUP(C100,datos_laborales[clave_foranea],datos_laborales[N° De Legajo],"no dato",0,1)</f>
        <v>1693</v>
      </c>
      <c r="H100" s="82">
        <f t="array" ref="H100">XLOOKUP(C100,datos_laborales[clave_foranea], datos_laborales[Inicio Actividad:],"no dato",0,1)</f>
        <v>43234</v>
      </c>
      <c r="I100" s="81">
        <f t="array" ref="I100">XLOOKUP(C100,datos_laborales[clave_foranea],datos_laborales[Años en Actividad:],"no dato",0,1)</f>
        <v>7</v>
      </c>
      <c r="J100" s="81">
        <f t="array" ref="J100">XLOOKUP(C100,datos_personales[id:],datos_personales[D.n.i:],"no dato",0,1)</f>
        <v>40850341</v>
      </c>
      <c r="K100" s="82">
        <f t="array" ref="K100">XLOOKUP(C100,datos_personales[id:],datos_personales[Fecha Nacimiento:],"no dato",0,1)</f>
        <v>35738</v>
      </c>
      <c r="L100" s="81">
        <f>COUNTIF(hijos!B:B,C100)</f>
        <v>0</v>
      </c>
      <c r="M100" s="83">
        <f>COUNTIFS(hijos!B:B,C100,hijos!I:I,1)</f>
        <v>0</v>
      </c>
      <c r="N100" s="84">
        <f>COUNTIFS(hijos!B:B,C100,hijos!J:J,1)</f>
        <v>0</v>
      </c>
      <c r="O100" s="84">
        <f>COUNTIFS(hijos!B:B,C100,hijos!K:K,1)</f>
        <v>0</v>
      </c>
      <c r="P100" s="84">
        <f>COUNTIFS(hijos!B:B,C100,hijos!L:L,1)</f>
        <v>0</v>
      </c>
      <c r="Q100" s="84">
        <f t="shared" si="1"/>
        <v>0</v>
      </c>
      <c r="R100" s="92" t="str">
        <f t="array" ref="R100">XLOOKUP(C100,datos_personales[id:],datos_personales[Tel. Contacto:],"no dato",0,1)</f>
        <v/>
      </c>
      <c r="S100" s="81" t="str">
        <f t="array" ref="S100">XLOOKUP(C100,datos_personales[id:],datos_personales[E-Mail:],"no dato",0,1)</f>
        <v>mariabettinaperez.18.2015@gmail.com</v>
      </c>
      <c r="T100" s="81" t="str">
        <f t="array" ref="T100">XLOOKUP(R100,telefonos_afiliados[numeros_loys],telefonos_afiliados[esta],"no esta",0,1)</f>
        <v>no esta</v>
      </c>
      <c r="U100" s="81" t="str">
        <f t="array" ref="U100">XLOOKUP(C100,datos_personales[id:],datos_laborales[renuncio],"no dato",0,1)</f>
        <v>#N/A</v>
      </c>
      <c r="V100" s="87" t="str">
        <f t="array" ref="V100">XLOOKUP(C100,datos_laborales[clave_foranea],datos_laborales[tiene_ficha_pdf],"no tiene ficha pdf",0,1)</f>
        <v>no tiene en pdf</v>
      </c>
      <c r="W100" s="78"/>
    </row>
    <row r="101" ht="15.75" hidden="1" customHeight="1">
      <c r="A101" s="79"/>
      <c r="B101" s="80"/>
      <c r="C101" s="88">
        <f>datos_personales[id:]</f>
        <v>25681364</v>
      </c>
      <c r="D101" s="88" t="str">
        <f t="array" ref="D101">XLOOKUP(C101,datos_laborales[clave_foranea],datos_laborales[Relacion de Dependencia],"dato no encontrado",0,1)</f>
        <v>Monotributista</v>
      </c>
      <c r="E101" s="80" t="str">
        <f t="array" ref="E101">XLOOKUP(C101,datos_delegados[clave_foranea:],datos_delegados[En Actividad]," ",0,1)</f>
        <v> </v>
      </c>
      <c r="F101" s="88" t="str">
        <f t="array" ref="F101">CONCATENATE(XLOOKUP(C101,datos_personales[id:],datos_personales[Apellido:],"no dato",0,1),", ",XLOOKUP(C101,datos_personales[id:],datos_personales[Nombre],"no dato",0,1))</f>
        <v>perez,  fernanda mariel</v>
      </c>
      <c r="G101" s="88">
        <f t="array" ref="G101">XLOOKUP(C101,datos_laborales[clave_foranea],datos_laborales[N° De Legajo],"no dato",0,1)</f>
        <v>1953</v>
      </c>
      <c r="H101" s="89">
        <f t="array" ref="H101">XLOOKUP(C101,datos_laborales[clave_foranea], datos_laborales[Inicio Actividad:],"no dato",0,1)</f>
        <v>44627</v>
      </c>
      <c r="I101" s="88">
        <f t="array" ref="I101">XLOOKUP(C101,datos_laborales[clave_foranea],datos_laborales[Años en Actividad:],"no dato",0,1)</f>
        <v>3</v>
      </c>
      <c r="J101" s="88">
        <f t="array" ref="J101">XLOOKUP(C101,datos_personales[id:],datos_personales[D.n.i:],"no dato",0,1)</f>
        <v>25681364</v>
      </c>
      <c r="K101" s="89">
        <f t="array" ref="K101">XLOOKUP(C101,datos_personales[id:],datos_personales[Fecha Nacimiento:],"no dato",0,1)</f>
        <v>28142</v>
      </c>
      <c r="L101" s="88">
        <f>COUNTIF(hijos!B:B,C101)</f>
        <v>1</v>
      </c>
      <c r="M101" s="90">
        <f>COUNTIFS(hijos!B:B,C101,hijos!I:I,1)</f>
        <v>0</v>
      </c>
      <c r="N101" s="91">
        <f>COUNTIFS(hijos!B:B,C101,hijos!J:J,1)</f>
        <v>0</v>
      </c>
      <c r="O101" s="91">
        <f>COUNTIFS(hijos!B:B,C101,hijos!K:K,1)</f>
        <v>0</v>
      </c>
      <c r="P101" s="91">
        <f>COUNTIFS(hijos!B:B,C101,hijos!L:L,1)</f>
        <v>1</v>
      </c>
      <c r="Q101" s="91">
        <f t="shared" si="1"/>
        <v>1</v>
      </c>
      <c r="R101" s="88">
        <f t="array" ref="R101">XLOOKUP(C101,datos_personales[id:],datos_personales[Tel. Contacto:],"no dato",0,1)</f>
        <v>1126573366</v>
      </c>
      <c r="S101" s="88" t="str">
        <f t="array" ref="S101">XLOOKUP(C101,datos_personales[id:],datos_personales[E-Mail:],"no dato",0,1)</f>
        <v>fernandachuleta@gmail.com</v>
      </c>
      <c r="T101" s="88" t="str">
        <f t="array" ref="T101">XLOOKUP(R101,telefonos_afiliados[numeros_loys],telefonos_afiliados[esta],"no esta",0,1)</f>
        <v>1</v>
      </c>
      <c r="U101" s="88" t="str">
        <f t="array" ref="U101">XLOOKUP(C101,datos_laborales[id:],datos_laborales[renuncio],"no dato",0,1)</f>
        <v>no dato</v>
      </c>
      <c r="V101" s="104"/>
      <c r="W101" s="78"/>
    </row>
    <row r="102" ht="15.75" hidden="1" customHeight="1">
      <c r="A102" s="79"/>
      <c r="B102" s="80"/>
      <c r="C102" s="94">
        <f>datos_personales[id:]</f>
        <v>37099313</v>
      </c>
      <c r="D102" s="94" t="str">
        <f t="array" ref="D102">XLOOKUP(C102,datos_laborales[clave_foranea],datos_laborales[Relacion de Dependencia],"dato no encontrado",0,1)</f>
        <v>Monotributista</v>
      </c>
      <c r="E102" s="94">
        <f t="array" ref="E102">XLOOKUP(C102,datos_delegados[clave_foranea:],datos_delegados[En Actividad]," ",0,1)</f>
        <v>1</v>
      </c>
      <c r="F102" s="94" t="str">
        <f t="array" ref="F102">CONCATENATE(XLOOKUP(C102,datos_personales[id:],datos_personales[Apellido:],"no dato",0,1),", ",XLOOKUP(C102,datos_personales[id:],datos_personales[Nombre],"no dato",0,1))</f>
        <v>pereyra,  lucas daniel</v>
      </c>
      <c r="G102" s="94">
        <f t="array" ref="G102">XLOOKUP(C102,datos_laborales[clave_foranea],datos_laborales[N° De Legajo],"no dato",0,1)</f>
        <v>1862</v>
      </c>
      <c r="H102" s="95">
        <f t="array" ref="H102">XLOOKUP(C102,datos_laborales[clave_foranea], datos_laborales[Inicio Actividad:],"no dato",0,1)</f>
        <v>44256</v>
      </c>
      <c r="I102" s="94">
        <f t="array" ref="I102">XLOOKUP(C102,datos_laborales[clave_foranea],datos_laborales[Años en Actividad:],"no dato",0,1)</f>
        <v>4</v>
      </c>
      <c r="J102" s="94">
        <f t="array" ref="J102">XLOOKUP(C102,datos_personales[id:],datos_personales[D.n.i:],"no dato",0,1)</f>
        <v>37099313</v>
      </c>
      <c r="K102" s="95">
        <f t="array" ref="K102">XLOOKUP(C102,datos_personales[id:],datos_personales[Fecha Nacimiento:],"no dato",0,1)</f>
        <v>33958</v>
      </c>
      <c r="L102" s="94">
        <f>COUNTIF(hijos!B:B,C102)</f>
        <v>1</v>
      </c>
      <c r="M102" s="96">
        <f>COUNTIFS(hijos!B:B,C102,hijos!I:I,1)</f>
        <v>0</v>
      </c>
      <c r="N102" s="97">
        <f>COUNTIFS(hijos!B:B,C102,hijos!J:J,1)</f>
        <v>1</v>
      </c>
      <c r="O102" s="97">
        <f>COUNTIFS(hijos!B:B,C102,hijos!K:K,1)</f>
        <v>0</v>
      </c>
      <c r="P102" s="97">
        <f>COUNTIFS(hijos!B:B,C102,hijos!L:L,1)</f>
        <v>0</v>
      </c>
      <c r="Q102" s="97">
        <f t="shared" si="1"/>
        <v>1</v>
      </c>
      <c r="R102" s="98">
        <f t="array" ref="R102">XLOOKUP(C102,datos_personales[id:],datos_personales[Tel. Contacto:],"no dato",0,1)</f>
        <v>1130148179</v>
      </c>
      <c r="S102" s="94" t="str">
        <f t="array" ref="S102">XLOOKUP(C102,datos_personales[id:],datos_personales[E-Mail:],"no dato",0,1)</f>
        <v>lukzdaniel@gmail.com</v>
      </c>
      <c r="T102" s="94" t="str">
        <f t="array" ref="T102">XLOOKUP(R102,telefonos_afiliados[numeros_loys],telefonos_afiliados[esta],"no esta",0,1)</f>
        <v>no esta</v>
      </c>
      <c r="U102" s="94" t="str">
        <f t="array" ref="U102">XLOOKUP(C102,datos_laborales[id:],datos_laborales[renuncio],"no dato",0,1)</f>
        <v>no dato</v>
      </c>
      <c r="V102" s="99" t="str">
        <f t="array" ref="V102">XLOOKUP(C102,datos_laborales[clave_foranea],datos_laborales[tiene_ficha_pdf],"no tiene ficha pdf",0,1)</f>
        <v>no tiene en pdf</v>
      </c>
      <c r="W102" s="78"/>
    </row>
    <row r="103" ht="15.75" hidden="1" customHeight="1">
      <c r="A103" s="79"/>
      <c r="B103" s="80"/>
      <c r="C103" s="88">
        <f>datos_personales[id:]</f>
        <v>44963800</v>
      </c>
      <c r="D103" s="88" t="str">
        <f t="array" ref="D103">XLOOKUP(C103,datos_laborales[clave_foranea],datos_laborales[Relacion de Dependencia],"dato no encontrado",0,1)</f>
        <v>Monotributista</v>
      </c>
      <c r="E103" s="80" t="str">
        <f t="array" ref="E103">XLOOKUP(C103,datos_delegados[clave_foranea:],datos_delegados[En Actividad]," ",0,1)</f>
        <v> </v>
      </c>
      <c r="F103" s="88" t="str">
        <f t="array" ref="F103">CONCATENATE(XLOOKUP(C103,datos_personales[id:],datos_personales[Apellido:],"no dato",0,1),", ",XLOOKUP(C103,datos_personales[id:],datos_personales[Nombre],"no dato",0,1))</f>
        <v>pineda,  gina magali florencia</v>
      </c>
      <c r="G103" s="88">
        <f t="array" ref="G103">XLOOKUP(C103,datos_laborales[clave_foranea],datos_laborales[N° De Legajo],"no dato",0,1)</f>
        <v>2680</v>
      </c>
      <c r="H103" s="106" t="str">
        <f t="array" ref="H103">XLOOKUP(C103,datos_laborales[clave_foranea], datos_laborales[Inicio Actividad:],"no dato",0,1)</f>
        <v/>
      </c>
      <c r="I103" s="88">
        <f t="array" ref="I103">XLOOKUP(C103,datos_laborales[clave_foranea],datos_laborales[Años en Actividad:],"no dato",0,1)</f>
        <v>126</v>
      </c>
      <c r="J103" s="88">
        <f t="array" ref="J103">XLOOKUP(C103,datos_personales[id:],datos_personales[D.n.i:],"no dato",0,1)</f>
        <v>44963800</v>
      </c>
      <c r="K103" s="89">
        <f t="array" ref="K103">XLOOKUP(C103,datos_personales[id:],datos_personales[Fecha Nacimiento:],"no dato",0,1)</f>
        <v>37672</v>
      </c>
      <c r="L103" s="88">
        <f>COUNTIF(hijos!B:B,C103)</f>
        <v>1</v>
      </c>
      <c r="M103" s="90">
        <f>COUNTIFS(hijos!B:B,C103,hijos!I:I,1)</f>
        <v>1</v>
      </c>
      <c r="N103" s="91">
        <f>COUNTIFS(hijos!B:B,C103,hijos!J:J,1)</f>
        <v>0</v>
      </c>
      <c r="O103" s="91">
        <f>COUNTIFS(hijos!B:B,C103,hijos!K:K,1)</f>
        <v>0</v>
      </c>
      <c r="P103" s="91">
        <f>COUNTIFS(hijos!B:B,C103,hijos!L:L,1)</f>
        <v>0</v>
      </c>
      <c r="Q103" s="91">
        <f t="shared" si="1"/>
        <v>1</v>
      </c>
      <c r="R103" s="88">
        <f t="array" ref="R103">XLOOKUP(C103,datos_personales[id:],datos_personales[Tel. Contacto:],"no dato",0,1)</f>
        <v>1163746095</v>
      </c>
      <c r="S103" s="88" t="str">
        <f t="array" ref="S103">XLOOKUP(C103,datos_personales[id:],datos_personales[E-Mail:],"no dato",0,1)</f>
        <v>giinapinedaa@gmail.com</v>
      </c>
      <c r="T103" s="88" t="str">
        <f t="array" ref="T103">XLOOKUP(R103,telefonos_afiliados[numeros_loys],telefonos_afiliados[esta],"no esta",0,1)</f>
        <v>1</v>
      </c>
      <c r="U103" s="88" t="str">
        <f t="array" ref="U103">XLOOKUP(C103,datos_laborales[id:],datos_laborales[renuncio],"no dato",0,1)</f>
        <v>no dato</v>
      </c>
      <c r="V103" s="104"/>
      <c r="W103" s="78"/>
    </row>
    <row r="104" ht="15.75" customHeight="1">
      <c r="A104" s="79"/>
      <c r="B104" s="80"/>
      <c r="C104" s="81">
        <f>datos_personales[id:]</f>
        <v>19063150</v>
      </c>
      <c r="D104" s="81" t="str">
        <f t="array" ref="D104">XLOOKUP(C104,datos_laborales[clave_foranea],datos_laborales[Relacion de Dependencia],"dato no encontrado",0,1)</f>
        <v>Monotributista</v>
      </c>
      <c r="E104" s="80" t="str">
        <f t="array" ref="E104">XLOOKUP(C104,datos_delegados[clave_foranea:],datos_delegados[En Actividad]," ",0,1)</f>
        <v> </v>
      </c>
      <c r="F104" s="81" t="str">
        <f t="array" ref="F104">CONCATENATE(XLOOKUP(C104,datos_personales[id:],datos_personales[Apellido:],"no dato",0,1),", ",XLOOKUP(C104,datos_personales[id:],datos_personales[Nombre],"no dato",0,1))</f>
        <v>pineda mongelos,  sindy kathiana</v>
      </c>
      <c r="G104" s="81">
        <f t="array" ref="G104">XLOOKUP(C104,datos_laborales[clave_foranea],datos_laborales[N° De Legajo],"no dato",0,1)</f>
        <v>996</v>
      </c>
      <c r="H104" s="82">
        <f t="array" ref="H104">XLOOKUP(C104,datos_laborales[clave_foranea], datos_laborales[Inicio Actividad:],"no dato",0,1)</f>
        <v>42948</v>
      </c>
      <c r="I104" s="81">
        <f t="array" ref="I104">XLOOKUP(C104,datos_laborales[clave_foranea],datos_laborales[Años en Actividad:],"no dato",0,1)</f>
        <v>8</v>
      </c>
      <c r="J104" s="81">
        <f t="array" ref="J104">XLOOKUP(C104,datos_personales[id:],datos_personales[D.n.i:],"no dato",0,1)</f>
        <v>19063150</v>
      </c>
      <c r="K104" s="82">
        <f t="array" ref="K104">XLOOKUP(C104,datos_personales[id:],datos_personales[Fecha Nacimiento:],"no dato",0,1)</f>
        <v>32347</v>
      </c>
      <c r="L104" s="81">
        <f>COUNTIF(hijos!B:B,C104)</f>
        <v>2</v>
      </c>
      <c r="M104" s="83">
        <f>COUNTIFS(hijos!B:B,C104,hijos!I:I,1)</f>
        <v>0</v>
      </c>
      <c r="N104" s="84">
        <f>COUNTIFS(hijos!B:B,C104,hijos!J:J,1)</f>
        <v>0</v>
      </c>
      <c r="O104" s="84">
        <f>COUNTIFS(hijos!B:B,C104,hijos!K:K,1)</f>
        <v>0</v>
      </c>
      <c r="P104" s="84">
        <f>COUNTIFS(hijos!B:B,C104,hijos!L:L,1)</f>
        <v>2</v>
      </c>
      <c r="Q104" s="84">
        <f t="shared" si="1"/>
        <v>2</v>
      </c>
      <c r="R104" s="85">
        <f t="array" ref="R104">XLOOKUP(C104,datos_personales[id:],datos_personales[Tel. Contacto:],"no dato",0,1)</f>
        <v>1138863933</v>
      </c>
      <c r="S104" s="81" t="str">
        <f t="array" ref="S104">XLOOKUP(C104,datos_personales[id:],datos_personales[E-Mail:],"no dato",0,1)</f>
        <v>sindykacheroff@gmail.com</v>
      </c>
      <c r="T104" s="81" t="str">
        <f t="array" ref="T104">XLOOKUP(R104,telefonos_afiliados[numeros_loys],telefonos_afiliados[esta],"no esta",0,1)</f>
        <v>1</v>
      </c>
      <c r="U104" s="81" t="str">
        <f t="array" ref="U104">XLOOKUP(C104,datos_laborales[id:],datos_laborales[renuncio],"no dato",0,1)</f>
        <v>no dato</v>
      </c>
      <c r="V104" s="87" t="str">
        <f t="array" ref="V104">XLOOKUP(C104,datos_laborales[clave_foranea],datos_laborales[tiene_ficha_pdf],"no tiene ficha pdf",0,1)</f>
        <v>no tiene en pdf</v>
      </c>
      <c r="W104" s="78"/>
    </row>
    <row r="105" ht="15.75" hidden="1" customHeight="1">
      <c r="A105" s="79"/>
      <c r="B105" s="80"/>
      <c r="C105" s="88">
        <f>datos_personales[id:]</f>
        <v>38838668</v>
      </c>
      <c r="D105" s="88" t="str">
        <f t="array" ref="D105">XLOOKUP(C105,datos_laborales[clave_foranea],datos_laborales[Relacion de Dependencia],"dato no encontrado",0,1)</f>
        <v>Monotributista</v>
      </c>
      <c r="E105" s="80" t="str">
        <f t="array" ref="E105">XLOOKUP(C105,datos_delegados[clave_foranea:],datos_delegados[En Actividad]," ",0,1)</f>
        <v> </v>
      </c>
      <c r="F105" s="88" t="str">
        <f t="array" ref="F105">CONCATENATE(XLOOKUP(C105,datos_personales[id:],datos_personales[Apellido:],"no dato",0,1),", ",XLOOKUP(C105,datos_personales[id:],datos_personales[Nombre],"no dato",0,1))</f>
        <v>proz,  magali nahir</v>
      </c>
      <c r="G105" s="88">
        <f t="array" ref="G105">XLOOKUP(C105,datos_laborales[clave_foranea],datos_laborales[N° De Legajo],"no dato",0,1)</f>
        <v>1970</v>
      </c>
      <c r="H105" s="89">
        <f t="array" ref="H105">XLOOKUP(C105,datos_laborales[clave_foranea], datos_laborales[Inicio Actividad:],"no dato",0,1)</f>
        <v>44774</v>
      </c>
      <c r="I105" s="88">
        <f t="array" ref="I105">XLOOKUP(C105,datos_laborales[clave_foranea],datos_laborales[Años en Actividad:],"no dato",0,1)</f>
        <v>3</v>
      </c>
      <c r="J105" s="88">
        <f t="array" ref="J105">XLOOKUP(C105,datos_personales[id:],datos_personales[D.n.i:],"no dato",0,1)</f>
        <v>38838668</v>
      </c>
      <c r="K105" s="106" t="str">
        <f t="array" ref="K105">XLOOKUP(C105,datos_personales[id:],datos_personales[Fecha Nacimiento:],"no dato",0,1)</f>
        <v/>
      </c>
      <c r="L105" s="88">
        <f>COUNTIF(hijos!B:B,C105)</f>
        <v>1</v>
      </c>
      <c r="M105" s="90">
        <f>COUNTIFS(hijos!B:B,C105,hijos!I:I,1)</f>
        <v>0</v>
      </c>
      <c r="N105" s="91">
        <f>COUNTIFS(hijos!B:B,C105,hijos!J:J,1)</f>
        <v>0</v>
      </c>
      <c r="O105" s="91">
        <f>COUNTIFS(hijos!B:B,C105,hijos!K:K,1)</f>
        <v>1</v>
      </c>
      <c r="P105" s="91">
        <f>COUNTIFS(hijos!B:B,C105,hijos!L:L,1)</f>
        <v>0</v>
      </c>
      <c r="Q105" s="91">
        <f t="shared" si="1"/>
        <v>1</v>
      </c>
      <c r="R105" s="88">
        <f t="array" ref="R105">XLOOKUP(C105,datos_personales[id:],datos_personales[Tel. Contacto:],"no dato",0,1)</f>
        <v>1136269477</v>
      </c>
      <c r="S105" s="88" t="str">
        <f t="array" ref="S105">XLOOKUP(C105,datos_personales[id:],datos_personales[E-Mail:],"no dato",0,1)</f>
        <v>magalinahirproz@gmail.com</v>
      </c>
      <c r="T105" s="88" t="str">
        <f t="array" ref="T105">XLOOKUP(R105,telefonos_afiliados[numeros_loys],telefonos_afiliados[esta],"no esta",0,1)</f>
        <v>1</v>
      </c>
      <c r="U105" s="88" t="str">
        <f t="array" ref="U105">XLOOKUP(C105,datos_laborales[id:],datos_laborales[renuncio],"no dato",0,1)</f>
        <v>no dato</v>
      </c>
      <c r="V105" s="104"/>
      <c r="W105" s="78"/>
    </row>
    <row r="106" ht="15.75" hidden="1" customHeight="1">
      <c r="A106" s="79"/>
      <c r="B106" s="80"/>
      <c r="C106" s="81">
        <f>datos_personales[id:]</f>
        <v>31624543</v>
      </c>
      <c r="D106" s="81" t="str">
        <f t="array" ref="D106">XLOOKUP(C106,datos_laborales[clave_foranea],datos_laborales[Relacion de Dependencia],"dato no encontrado",0,1)</f>
        <v>Monotributista</v>
      </c>
      <c r="E106" s="80" t="str">
        <f t="array" ref="E106">XLOOKUP(C106,datos_delegados[clave_foranea:],datos_delegados[En Actividad]," ",0,1)</f>
        <v> </v>
      </c>
      <c r="F106" s="81" t="str">
        <f t="array" ref="F106">CONCATENATE(XLOOKUP(C106,datos_personales[id:],datos_personales[Apellido:],"no dato",0,1),", ",XLOOKUP(C106,datos_personales[id:],datos_personales[Nombre],"no dato",0,1))</f>
        <v>quintero,  cinthia alejandra </v>
      </c>
      <c r="G106" s="81">
        <f t="array" ref="G106">XLOOKUP(C106,datos_laborales[clave_foranea],datos_laborales[N° De Legajo],"no dato",0,1)</f>
        <v>1365</v>
      </c>
      <c r="H106" s="82">
        <f t="array" ref="H106">XLOOKUP(C106,datos_laborales[clave_foranea], datos_laborales[Inicio Actividad:],"no dato",0,1)</f>
        <v>43100</v>
      </c>
      <c r="I106" s="81">
        <f t="array" ref="I106">XLOOKUP(C106,datos_laborales[clave_foranea],datos_laborales[Años en Actividad:],"no dato",0,1)</f>
        <v>8</v>
      </c>
      <c r="J106" s="81">
        <f t="array" ref="J106">XLOOKUP(C106,datos_personales[id:],datos_personales[D.n.i:],"no dato",0,1)</f>
        <v>31624543</v>
      </c>
      <c r="K106" s="82">
        <f t="array" ref="K106">XLOOKUP(C106,datos_personales[id:],datos_personales[Fecha Nacimiento:],"no dato",0,1)</f>
        <v>31158</v>
      </c>
      <c r="L106" s="81">
        <f>COUNTIF(hijos!B:B,C106)</f>
        <v>0</v>
      </c>
      <c r="M106" s="83">
        <f>COUNTIFS(hijos!B:B,C106,hijos!I:I,1)</f>
        <v>0</v>
      </c>
      <c r="N106" s="84">
        <f>COUNTIFS(hijos!B:B,C106,hijos!J:J,1)</f>
        <v>0</v>
      </c>
      <c r="O106" s="84">
        <f>COUNTIFS(hijos!B:B,C106,hijos!K:K,1)</f>
        <v>0</v>
      </c>
      <c r="P106" s="84">
        <f>COUNTIFS(hijos!B:B,C106,hijos!L:L,1)</f>
        <v>0</v>
      </c>
      <c r="Q106" s="84">
        <f t="shared" si="1"/>
        <v>0</v>
      </c>
      <c r="R106" s="81">
        <f t="array" ref="R106">XLOOKUP(C106,datos_personales[id:],datos_personales[Tel. Contacto:],"no dato",0,1)</f>
        <v>1161566965</v>
      </c>
      <c r="S106" s="81" t="str">
        <f t="array" ref="S106">XLOOKUP(C106,datos_personales[id:],datos_personales[E-Mail:],"no dato",0,1)</f>
        <v>cinthiaquintero20@hotmail.com</v>
      </c>
      <c r="T106" s="81" t="str">
        <f t="array" ref="T106">XLOOKUP(R106,telefonos_afiliados[numeros_loys],telefonos_afiliados[esta],"no esta",0,1)</f>
        <v>1</v>
      </c>
      <c r="U106" s="81" t="str">
        <f t="array" ref="U106">XLOOKUP(C106,datos_laborales[id:],datos_laborales[renuncio],"no dato",0,1)</f>
        <v>no dato</v>
      </c>
      <c r="V106" s="104"/>
      <c r="W106" s="78"/>
    </row>
    <row r="107" ht="15.75" hidden="1" customHeight="1">
      <c r="A107" s="79"/>
      <c r="B107" s="80"/>
      <c r="C107" s="88">
        <f>datos_personales[id:]</f>
        <v>29400848</v>
      </c>
      <c r="D107" s="88" t="str">
        <f t="array" ref="D107">XLOOKUP(C107,datos_laborales[clave_foranea],datos_laborales[Relacion de Dependencia],"dato no encontrado",0,1)</f>
        <v>Monotributista</v>
      </c>
      <c r="E107" s="80" t="str">
        <f t="array" ref="E107">XLOOKUP(C107,datos_delegados[clave_foranea:],datos_delegados[En Actividad]," ",0,1)</f>
        <v> </v>
      </c>
      <c r="F107" s="88" t="str">
        <f t="array" ref="F107">CONCATENATE(XLOOKUP(C107,datos_personales[id:],datos_personales[Apellido:],"no dato",0,1),", ",XLOOKUP(C107,datos_personales[id:],datos_personales[Nombre],"no dato",0,1))</f>
        <v>quintero,  natalia paola</v>
      </c>
      <c r="G107" s="88">
        <f t="array" ref="G107">XLOOKUP(C107,datos_laborales[clave_foranea],datos_laborales[N° De Legajo],"no dato",0,1)</f>
        <v>2340</v>
      </c>
      <c r="H107" s="106" t="str">
        <f t="array" ref="H107">XLOOKUP(C107,datos_laborales[clave_foranea], datos_laborales[Inicio Actividad:],"no dato",0,1)</f>
        <v/>
      </c>
      <c r="I107" s="88">
        <f t="array" ref="I107">XLOOKUP(C107,datos_laborales[clave_foranea],datos_laborales[Años en Actividad:],"no dato",0,1)</f>
        <v>126</v>
      </c>
      <c r="J107" s="88">
        <f t="array" ref="J107">XLOOKUP(C107,datos_personales[id:],datos_personales[D.n.i:],"no dato",0,1)</f>
        <v>29400848</v>
      </c>
      <c r="K107" s="89">
        <f t="array" ref="K107">XLOOKUP(C107,datos_personales[id:],datos_personales[Fecha Nacimiento:],"no dato",0,1)</f>
        <v>30035</v>
      </c>
      <c r="L107" s="88">
        <f>COUNTIF(hijos!B:B,C107)</f>
        <v>1</v>
      </c>
      <c r="M107" s="90">
        <f>COUNTIFS(hijos!B:B,C107,hijos!I:I,1)</f>
        <v>0</v>
      </c>
      <c r="N107" s="91">
        <f>COUNTIFS(hijos!B:B,C107,hijos!J:J,1)</f>
        <v>1</v>
      </c>
      <c r="O107" s="91">
        <f>COUNTIFS(hijos!B:B,C107,hijos!K:K,1)</f>
        <v>0</v>
      </c>
      <c r="P107" s="91">
        <f>COUNTIFS(hijos!B:B,C107,hijos!L:L,1)</f>
        <v>0</v>
      </c>
      <c r="Q107" s="91">
        <f t="shared" si="1"/>
        <v>1</v>
      </c>
      <c r="R107" s="103">
        <f t="array" ref="R107">XLOOKUP(C107,datos_personales[id:],datos_personales[Tel. Contacto:],"no dato",0,1)</f>
        <v>1161636711</v>
      </c>
      <c r="S107" s="88" t="str">
        <f t="array" ref="S107">XLOOKUP(C107,datos_personales[id:],datos_personales[E-Mail:],"no dato",0,1)</f>
        <v>natty_82@hotmail.com.ar</v>
      </c>
      <c r="T107" s="88" t="str">
        <f t="array" ref="T107">XLOOKUP(R107,telefonos_afiliados[numeros_loys],telefonos_afiliados[esta],"no esta",0,1)</f>
        <v>1</v>
      </c>
      <c r="U107" s="88" t="str">
        <f t="array" ref="U107">XLOOKUP(C107,datos_laborales[id:],datos_laborales[renuncio],"no dato",0,1)</f>
        <v>no dato</v>
      </c>
      <c r="V107" s="93">
        <f t="array" ref="V107">XLOOKUP(C107,datos_laborales[clave_foranea],datos_laborales[tiene_ficha_pdf],"no tiene ficha pdf",0,1)</f>
        <v>1</v>
      </c>
      <c r="W107" s="78"/>
    </row>
    <row r="108" ht="15.75" customHeight="1">
      <c r="A108" s="79"/>
      <c r="B108" s="80"/>
      <c r="C108" s="81">
        <f>datos_personales[id:]</f>
        <v>31575604</v>
      </c>
      <c r="D108" s="81" t="str">
        <f t="array" ref="D108">XLOOKUP(C108,datos_laborales[clave_foranea],datos_laborales[Relacion de Dependencia],"dato no encontrado",0,1)</f>
        <v>Monotributista</v>
      </c>
      <c r="E108" s="80" t="str">
        <f t="array" ref="E108">XLOOKUP(C108,datos_delegados[clave_foranea:],datos_delegados[En Actividad]," ",0,1)</f>
        <v> </v>
      </c>
      <c r="F108" s="81" t="str">
        <f t="array" ref="F108">CONCATENATE(XLOOKUP(C108,datos_personales[id:],datos_personales[Apellido:],"no dato",0,1),", ",XLOOKUP(C108,datos_personales[id:],datos_personales[Nombre],"no dato",0,1))</f>
        <v>quiroga,  claudio javier </v>
      </c>
      <c r="G108" s="81">
        <f t="array" ref="G108">XLOOKUP(C108,datos_laborales[clave_foranea],datos_laborales[N° De Legajo],"no dato",0,1)</f>
        <v>1004</v>
      </c>
      <c r="H108" s="82">
        <f t="array" ref="H108">XLOOKUP(C108,datos_laborales[clave_foranea], datos_laborales[Inicio Actividad:],"no dato",0,1)</f>
        <v>43009</v>
      </c>
      <c r="I108" s="81">
        <f t="array" ref="I108">XLOOKUP(C108,datos_laborales[clave_foranea],datos_laborales[Años en Actividad:],"no dato",0,1)</f>
        <v>8</v>
      </c>
      <c r="J108" s="81">
        <f t="array" ref="J108">XLOOKUP(C108,datos_personales[id:],datos_personales[D.n.i:],"no dato",0,1)</f>
        <v>31575604</v>
      </c>
      <c r="K108" s="82">
        <f t="array" ref="K108">XLOOKUP(C108,datos_personales[id:],datos_personales[Fecha Nacimiento:],"no dato",0,1)</f>
        <v>31055</v>
      </c>
      <c r="L108" s="81">
        <f>COUNTIF(hijos!B:B,C108)</f>
        <v>1</v>
      </c>
      <c r="M108" s="83">
        <f>COUNTIFS(hijos!B:B,C108,hijos!I:I,1)</f>
        <v>0</v>
      </c>
      <c r="N108" s="84">
        <f>COUNTIFS(hijos!B:B,C108,hijos!J:J,1)</f>
        <v>0</v>
      </c>
      <c r="O108" s="84">
        <f>COUNTIFS(hijos!B:B,C108,hijos!K:K,1)</f>
        <v>0</v>
      </c>
      <c r="P108" s="84">
        <f>COUNTIFS(hijos!B:B,C108,hijos!L:L,1)</f>
        <v>1</v>
      </c>
      <c r="Q108" s="84">
        <f t="shared" si="1"/>
        <v>1</v>
      </c>
      <c r="R108" s="85">
        <f t="array" ref="R108">XLOOKUP(C108,datos_personales[id:],datos_personales[Tel. Contacto:],"no dato",0,1)</f>
        <v>1123957070</v>
      </c>
      <c r="S108" s="81" t="str">
        <f t="array" ref="S108">XLOOKUP(C108,datos_personales[id:],datos_personales[E-Mail:],"no dato",0,1)</f>
        <v>javi_pef@hotmail.com</v>
      </c>
      <c r="T108" s="81" t="str">
        <f t="array" ref="T108">XLOOKUP(R108,telefonos_afiliados[numeros_loys],telefonos_afiliados[esta],"no esta",0,1)</f>
        <v>1</v>
      </c>
      <c r="U108" s="81" t="str">
        <f t="array" ref="U108">XLOOKUP(C108,datos_personales[id:],datos_laborales[renuncio],"no dato",0,1)</f>
        <v>#N/A</v>
      </c>
      <c r="V108" s="87">
        <f t="array" ref="V108">XLOOKUP(C108,datos_laborales[clave_foranea],datos_laborales[tiene_ficha_pdf],"no tiene ficha pdf",0,1)</f>
        <v>1</v>
      </c>
      <c r="W108" s="78"/>
    </row>
    <row r="109" ht="15.75" customHeight="1">
      <c r="A109" s="79"/>
      <c r="B109" s="80"/>
      <c r="C109" s="88">
        <f>datos_personales[id:]</f>
        <v>95040589</v>
      </c>
      <c r="D109" s="88" t="str">
        <f t="array" ref="D109">XLOOKUP(C109,datos_laborales[clave_foranea],datos_laborales[Relacion de Dependencia],"dato no encontrado",0,1)</f>
        <v>Monotributista</v>
      </c>
      <c r="E109" s="80" t="str">
        <f t="array" ref="E109">XLOOKUP(C109,datos_delegados[clave_foranea:],datos_delegados[En Actividad]," ",0,1)</f>
        <v> </v>
      </c>
      <c r="F109" s="88" t="str">
        <f t="array" ref="F109">CONCATENATE(XLOOKUP(C109,datos_personales[id:],datos_personales[Apellido:],"no dato",0,1),", ",XLOOKUP(C109,datos_personales[id:],datos_personales[Nombre],"no dato",0,1))</f>
        <v>quispe coronado,  josé luis</v>
      </c>
      <c r="G109" s="88">
        <f t="array" ref="G109">XLOOKUP(C109,datos_laborales[clave_foranea],datos_laborales[N° De Legajo],"no dato",0,1)</f>
        <v>180</v>
      </c>
      <c r="H109" s="89">
        <f t="array" ref="H109">XLOOKUP(C109,datos_laborales[clave_foranea], datos_laborales[Inicio Actividad:],"no dato",0,1)</f>
        <v>42615</v>
      </c>
      <c r="I109" s="88">
        <f t="array" ref="I109">XLOOKUP(C109,datos_laborales[clave_foranea],datos_laborales[Años en Actividad:],"no dato",0,1)</f>
        <v>9</v>
      </c>
      <c r="J109" s="88">
        <f t="array" ref="J109">XLOOKUP(C109,datos_personales[id:],datos_personales[D.n.i:],"no dato",0,1)</f>
        <v>95040589</v>
      </c>
      <c r="K109" s="89">
        <f t="array" ref="K109">XLOOKUP(C109,datos_personales[id:],datos_personales[Fecha Nacimiento:],"no dato",0,1)</f>
        <v>28450</v>
      </c>
      <c r="L109" s="88">
        <f>COUNTIF(hijos!B:B,C109)</f>
        <v>1</v>
      </c>
      <c r="M109" s="90">
        <f>COUNTIFS(hijos!B:B,C109,hijos!I:I,1)</f>
        <v>0</v>
      </c>
      <c r="N109" s="91">
        <f>COUNTIFS(hijos!B:B,C109,hijos!J:J,1)</f>
        <v>0</v>
      </c>
      <c r="O109" s="91">
        <f>COUNTIFS(hijos!B:B,C109,hijos!K:K,1)</f>
        <v>1</v>
      </c>
      <c r="P109" s="91">
        <f>COUNTIFS(hijos!B:B,C109,hijos!L:L,1)</f>
        <v>0</v>
      </c>
      <c r="Q109" s="91">
        <f t="shared" si="1"/>
        <v>1</v>
      </c>
      <c r="R109" s="88">
        <f t="array" ref="R109">XLOOKUP(C109,datos_personales[id:],datos_personales[Tel. Contacto:],"no dato",0,1)</f>
        <v>1160531098</v>
      </c>
      <c r="S109" s="88" t="str">
        <f t="array" ref="S109">XLOOKUP(C109,datos_personales[id:],datos_personales[E-Mail:],"no dato",0,1)</f>
        <v>Joseluisquispecoronado39@gmail.com </v>
      </c>
      <c r="T109" s="88" t="str">
        <f t="array" ref="T109">XLOOKUP(R109,telefonos_afiliados[numeros_loys],telefonos_afiliados[esta],"no esta",0,1)</f>
        <v>1</v>
      </c>
      <c r="U109" s="88" t="str">
        <f t="array" ref="U109">XLOOKUP(C109,datos_laborales[id:],datos_laborales[renuncio],"no dato",0,1)</f>
        <v>no dato</v>
      </c>
      <c r="V109" s="104"/>
      <c r="W109" s="78"/>
    </row>
    <row r="110" ht="15.75" hidden="1" customHeight="1">
      <c r="A110" s="79"/>
      <c r="B110" s="80"/>
      <c r="C110" s="81">
        <f>datos_personales[id:]</f>
        <v>43624266</v>
      </c>
      <c r="D110" s="81" t="str">
        <f t="array" ref="D110">XLOOKUP(C110,datos_laborales[clave_foranea],datos_laborales[Relacion de Dependencia],"dato no encontrado",0,1)</f>
        <v>Monotributista</v>
      </c>
      <c r="E110" s="80" t="str">
        <f t="array" ref="E110">XLOOKUP(C110,datos_delegados[clave_foranea:],datos_delegados[En Actividad]," ",0,1)</f>
        <v> </v>
      </c>
      <c r="F110" s="81" t="str">
        <f t="array" ref="F110">CONCATENATE(XLOOKUP(C110,datos_personales[id:],datos_personales[Apellido:],"no dato",0,1),", ",XLOOKUP(C110,datos_personales[id:],datos_personales[Nombre],"no dato",0,1))</f>
        <v>quiñones,  camila</v>
      </c>
      <c r="G110" s="81">
        <f t="array" ref="G110">XLOOKUP(C110,datos_laborales[clave_foranea],datos_laborales[N° De Legajo],"no dato",0,1)</f>
        <v>3033</v>
      </c>
      <c r="H110" s="106" t="str">
        <f t="array" ref="H110">XLOOKUP(C110,datos_laborales[clave_foranea], datos_laborales[Inicio Actividad:],"no dato",0,1)</f>
        <v/>
      </c>
      <c r="I110" s="81">
        <f t="array" ref="I110">XLOOKUP(C110,datos_laborales[clave_foranea],datos_laborales[Años en Actividad:],"no dato",0,1)</f>
        <v>126</v>
      </c>
      <c r="J110" s="81">
        <f t="array" ref="J110">XLOOKUP(C110,datos_personales[id:],datos_personales[D.n.i:],"no dato",0,1)</f>
        <v>43624266</v>
      </c>
      <c r="K110" s="82">
        <f t="array" ref="K110">XLOOKUP(C110,datos_personales[id:],datos_personales[Fecha Nacimiento:],"no dato",0,1)</f>
        <v>37252</v>
      </c>
      <c r="L110" s="81">
        <f>COUNTIF(hijos!B:B,C110)</f>
        <v>0</v>
      </c>
      <c r="M110" s="83">
        <f>COUNTIFS(hijos!B:B,C110,hijos!I:I,1)</f>
        <v>0</v>
      </c>
      <c r="N110" s="84">
        <f>COUNTIFS(hijos!B:B,C110,hijos!J:J,1)</f>
        <v>0</v>
      </c>
      <c r="O110" s="84">
        <f>COUNTIFS(hijos!B:B,C110,hijos!K:K,1)</f>
        <v>0</v>
      </c>
      <c r="P110" s="84">
        <f>COUNTIFS(hijos!B:B,C110,hijos!L:L,1)</f>
        <v>0</v>
      </c>
      <c r="Q110" s="84">
        <f t="shared" si="1"/>
        <v>0</v>
      </c>
      <c r="R110" s="81">
        <f t="array" ref="R110">XLOOKUP(C110,datos_personales[id:],datos_personales[Tel. Contacto:],"no dato",0,1)</f>
        <v>1127487823</v>
      </c>
      <c r="S110" s="81" t="str">
        <f t="array" ref="S110">XLOOKUP(C110,datos_personales[id:],datos_personales[E-Mail:],"no dato",0,1)</f>
        <v>camilarebeca927@gmail.com</v>
      </c>
      <c r="T110" s="81" t="str">
        <f t="array" ref="T110">XLOOKUP(R110,telefonos_afiliados[numeros_loys],telefonos_afiliados[esta],"no esta",0,1)</f>
        <v>1</v>
      </c>
      <c r="U110" s="81" t="str">
        <f t="array" ref="U110">XLOOKUP(C110,datos_laborales[id:],datos_laborales[renuncio],"no dato",0,1)</f>
        <v>no dato</v>
      </c>
      <c r="V110" s="104"/>
      <c r="W110" s="78"/>
    </row>
    <row r="111" ht="15.75" hidden="1" customHeight="1">
      <c r="A111" s="79"/>
      <c r="B111" s="80"/>
      <c r="C111" s="88">
        <f>datos_personales[id:]</f>
        <v>43318554</v>
      </c>
      <c r="D111" s="88" t="str">
        <f t="array" ref="D111">XLOOKUP(C111,datos_laborales[clave_foranea],datos_laborales[Relacion de Dependencia],"dato no encontrado",0,1)</f>
        <v>Monotributista</v>
      </c>
      <c r="E111" s="80" t="str">
        <f t="array" ref="E111">XLOOKUP(C111,datos_delegados[clave_foranea:],datos_delegados[En Actividad]," ",0,1)</f>
        <v> </v>
      </c>
      <c r="F111" s="88" t="str">
        <f t="array" ref="F111">CONCATENATE(XLOOKUP(C111,datos_personales[id:],datos_personales[Apellido:],"no dato",0,1),", ",XLOOKUP(C111,datos_personales[id:],datos_personales[Nombre],"no dato",0,1))</f>
        <v>rivera,  daniela alejandra</v>
      </c>
      <c r="G111" s="88">
        <f t="array" ref="G111">XLOOKUP(C111,datos_laborales[clave_foranea],datos_laborales[N° De Legajo],"no dato",0,1)</f>
        <v>2351</v>
      </c>
      <c r="H111" s="89">
        <f t="array" ref="H111">XLOOKUP(C111,datos_laborales[clave_foranea], datos_laborales[Inicio Actividad:],"no dato",0,1)</f>
        <v>44927</v>
      </c>
      <c r="I111" s="88">
        <f t="array" ref="I111">XLOOKUP(C111,datos_laborales[clave_foranea],datos_laborales[Años en Actividad:],"no dato",0,1)</f>
        <v>2</v>
      </c>
      <c r="J111" s="88">
        <f t="array" ref="J111">XLOOKUP(C111,datos_personales[id:],datos_personales[D.n.i:],"no dato",0,1)</f>
        <v>43318554</v>
      </c>
      <c r="K111" s="89">
        <f t="array" ref="K111">XLOOKUP(C111,datos_personales[id:],datos_personales[Fecha Nacimiento:],"no dato",0,1)</f>
        <v>36973</v>
      </c>
      <c r="L111" s="88">
        <f>COUNTIF(hijos!B:B,C111)</f>
        <v>0</v>
      </c>
      <c r="M111" s="90">
        <f>COUNTIFS(hijos!B:B,C111,hijos!I:I,1)</f>
        <v>0</v>
      </c>
      <c r="N111" s="91">
        <f>COUNTIFS(hijos!B:B,C111,hijos!J:J,1)</f>
        <v>0</v>
      </c>
      <c r="O111" s="91">
        <f>COUNTIFS(hijos!B:B,C111,hijos!K:K,1)</f>
        <v>0</v>
      </c>
      <c r="P111" s="91">
        <f>COUNTIFS(hijos!B:B,C111,hijos!L:L,1)</f>
        <v>0</v>
      </c>
      <c r="Q111" s="91">
        <f t="shared" si="1"/>
        <v>0</v>
      </c>
      <c r="R111" s="103">
        <f t="array" ref="R111">XLOOKUP(C111,datos_personales[id:],datos_personales[Tel. Contacto:],"no dato",0,1)</f>
        <v>1170816674</v>
      </c>
      <c r="S111" s="88" t="str">
        <f t="array" ref="S111">XLOOKUP(C111,datos_personales[id:],datos_personales[E-Mail:],"no dato",0,1)</f>
        <v>riveradany28@gmail.com</v>
      </c>
      <c r="T111" s="88" t="str">
        <f t="array" ref="T111">XLOOKUP(R111,telefonos_afiliados[numeros_loys],telefonos_afiliados[esta],"no esta",0,1)</f>
        <v>no esta</v>
      </c>
      <c r="U111" s="88" t="str">
        <f t="array" ref="U111">XLOOKUP(C111,datos_laborales[id:],datos_laborales[renuncio],"no dato",0,1)</f>
        <v>no dato</v>
      </c>
      <c r="V111" s="104"/>
      <c r="W111" s="78"/>
    </row>
    <row r="112" ht="15.75" hidden="1" customHeight="1">
      <c r="A112" s="79"/>
      <c r="B112" s="80"/>
      <c r="C112" s="81">
        <f>datos_personales[id:]</f>
        <v>34436156</v>
      </c>
      <c r="D112" s="81" t="str">
        <f t="array" ref="D112">XLOOKUP(C112,datos_laborales[clave_foranea],datos_laborales[Relacion de Dependencia],"dato no encontrado",0,1)</f>
        <v>Monotributista</v>
      </c>
      <c r="E112" s="80" t="str">
        <f t="array" ref="E112">XLOOKUP(C112,datos_delegados[clave_foranea:],datos_delegados[En Actividad]," ",0,1)</f>
        <v> </v>
      </c>
      <c r="F112" s="81" t="str">
        <f t="array" ref="F112">CONCATENATE(XLOOKUP(C112,datos_personales[id:],datos_personales[Apellido:],"no dato",0,1),", ",XLOOKUP(C112,datos_personales[id:],datos_personales[Nombre],"no dato",0,1))</f>
        <v>rinaldi,  carla</v>
      </c>
      <c r="G112" s="81">
        <f t="array" ref="G112">XLOOKUP(C112,datos_laborales[clave_foranea],datos_laborales[N° De Legajo],"no dato",0,1)</f>
        <v>1917</v>
      </c>
      <c r="H112" s="106" t="str">
        <f t="array" ref="H112">XLOOKUP(C112,datos_laborales[clave_foranea], datos_laborales[Inicio Actividad:],"no dato",0,1)</f>
        <v/>
      </c>
      <c r="I112" s="81">
        <f t="array" ref="I112">XLOOKUP(C112,datos_laborales[clave_foranea],datos_laborales[Años en Actividad:],"no dato",0,1)</f>
        <v>126</v>
      </c>
      <c r="J112" s="81">
        <f t="array" ref="J112">XLOOKUP(C112,datos_personales[id:],datos_personales[D.n.i:],"no dato",0,1)</f>
        <v>34436156</v>
      </c>
      <c r="K112" s="82">
        <f t="array" ref="K112">XLOOKUP(C112,datos_personales[id:],datos_personales[Fecha Nacimiento:],"no dato",0,1)</f>
        <v>32556</v>
      </c>
      <c r="L112" s="81">
        <f>COUNTIF(hijos!B:B,C112)</f>
        <v>1</v>
      </c>
      <c r="M112" s="83">
        <f>COUNTIFS(hijos!B:B,C112,hijos!I:I,1)</f>
        <v>0</v>
      </c>
      <c r="N112" s="84">
        <f>COUNTIFS(hijos!B:B,C112,hijos!J:J,1)</f>
        <v>0</v>
      </c>
      <c r="O112" s="84">
        <f>COUNTIFS(hijos!B:B,C112,hijos!K:K,1)</f>
        <v>1</v>
      </c>
      <c r="P112" s="84">
        <f>COUNTIFS(hijos!B:B,C112,hijos!L:L,1)</f>
        <v>0</v>
      </c>
      <c r="Q112" s="84">
        <f t="shared" si="1"/>
        <v>1</v>
      </c>
      <c r="R112" s="80" t="str">
        <f t="array" ref="R112">XLOOKUP(C112,datos_personales[id:],datos_personales[Tel. Contacto:],"no dato",0,1)</f>
        <v/>
      </c>
      <c r="S112" s="81" t="str">
        <f t="array" ref="S112">XLOOKUP(C112,datos_personales[id:],datos_personales[E-Mail:],"no dato",0,1)</f>
        <v>carlanoeliarinaldi@hotmail.com</v>
      </c>
      <c r="T112" s="81" t="str">
        <f t="array" ref="T112">XLOOKUP(R112,telefonos_afiliados[numeros_loys],telefonos_afiliados[esta],"no esta",0,1)</f>
        <v>no esta</v>
      </c>
      <c r="U112" s="80"/>
      <c r="V112" s="104"/>
      <c r="W112" s="78"/>
    </row>
    <row r="113" ht="15.75" hidden="1" customHeight="1">
      <c r="A113" s="79"/>
      <c r="B113" s="80"/>
      <c r="C113" s="88">
        <f>datos_personales[id:]</f>
        <v>39200084</v>
      </c>
      <c r="D113" s="88" t="str">
        <f t="array" ref="D113">XLOOKUP(C113,datos_laborales[clave_foranea],datos_laborales[Relacion de Dependencia],"dato no encontrado",0,1)</f>
        <v>Monotributista</v>
      </c>
      <c r="E113" s="80" t="str">
        <f t="array" ref="E113">XLOOKUP(C113,datos_delegados[clave_foranea:],datos_delegados[En Actividad]," ",0,1)</f>
        <v> </v>
      </c>
      <c r="F113" s="88" t="str">
        <f t="array" ref="F113">CONCATENATE(XLOOKUP(C113,datos_personales[id:],datos_personales[Apellido:],"no dato",0,1),", ",XLOOKUP(C113,datos_personales[id:],datos_personales[Nombre],"no dato",0,1))</f>
        <v>ríos,  mariana noemí</v>
      </c>
      <c r="G113" s="88">
        <f t="array" ref="G113">XLOOKUP(C113,datos_laborales[clave_foranea],datos_laborales[N° De Legajo],"no dato",0,1)</f>
        <v>1662</v>
      </c>
      <c r="H113" s="89">
        <f t="array" ref="H113">XLOOKUP(C113,datos_laborales[clave_foranea], datos_laborales[Inicio Actividad:],"no dato",0,1)</f>
        <v>43556</v>
      </c>
      <c r="I113" s="88">
        <f t="array" ref="I113">XLOOKUP(C113,datos_laborales[clave_foranea],datos_laborales[Años en Actividad:],"no dato",0,1)</f>
        <v>6</v>
      </c>
      <c r="J113" s="88">
        <f t="array" ref="J113">XLOOKUP(C113,datos_personales[id:],datos_personales[D.n.i:],"no dato",0,1)</f>
        <v>39200084</v>
      </c>
      <c r="K113" s="89">
        <f t="array" ref="K113">XLOOKUP(C113,datos_personales[id:],datos_personales[Fecha Nacimiento:],"no dato",0,1)</f>
        <v>35239</v>
      </c>
      <c r="L113" s="88">
        <f>COUNTIF(hijos!B:B,C113)</f>
        <v>0</v>
      </c>
      <c r="M113" s="90">
        <f>COUNTIFS(hijos!B:B,C113,hijos!I:I,1)</f>
        <v>0</v>
      </c>
      <c r="N113" s="91">
        <f>COUNTIFS(hijos!B:B,C113,hijos!J:J,1)</f>
        <v>0</v>
      </c>
      <c r="O113" s="91">
        <f>COUNTIFS(hijos!B:B,C113,hijos!K:K,1)</f>
        <v>0</v>
      </c>
      <c r="P113" s="91">
        <f>COUNTIFS(hijos!B:B,C113,hijos!L:L,1)</f>
        <v>0</v>
      </c>
      <c r="Q113" s="91">
        <f t="shared" si="1"/>
        <v>0</v>
      </c>
      <c r="R113" s="80" t="str">
        <f t="array" ref="R113">XLOOKUP(C113,datos_personales[id:],datos_personales[Tel. Contacto:],"no dato",0,1)</f>
        <v/>
      </c>
      <c r="S113" s="88" t="str">
        <f t="array" ref="S113">XLOOKUP(C113,datos_personales[id:],datos_personales[E-Mail:],"no dato",0,1)</f>
        <v>mr9524422@gmail.com</v>
      </c>
      <c r="T113" s="88" t="str">
        <f t="array" ref="T113">XLOOKUP(R113,telefonos_afiliados[numeros_loys],telefonos_afiliados[esta],"no esta",0,1)</f>
        <v>no esta</v>
      </c>
      <c r="U113" s="88" t="str">
        <f t="array" ref="U113">XLOOKUP(C113,datos_laborales[id:],datos_laborales[renuncio],"no dato",0,1)</f>
        <v>no dato</v>
      </c>
      <c r="V113" s="105" t="str">
        <f t="array" ref="V113">XLOOKUP(C113,datos_laborales[clave_foranea],datos_laborales[tiene_ficha_pdf],"no tiene ficha pdf",0,1)</f>
        <v>no tiene en pdf</v>
      </c>
      <c r="W113" s="78"/>
    </row>
    <row r="114" ht="15.75" customHeight="1">
      <c r="A114" s="79"/>
      <c r="B114" s="80"/>
      <c r="C114" s="81">
        <f>datos_personales[id:]</f>
        <v>31137587</v>
      </c>
      <c r="D114" s="81" t="str">
        <f t="array" ref="D114">XLOOKUP(C114,datos_laborales[clave_foranea],datos_laborales[Relacion de Dependencia],"dato no encontrado",0,1)</f>
        <v>Monotributista</v>
      </c>
      <c r="E114" s="80" t="str">
        <f t="array" ref="E114">XLOOKUP(C114,datos_delegados[clave_foranea:],datos_delegados[En Actividad]," ",0,1)</f>
        <v> </v>
      </c>
      <c r="F114" s="81" t="str">
        <f t="array" ref="F114">CONCATENATE(XLOOKUP(C114,datos_personales[id:],datos_personales[Apellido:],"no dato",0,1),", ",XLOOKUP(C114,datos_personales[id:],datos_personales[Nombre],"no dato",0,1))</f>
        <v>rodriguez,  paola alejandra</v>
      </c>
      <c r="G114" s="81">
        <f t="array" ref="G114">XLOOKUP(C114,datos_laborales[clave_foranea],datos_laborales[N° De Legajo],"no dato",0,1)</f>
        <v>543</v>
      </c>
      <c r="H114" s="82">
        <f t="array" ref="H114">XLOOKUP(C114,datos_laborales[clave_foranea], datos_laborales[Inicio Actividad:],"no dato",0,1)</f>
        <v>42917</v>
      </c>
      <c r="I114" s="81">
        <f t="array" ref="I114">XLOOKUP(C114,datos_laborales[clave_foranea],datos_laborales[Años en Actividad:],"no dato",0,1)</f>
        <v>8</v>
      </c>
      <c r="J114" s="81">
        <f t="array" ref="J114">XLOOKUP(C114,datos_personales[id:],datos_personales[D.n.i:],"no dato",0,1)</f>
        <v>31137587</v>
      </c>
      <c r="K114" s="82">
        <f t="array" ref="K114">XLOOKUP(C114,datos_personales[id:],datos_personales[Fecha Nacimiento:],"no dato",0,1)</f>
        <v>30862</v>
      </c>
      <c r="L114" s="81">
        <f>COUNTIF(hijos!B:B,C114)</f>
        <v>1</v>
      </c>
      <c r="M114" s="83">
        <f>COUNTIFS(hijos!B:B,C114,hijos!I:I,1)</f>
        <v>0</v>
      </c>
      <c r="N114" s="84">
        <f>COUNTIFS(hijos!B:B,C114,hijos!J:J,1)</f>
        <v>0</v>
      </c>
      <c r="O114" s="84">
        <f>COUNTIFS(hijos!B:B,C114,hijos!K:K,1)</f>
        <v>0</v>
      </c>
      <c r="P114" s="84">
        <f>COUNTIFS(hijos!B:B,C114,hijos!L:L,1)</f>
        <v>1</v>
      </c>
      <c r="Q114" s="84">
        <f t="shared" si="1"/>
        <v>1</v>
      </c>
      <c r="R114" s="81">
        <f t="array" ref="R114">XLOOKUP(C114,datos_personales[id:],datos_personales[Tel. Contacto:],"no dato",0,1)</f>
        <v>1130404995</v>
      </c>
      <c r="S114" s="81" t="str">
        <f t="array" ref="S114">XLOOKUP(C114,datos_personales[id:],datos_personales[E-Mail:],"no dato",0,1)</f>
        <v>paolaymorena.rodriguez@gmail.com</v>
      </c>
      <c r="T114" s="81" t="str">
        <f t="array" ref="T114">XLOOKUP(R114,telefonos_afiliados[numeros_loys],telefonos_afiliados[esta],"no esta",0,1)</f>
        <v>1</v>
      </c>
      <c r="U114" s="80"/>
      <c r="V114" s="104"/>
      <c r="W114" s="78"/>
    </row>
    <row r="115" ht="15.75" hidden="1" customHeight="1">
      <c r="A115" s="79"/>
      <c r="B115" s="80"/>
      <c r="C115" s="88">
        <f>datos_personales[id:]</f>
        <v>38070572</v>
      </c>
      <c r="D115" s="88" t="str">
        <f t="array" ref="D115">XLOOKUP(C115,datos_laborales[clave_foranea],datos_laborales[Relacion de Dependencia],"dato no encontrado",0,1)</f>
        <v>Monotributista</v>
      </c>
      <c r="E115" s="80" t="str">
        <f t="array" ref="E115">XLOOKUP(C115,datos_delegados[clave_foranea:],datos_delegados[En Actividad]," ",0,1)</f>
        <v> </v>
      </c>
      <c r="F115" s="88" t="str">
        <f t="array" ref="F115">CONCATENATE(XLOOKUP(C115,datos_personales[id:],datos_personales[Apellido:],"no dato",0,1),", ",XLOOKUP(C115,datos_personales[id:],datos_personales[Nombre],"no dato",0,1))</f>
        <v>rojas molinas,  micaela</v>
      </c>
      <c r="G115" s="88">
        <f t="array" ref="G115">XLOOKUP(C115,datos_laborales[clave_foranea],datos_laborales[N° De Legajo],"no dato",0,1)</f>
        <v>1775</v>
      </c>
      <c r="H115" s="89">
        <f t="array" ref="H115">XLOOKUP(C115,datos_laborales[clave_foranea], datos_laborales[Inicio Actividad:],"no dato",0,1)</f>
        <v>43739</v>
      </c>
      <c r="I115" s="88">
        <f t="array" ref="I115">XLOOKUP(C115,datos_laborales[clave_foranea],datos_laborales[Años en Actividad:],"no dato",0,1)</f>
        <v>6</v>
      </c>
      <c r="J115" s="88">
        <f t="array" ref="J115">XLOOKUP(C115,datos_personales[id:],datos_personales[D.n.i:],"no dato",0,1)</f>
        <v>38070572</v>
      </c>
      <c r="K115" s="89">
        <f t="array" ref="K115">XLOOKUP(C115,datos_personales[id:],datos_personales[Fecha Nacimiento:],"no dato",0,1)</f>
        <v>34412</v>
      </c>
      <c r="L115" s="88">
        <f>COUNTIF(hijos!B:B,C115)</f>
        <v>0</v>
      </c>
      <c r="M115" s="90">
        <f>COUNTIFS(hijos!B:B,C115,hijos!I:I,1)</f>
        <v>0</v>
      </c>
      <c r="N115" s="91">
        <f>COUNTIFS(hijos!B:B,C115,hijos!J:J,1)</f>
        <v>0</v>
      </c>
      <c r="O115" s="91">
        <f>COUNTIFS(hijos!B:B,C115,hijos!K:K,1)</f>
        <v>0</v>
      </c>
      <c r="P115" s="91">
        <f>COUNTIFS(hijos!B:B,C115,hijos!L:L,1)</f>
        <v>0</v>
      </c>
      <c r="Q115" s="91">
        <f t="shared" si="1"/>
        <v>0</v>
      </c>
      <c r="R115" s="103">
        <f t="array" ref="R115">XLOOKUP(C115,datos_personales[id:],datos_personales[Tel. Contacto:],"no dato",0,1)</f>
        <v>1157530604</v>
      </c>
      <c r="S115" s="88" t="str">
        <f t="array" ref="S115">XLOOKUP(C115,datos_personales[id:],datos_personales[E-Mail:],"no dato",0,1)</f>
        <v>rojasmicaela325@gmail.com</v>
      </c>
      <c r="T115" s="88" t="str">
        <f t="array" ref="T115">XLOOKUP(R115,telefonos_afiliados[numeros_loys],telefonos_afiliados[esta],"no esta",0,1)</f>
        <v>1</v>
      </c>
      <c r="U115" s="88" t="str">
        <f t="array" ref="U115">XLOOKUP(C115,datos_personales[id:],datos_laborales[renuncio],"no dato",0,1)</f>
        <v>#N/A</v>
      </c>
      <c r="V115" s="104"/>
      <c r="W115" s="78"/>
    </row>
    <row r="116" ht="15.75" hidden="1" customHeight="1">
      <c r="A116" s="79"/>
      <c r="B116" s="80"/>
      <c r="C116" s="94">
        <f>datos_personales[id:]</f>
        <v>21365112</v>
      </c>
      <c r="D116" s="94" t="str">
        <f t="array" ref="D116">XLOOKUP(C116,datos_laborales[clave_foranea],datos_laborales[Relacion de Dependencia],"dato no encontrado",0,1)</f>
        <v>Planta Transitoria</v>
      </c>
      <c r="E116" s="94">
        <f t="array" ref="E116">XLOOKUP(C116,datos_delegados[clave_foranea:],datos_delegados[En Actividad]," ",0,1)</f>
        <v>1</v>
      </c>
      <c r="F116" s="94" t="str">
        <f t="array" ref="F116">CONCATENATE(XLOOKUP(C116,datos_personales[id:],datos_personales[Apellido:],"no dato",0,1),", ",XLOOKUP(C116,datos_personales[id:],datos_personales[Nombre],"no dato",0,1))</f>
        <v>rolón,  marta patricia</v>
      </c>
      <c r="G116" s="94">
        <f t="array" ref="G116">XLOOKUP(C116,datos_laborales[clave_foranea],datos_laborales[N° De Legajo],"no dato",0,1)</f>
        <v>1429</v>
      </c>
      <c r="H116" s="95">
        <f t="array" ref="H116">XLOOKUP(C116,datos_laborales[clave_foranea], datos_laborales[Inicio Actividad:],"no dato",0,1)</f>
        <v>43344</v>
      </c>
      <c r="I116" s="94">
        <f t="array" ref="I116">XLOOKUP(C116,datos_laborales[clave_foranea],datos_laborales[Años en Actividad:],"no dato",0,1)</f>
        <v>7</v>
      </c>
      <c r="J116" s="94">
        <f t="array" ref="J116">XLOOKUP(C116,datos_personales[id:],datos_personales[D.n.i:],"no dato",0,1)</f>
        <v>21365112</v>
      </c>
      <c r="K116" s="95">
        <f t="array" ref="K116">XLOOKUP(C116,datos_personales[id:],datos_personales[Fecha Nacimiento:],"no dato",0,1)</f>
        <v>25635</v>
      </c>
      <c r="L116" s="94">
        <f>COUNTIF(hijos!B:B,C116)</f>
        <v>0</v>
      </c>
      <c r="M116" s="96">
        <f>COUNTIFS(hijos!B:B,C116,hijos!I:I,1)</f>
        <v>0</v>
      </c>
      <c r="N116" s="97">
        <f>COUNTIFS(hijos!B:B,C116,hijos!J:J,1)</f>
        <v>0</v>
      </c>
      <c r="O116" s="97">
        <f>COUNTIFS(hijos!B:B,C116,hijos!K:K,1)</f>
        <v>0</v>
      </c>
      <c r="P116" s="97">
        <f>COUNTIFS(hijos!B:B,C116,hijos!L:L,1)</f>
        <v>0</v>
      </c>
      <c r="Q116" s="97">
        <f t="shared" si="1"/>
        <v>0</v>
      </c>
      <c r="R116" s="94">
        <f t="array" ref="R116">XLOOKUP(C116,datos_personales[id:],datos_personales[Tel. Contacto:],"no dato",0,1)</f>
        <v>1168758827</v>
      </c>
      <c r="S116" s="94" t="str">
        <f t="array" ref="S116">XLOOKUP(C116,datos_personales[id:],datos_personales[E-Mail:],"no dato",0,1)</f>
        <v>martapatricia.r.11@gimail.com </v>
      </c>
      <c r="T116" s="94" t="str">
        <f t="array" ref="T116">XLOOKUP(R116,telefonos_afiliados[numeros_loys],telefonos_afiliados[esta],"no esta",0,1)</f>
        <v>1</v>
      </c>
      <c r="U116" s="94" t="str">
        <f t="array" ref="U116">XLOOKUP(C116,datos_laborales[id:],datos_laborales[renuncio],"no dato",0,1)</f>
        <v>no dato</v>
      </c>
      <c r="V116" s="104"/>
      <c r="W116" s="78"/>
    </row>
    <row r="117" ht="15.75" hidden="1" customHeight="1">
      <c r="A117" s="79"/>
      <c r="B117" s="80"/>
      <c r="C117" s="88">
        <f>datos_personales[id:]</f>
        <v>25530864</v>
      </c>
      <c r="D117" s="88" t="str">
        <f t="array" ref="D117">XLOOKUP(C117,datos_laborales[clave_foranea],datos_laborales[Relacion de Dependencia],"dato no encontrado",0,1)</f>
        <v>Monotributista</v>
      </c>
      <c r="E117" s="80" t="str">
        <f t="array" ref="E117">XLOOKUP(C117,datos_delegados[clave_foranea:],datos_delegados[En Actividad]," ",0,1)</f>
        <v> </v>
      </c>
      <c r="F117" s="88" t="str">
        <f t="array" ref="F117">CONCATENATE(XLOOKUP(C117,datos_personales[id:],datos_personales[Apellido:],"no dato",0,1),", ",XLOOKUP(C117,datos_personales[id:],datos_personales[Nombre],"no dato",0,1))</f>
        <v>roma,  pablo</v>
      </c>
      <c r="G117" s="88">
        <f t="array" ref="G117">XLOOKUP(C117,datos_laborales[clave_foranea],datos_laborales[N° De Legajo],"no dato",0,1)</f>
        <v>1407</v>
      </c>
      <c r="H117" s="89">
        <f t="array" ref="H117">XLOOKUP(C117,datos_laborales[clave_foranea], datos_laborales[Inicio Actividad:],"no dato",0,1)</f>
        <v>42278</v>
      </c>
      <c r="I117" s="88">
        <f t="array" ref="I117">XLOOKUP(C117,datos_laborales[clave_foranea],datos_laborales[Años en Actividad:],"no dato",0,1)</f>
        <v>10</v>
      </c>
      <c r="J117" s="88">
        <f t="array" ref="J117">XLOOKUP(C117,datos_personales[id:],datos_personales[D.n.i:],"no dato",0,1)</f>
        <v>25530864</v>
      </c>
      <c r="K117" s="89">
        <f t="array" ref="K117">XLOOKUP(C117,datos_personales[id:],datos_personales[Fecha Nacimiento:],"no dato",0,1)</f>
        <v>28020</v>
      </c>
      <c r="L117" s="88">
        <f>COUNTIF(hijos!B:B,C117)</f>
        <v>0</v>
      </c>
      <c r="M117" s="90">
        <f>COUNTIFS(hijos!B:B,C117,hijos!I:I,1)</f>
        <v>0</v>
      </c>
      <c r="N117" s="91">
        <f>COUNTIFS(hijos!B:B,C117,hijos!J:J,1)</f>
        <v>0</v>
      </c>
      <c r="O117" s="91">
        <f>COUNTIFS(hijos!B:B,C117,hijos!K:K,1)</f>
        <v>0</v>
      </c>
      <c r="P117" s="91">
        <f>COUNTIFS(hijos!B:B,C117,hijos!L:L,1)</f>
        <v>0</v>
      </c>
      <c r="Q117" s="91">
        <f t="shared" si="1"/>
        <v>0</v>
      </c>
      <c r="R117" s="92" t="str">
        <f t="array" ref="R117">XLOOKUP(C117,datos_personales[id:],datos_personales[Tel. Contacto:],"no dato",0,1)</f>
        <v/>
      </c>
      <c r="S117" s="88" t="str">
        <f t="array" ref="S117">XLOOKUP(C117,datos_personales[id:],datos_personales[E-Mail:],"no dato",0,1)</f>
        <v>pabloroma742@gmail.com</v>
      </c>
      <c r="T117" s="88" t="str">
        <f t="array" ref="T117">XLOOKUP(R117,telefonos_afiliados[numeros_loys],telefonos_afiliados[esta],"no esta",0,1)</f>
        <v>no esta</v>
      </c>
      <c r="U117" s="88" t="str">
        <f t="array" ref="U117">XLOOKUP(C117,datos_laborales[id:],datos_laborales[renuncio],"no dato",0,1)</f>
        <v>no dato</v>
      </c>
      <c r="V117" s="93" t="str">
        <f t="array" ref="V117">XLOOKUP(C117,datos_laborales[clave_foranea],datos_laborales[tiene_ficha_pdf],"no tiene ficha pdf",0,1)</f>
        <v>no tiene en pdf</v>
      </c>
      <c r="W117" s="78"/>
    </row>
    <row r="118" ht="15.75" hidden="1" customHeight="1">
      <c r="A118" s="79"/>
      <c r="B118" s="80"/>
      <c r="C118" s="81">
        <f>datos_personales[id:]</f>
        <v>28168835</v>
      </c>
      <c r="D118" s="81" t="str">
        <f t="array" ref="D118">XLOOKUP(C118,datos_laborales[clave_foranea],datos_laborales[Relacion de Dependencia],"dato no encontrado",0,1)</f>
        <v>Monotributista</v>
      </c>
      <c r="E118" s="80" t="str">
        <f t="array" ref="E118">XLOOKUP(C118,datos_delegados[clave_foranea:],datos_delegados[En Actividad]," ",0,1)</f>
        <v> </v>
      </c>
      <c r="F118" s="81" t="str">
        <f t="array" ref="F118">CONCATENATE(XLOOKUP(C118,datos_personales[id:],datos_personales[Apellido:],"no dato",0,1),", ",XLOOKUP(C118,datos_personales[id:],datos_personales[Nombre],"no dato",0,1))</f>
        <v>rossi,  jesica johana</v>
      </c>
      <c r="G118" s="81">
        <f t="array" ref="G118">XLOOKUP(C118,datos_laborales[clave_foranea],datos_laborales[N° De Legajo],"no dato",0,1)</f>
        <v>1484</v>
      </c>
      <c r="H118" s="82">
        <f t="array" ref="H118">XLOOKUP(C118,datos_laborales[clave_foranea], datos_laborales[Inicio Actividad:],"no dato",0,1)</f>
        <v>43395</v>
      </c>
      <c r="I118" s="81">
        <f t="array" ref="I118">XLOOKUP(C118,datos_laborales[clave_foranea],datos_laborales[Años en Actividad:],"no dato",0,1)</f>
        <v>7</v>
      </c>
      <c r="J118" s="81">
        <f t="array" ref="J118">XLOOKUP(C118,datos_personales[id:],datos_personales[D.n.i:],"no dato",0,1)</f>
        <v>28168835</v>
      </c>
      <c r="K118" s="82">
        <f t="array" ref="K118">XLOOKUP(C118,datos_personales[id:],datos_personales[Fecha Nacimiento:],"no dato",0,1)</f>
        <v>29354</v>
      </c>
      <c r="L118" s="81">
        <f>COUNTIF(hijos!B:B,C118)</f>
        <v>3</v>
      </c>
      <c r="M118" s="83">
        <f>COUNTIFS(hijos!B:B,C118,hijos!I:I,1)</f>
        <v>0</v>
      </c>
      <c r="N118" s="84">
        <f>COUNTIFS(hijos!B:B,C118,hijos!J:J,1)</f>
        <v>0</v>
      </c>
      <c r="O118" s="84">
        <f>COUNTIFS(hijos!B:B,C118,hijos!K:K,1)</f>
        <v>0</v>
      </c>
      <c r="P118" s="84">
        <f>COUNTIFS(hijos!B:B,C118,hijos!L:L,1)</f>
        <v>2</v>
      </c>
      <c r="Q118" s="84">
        <f t="shared" si="1"/>
        <v>2</v>
      </c>
      <c r="R118" s="92" t="str">
        <f t="array" ref="R118">XLOOKUP(C118,datos_personales[id:],datos_personales[Tel. Contacto:],"no dato",0,1)</f>
        <v/>
      </c>
      <c r="S118" s="81" t="str">
        <f t="array" ref="S118">XLOOKUP(C118,datos_personales[id:],datos_personales[E-Mail:],"no dato",0,1)</f>
        <v>jessyjohann22@gmail.com</v>
      </c>
      <c r="T118" s="81" t="str">
        <f t="array" ref="T118">XLOOKUP(R118,telefonos_afiliados[numeros_loys],telefonos_afiliados[esta],"no esta",0,1)</f>
        <v>no esta</v>
      </c>
      <c r="U118" s="81" t="str">
        <f t="array" ref="U118">XLOOKUP(C118,datos_personales[id:],datos_laborales[renuncio],"no dato",0,1)</f>
        <v>#N/A</v>
      </c>
      <c r="V118" s="104"/>
      <c r="W118" s="78"/>
    </row>
    <row r="119" ht="15.75" hidden="1" customHeight="1">
      <c r="A119" s="79"/>
      <c r="B119" s="80"/>
      <c r="C119" s="88">
        <f>datos_personales[id:]</f>
        <v>38625889</v>
      </c>
      <c r="D119" s="88" t="str">
        <f t="array" ref="D119">XLOOKUP(C119,datos_laborales[clave_foranea],datos_laborales[Relacion de Dependencia],"dato no encontrado",0,1)</f>
        <v>Monotributista</v>
      </c>
      <c r="E119" s="80" t="str">
        <f t="array" ref="E119">XLOOKUP(C119,datos_delegados[clave_foranea:],datos_delegados[En Actividad]," ",0,1)</f>
        <v> </v>
      </c>
      <c r="F119" s="88" t="str">
        <f t="array" ref="F119">CONCATENATE(XLOOKUP(C119,datos_personales[id:],datos_personales[Apellido:],"no dato",0,1),", ",XLOOKUP(C119,datos_personales[id:],datos_personales[Nombre],"no dato",0,1))</f>
        <v>ruiz,  lucia yamila</v>
      </c>
      <c r="G119" s="88">
        <f t="array" ref="G119">XLOOKUP(C119,datos_laborales[clave_foranea],datos_laborales[N° De Legajo],"no dato",0,1)</f>
        <v>2849</v>
      </c>
      <c r="H119" s="106" t="str">
        <f t="array" ref="H119">XLOOKUP(C119,datos_laborales[clave_foranea], datos_laborales[Inicio Actividad:],"no dato",0,1)</f>
        <v/>
      </c>
      <c r="I119" s="88">
        <f t="array" ref="I119">XLOOKUP(C119,datos_laborales[clave_foranea],datos_laborales[Años en Actividad:],"no dato",0,1)</f>
        <v>126</v>
      </c>
      <c r="J119" s="88">
        <f t="array" ref="J119">XLOOKUP(C119,datos_personales[id:],datos_personales[D.n.i:],"no dato",0,1)</f>
        <v>38625889</v>
      </c>
      <c r="K119" s="89">
        <f t="array" ref="K119">XLOOKUP(C119,datos_personales[id:],datos_personales[Fecha Nacimiento:],"no dato",0,1)</f>
        <v>34705</v>
      </c>
      <c r="L119" s="88">
        <f>COUNTIF(hijos!B:B,C119)</f>
        <v>1</v>
      </c>
      <c r="M119" s="90">
        <f>COUNTIFS(hijos!B:B,C119,hijos!I:I,1)</f>
        <v>0</v>
      </c>
      <c r="N119" s="91">
        <f>COUNTIFS(hijos!B:B,C119,hijos!J:J,1)</f>
        <v>1</v>
      </c>
      <c r="O119" s="91">
        <f>COUNTIFS(hijos!B:B,C119,hijos!K:K,1)</f>
        <v>0</v>
      </c>
      <c r="P119" s="91">
        <f>COUNTIFS(hijos!B:B,C119,hijos!L:L,1)</f>
        <v>0</v>
      </c>
      <c r="Q119" s="91">
        <f t="shared" si="1"/>
        <v>1</v>
      </c>
      <c r="R119" s="88">
        <f t="array" ref="R119">XLOOKUP(C119,datos_personales[id:],datos_personales[Tel. Contacto:],"no dato",0,1)</f>
        <v>1126744774</v>
      </c>
      <c r="S119" s="88" t="str">
        <f t="array" ref="S119">XLOOKUP(C119,datos_personales[id:],datos_personales[E-Mail:],"no dato",0,1)</f>
        <v>ruizyamila979@gmail.com</v>
      </c>
      <c r="T119" s="88" t="str">
        <f t="array" ref="T119">XLOOKUP(R119,telefonos_afiliados[numeros_loys],telefonos_afiliados[esta],"no esta",0,1)</f>
        <v>no esta</v>
      </c>
      <c r="U119" s="88" t="str">
        <f t="array" ref="U119">XLOOKUP(C119,datos_laborales[id:],datos_laborales[renuncio],"no dato",0,1)</f>
        <v>no dato</v>
      </c>
      <c r="V119" s="104"/>
      <c r="W119" s="78"/>
    </row>
    <row r="120" ht="15.75" hidden="1" customHeight="1">
      <c r="A120" s="79"/>
      <c r="B120" s="80"/>
      <c r="C120" s="81">
        <f>datos_personales[id:]</f>
        <v>39464452</v>
      </c>
      <c r="D120" s="81" t="str">
        <f t="array" ref="D120">XLOOKUP(C120,datos_laborales[clave_foranea],datos_laborales[Relacion de Dependencia],"dato no encontrado",0,1)</f>
        <v>Monotributista </v>
      </c>
      <c r="E120" s="80" t="str">
        <f t="array" ref="E120">XLOOKUP(C120,datos_delegados[clave_foranea:],datos_delegados[En Actividad]," ",0,1)</f>
        <v> </v>
      </c>
      <c r="F120" s="81" t="str">
        <f t="array" ref="F120">CONCATENATE(XLOOKUP(C120,datos_personales[id:],datos_personales[Apellido:],"no dato",0,1),", ",XLOOKUP(C120,datos_personales[id:],datos_personales[Nombre],"no dato",0,1))</f>
        <v>ruiz,  mailen ariadna</v>
      </c>
      <c r="G120" s="81">
        <f t="array" ref="G120">XLOOKUP(C120,datos_laborales[clave_foranea],datos_laborales[N° De Legajo],"no dato",0,1)</f>
        <v>2537</v>
      </c>
      <c r="H120" s="106" t="str">
        <f t="array" ref="H120">XLOOKUP(C120,datos_laborales[clave_foranea], datos_laborales[Inicio Actividad:],"no dato",0,1)</f>
        <v/>
      </c>
      <c r="I120" s="81">
        <f t="array" ref="I120">XLOOKUP(C120,datos_laborales[clave_foranea],datos_laborales[Años en Actividad:],"no dato",0,1)</f>
        <v>126</v>
      </c>
      <c r="J120" s="81">
        <f t="array" ref="J120">XLOOKUP(C120,datos_personales[id:],datos_personales[D.n.i:],"no dato",0,1)</f>
        <v>39464452</v>
      </c>
      <c r="K120" s="82">
        <f t="array" ref="K120">XLOOKUP(C120,datos_personales[id:],datos_personales[Fecha Nacimiento:],"no dato",0,1)</f>
        <v>35333</v>
      </c>
      <c r="L120" s="81">
        <f>COUNTIF(hijos!B:B,C120)</f>
        <v>1</v>
      </c>
      <c r="M120" s="83">
        <f>COUNTIFS(hijos!B:B,C120,hijos!I:I,1)</f>
        <v>0</v>
      </c>
      <c r="N120" s="84">
        <f>COUNTIFS(hijos!B:B,C120,hijos!J:J,1)</f>
        <v>1</v>
      </c>
      <c r="O120" s="84">
        <f>COUNTIFS(hijos!B:B,C120,hijos!K:K,1)</f>
        <v>0</v>
      </c>
      <c r="P120" s="84">
        <f>COUNTIFS(hijos!B:B,C120,hijos!L:L,1)</f>
        <v>0</v>
      </c>
      <c r="Q120" s="84">
        <f t="shared" si="1"/>
        <v>1</v>
      </c>
      <c r="R120" s="85">
        <f t="array" ref="R120">XLOOKUP(C120,datos_personales[id:],datos_personales[Tel. Contacto:],"no dato",0,1)</f>
        <v>1138747010</v>
      </c>
      <c r="S120" s="81" t="str">
        <f t="array" ref="S120">XLOOKUP(C120,datos_personales[id:],datos_personales[E-Mail:],"no dato",0,1)</f>
        <v>ruizamail1996@gmail.com</v>
      </c>
      <c r="T120" s="81" t="str">
        <f t="array" ref="T120">XLOOKUP(R120,telefonos_afiliados[numeros_loys],telefonos_afiliados[esta],"no esta",0,1)</f>
        <v>1</v>
      </c>
      <c r="U120" s="81" t="str">
        <f t="array" ref="U120">XLOOKUP(C120,datos_laborales[id:],datos_laborales[renuncio],"no dato",0,1)</f>
        <v>no dato</v>
      </c>
      <c r="V120" s="87">
        <f t="array" ref="V120">XLOOKUP(C120,datos_laborales[clave_foranea],datos_laborales[tiene_ficha_pdf],"no tiene ficha pdf",0,1)</f>
        <v>1</v>
      </c>
      <c r="W120" s="78"/>
    </row>
    <row r="121" ht="15.75" hidden="1" customHeight="1">
      <c r="A121" s="79"/>
      <c r="B121" s="80"/>
      <c r="C121" s="88">
        <f>datos_personales[id:]</f>
        <v>95159988</v>
      </c>
      <c r="D121" s="88" t="str">
        <f t="array" ref="D121">XLOOKUP(C121,datos_laborales[clave_foranea],datos_laborales[Relacion de Dependencia],"dato no encontrado",0,1)</f>
        <v>Monotributista</v>
      </c>
      <c r="E121" s="80" t="str">
        <f t="array" ref="E121">XLOOKUP(C121,datos_delegados[clave_foranea:],datos_delegados[En Actividad]," ",0,1)</f>
        <v> </v>
      </c>
      <c r="F121" s="88" t="str">
        <f t="array" ref="F121">CONCATENATE(XLOOKUP(C121,datos_personales[id:],datos_personales[Apellido:],"no dato",0,1),", ",XLOOKUP(C121,datos_personales[id:],datos_personales[Nombre],"no dato",0,1))</f>
        <v>ruíz diaz,  diego fernando </v>
      </c>
      <c r="G121" s="88">
        <f t="array" ref="G121">XLOOKUP(C121,datos_laborales[clave_foranea],datos_laborales[N° De Legajo],"no dato",0,1)</f>
        <v>1776</v>
      </c>
      <c r="H121" s="89">
        <f t="array" ref="H121">XLOOKUP(C121,datos_laborales[clave_foranea], datos_laborales[Inicio Actividad:],"no dato",0,1)</f>
        <v>43739</v>
      </c>
      <c r="I121" s="88">
        <f t="array" ref="I121">XLOOKUP(C121,datos_laborales[clave_foranea],datos_laborales[Años en Actividad:],"no dato",0,1)</f>
        <v>6</v>
      </c>
      <c r="J121" s="88">
        <f t="array" ref="J121">XLOOKUP(C121,datos_personales[id:],datos_personales[D.n.i:],"no dato",0,1)</f>
        <v>95159988</v>
      </c>
      <c r="K121" s="89">
        <f t="array" ref="K121">XLOOKUP(C121,datos_personales[id:],datos_personales[Fecha Nacimiento:],"no dato",0,1)</f>
        <v>34467</v>
      </c>
      <c r="L121" s="88">
        <f>COUNTIF(hijos!B:B,C121)</f>
        <v>0</v>
      </c>
      <c r="M121" s="90">
        <f>COUNTIFS(hijos!B:B,C121,hijos!I:I,1)</f>
        <v>0</v>
      </c>
      <c r="N121" s="91">
        <f>COUNTIFS(hijos!B:B,C121,hijos!J:J,1)</f>
        <v>0</v>
      </c>
      <c r="O121" s="91">
        <f>COUNTIFS(hijos!B:B,C121,hijos!K:K,1)</f>
        <v>0</v>
      </c>
      <c r="P121" s="91">
        <f>COUNTIFS(hijos!B:B,C121,hijos!L:L,1)</f>
        <v>0</v>
      </c>
      <c r="Q121" s="91">
        <f t="shared" si="1"/>
        <v>0</v>
      </c>
      <c r="R121" s="88">
        <f t="array" ref="R121">XLOOKUP(C121,datos_personales[id:],datos_personales[Tel. Contacto:],"no dato",0,1)</f>
        <v>1127276399</v>
      </c>
      <c r="S121" s="88" t="str">
        <f t="array" ref="S121">XLOOKUP(C121,datos_personales[id:],datos_personales[E-Mail:],"no dato",0,1)</f>
        <v>diegoruizdiaz221@gmail.com</v>
      </c>
      <c r="T121" s="88" t="str">
        <f t="array" ref="T121">XLOOKUP(R121,telefonos_afiliados[numeros_loys],telefonos_afiliados[esta],"no esta",0,1)</f>
        <v>1</v>
      </c>
      <c r="U121" s="88" t="str">
        <f t="array" ref="U121">XLOOKUP(C121,datos_laborales[id:],datos_laborales[renuncio],"no dato",0,1)</f>
        <v>no dato</v>
      </c>
      <c r="V121" s="104"/>
      <c r="W121" s="78"/>
    </row>
    <row r="122" ht="15.75" hidden="1" customHeight="1">
      <c r="A122" s="79"/>
      <c r="B122" s="80"/>
      <c r="C122" s="81">
        <f>datos_personales[id:]</f>
        <v>33059642</v>
      </c>
      <c r="D122" s="81" t="str">
        <f t="array" ref="D122">XLOOKUP(C122,datos_laborales[clave_foranea],datos_laborales[Relacion de Dependencia],"dato no encontrado",0,1)</f>
        <v>Monotributista</v>
      </c>
      <c r="E122" s="80" t="str">
        <f t="array" ref="E122">XLOOKUP(C122,datos_delegados[clave_foranea:],datos_delegados[En Actividad]," ",0,1)</f>
        <v> </v>
      </c>
      <c r="F122" s="81" t="str">
        <f t="array" ref="F122">CONCATENATE(XLOOKUP(C122,datos_personales[id:],datos_personales[Apellido:],"no dato",0,1),", ",XLOOKUP(C122,datos_personales[id:],datos_personales[Nombre],"no dato",0,1))</f>
        <v>saracho,  gabriela</v>
      </c>
      <c r="G122" s="81">
        <f t="array" ref="G122">XLOOKUP(C122,datos_laborales[clave_foranea],datos_laborales[N° De Legajo],"no dato",0,1)</f>
        <v>2856</v>
      </c>
      <c r="H122" s="106" t="str">
        <f t="array" ref="H122">XLOOKUP(C122,datos_laborales[clave_foranea], datos_laborales[Inicio Actividad:],"no dato",0,1)</f>
        <v/>
      </c>
      <c r="I122" s="81">
        <f t="array" ref="I122">XLOOKUP(C122,datos_laborales[clave_foranea],datos_laborales[Años en Actividad:],"no dato",0,1)</f>
        <v>126</v>
      </c>
      <c r="J122" s="81">
        <f t="array" ref="J122">XLOOKUP(C122,datos_personales[id:],datos_personales[D.n.i:],"no dato",0,1)</f>
        <v>33059642</v>
      </c>
      <c r="K122" s="82">
        <f t="array" ref="K122">XLOOKUP(C122,datos_personales[id:],datos_personales[Fecha Nacimiento:],"no dato",0,1)</f>
        <v>31873</v>
      </c>
      <c r="L122" s="81">
        <f>COUNTIF(hijos!B:B,C122)</f>
        <v>0</v>
      </c>
      <c r="M122" s="83">
        <f>COUNTIFS(hijos!B:B,C122,hijos!I:I,1)</f>
        <v>0</v>
      </c>
      <c r="N122" s="84">
        <f>COUNTIFS(hijos!B:B,C122,hijos!J:J,1)</f>
        <v>0</v>
      </c>
      <c r="O122" s="84">
        <f>COUNTIFS(hijos!B:B,C122,hijos!K:K,1)</f>
        <v>0</v>
      </c>
      <c r="P122" s="84">
        <f>COUNTIFS(hijos!B:B,C122,hijos!L:L,1)</f>
        <v>0</v>
      </c>
      <c r="Q122" s="84">
        <f t="shared" si="1"/>
        <v>0</v>
      </c>
      <c r="R122" s="81">
        <f t="array" ref="R122">XLOOKUP(C122,datos_personales[id:],datos_personales[Tel. Contacto:],"no dato",0,1)</f>
        <v>2320305154</v>
      </c>
      <c r="S122" s="81" t="str">
        <f t="array" ref="S122">XLOOKUP(C122,datos_personales[id:],datos_personales[E-Mail:],"no dato",0,1)</f>
        <v>gabrielasaracho28@gmail.com</v>
      </c>
      <c r="T122" s="81" t="str">
        <f t="array" ref="T122">XLOOKUP(R122,telefonos_afiliados[numeros_loys],telefonos_afiliados[esta],"no esta",0,1)</f>
        <v>no esta</v>
      </c>
      <c r="U122" s="81" t="str">
        <f t="array" ref="U122">XLOOKUP(C122,datos_laborales[id:],datos_laborales[renuncio],"no dato",0,1)</f>
        <v>no dato</v>
      </c>
      <c r="V122" s="104"/>
      <c r="W122" s="78"/>
    </row>
    <row r="123" ht="15.75" hidden="1" customHeight="1">
      <c r="A123" s="79"/>
      <c r="B123" s="80"/>
      <c r="C123" s="88">
        <f>datos_personales[id:]</f>
        <v>30161994</v>
      </c>
      <c r="D123" s="88" t="str">
        <f t="array" ref="D123">XLOOKUP(C123,datos_laborales[clave_foranea],datos_laborales[Relacion de Dependencia],"dato no encontrado",0,1)</f>
        <v>Monotributista</v>
      </c>
      <c r="E123" s="80" t="str">
        <f t="array" ref="E123">XLOOKUP(C123,datos_delegados[clave_foranea:],datos_delegados[En Actividad]," ",0,1)</f>
        <v> </v>
      </c>
      <c r="F123" s="88" t="str">
        <f t="array" ref="F123">CONCATENATE(XLOOKUP(C123,datos_personales[id:],datos_personales[Apellido:],"no dato",0,1),", ",XLOOKUP(C123,datos_personales[id:],datos_personales[Nombre],"no dato",0,1))</f>
        <v>sabbagh,  mario javier</v>
      </c>
      <c r="G123" s="88">
        <f t="array" ref="G123">XLOOKUP(C123,datos_laborales[clave_foranea],datos_laborales[N° De Legajo],"no dato",0,1)</f>
        <v>2001</v>
      </c>
      <c r="H123" s="89">
        <f t="array" ref="H123">XLOOKUP(C123,datos_laborales[clave_foranea], datos_laborales[Inicio Actividad:],"no dato",0,1)</f>
        <v>44791</v>
      </c>
      <c r="I123" s="88">
        <f t="array" ref="I123">XLOOKUP(C123,datos_laborales[clave_foranea],datos_laborales[Años en Actividad:],"no dato",0,1)</f>
        <v>3</v>
      </c>
      <c r="J123" s="88">
        <f t="array" ref="J123">XLOOKUP(C123,datos_personales[id:],datos_personales[D.n.i:],"no dato",0,1)</f>
        <v>30161994</v>
      </c>
      <c r="K123" s="106" t="str">
        <f t="array" ref="K123">XLOOKUP(C123,datos_personales[id:],datos_personales[Fecha Nacimiento:],"no dato",0,1)</f>
        <v/>
      </c>
      <c r="L123" s="88">
        <f>COUNTIF(hijos!B:B,C123)</f>
        <v>0</v>
      </c>
      <c r="M123" s="90">
        <f>COUNTIFS(hijos!B:B,C123,hijos!I:I,1)</f>
        <v>0</v>
      </c>
      <c r="N123" s="91">
        <f>COUNTIFS(hijos!B:B,C123,hijos!J:J,1)</f>
        <v>0</v>
      </c>
      <c r="O123" s="91">
        <f>COUNTIFS(hijos!B:B,C123,hijos!K:K,1)</f>
        <v>0</v>
      </c>
      <c r="P123" s="91">
        <f>COUNTIFS(hijos!B:B,C123,hijos!L:L,1)</f>
        <v>0</v>
      </c>
      <c r="Q123" s="91">
        <f t="shared" si="1"/>
        <v>0</v>
      </c>
      <c r="R123" s="88">
        <f t="array" ref="R123">XLOOKUP(C123,datos_personales[id:],datos_personales[Tel. Contacto:],"no dato",0,1)</f>
        <v>1136699218</v>
      </c>
      <c r="S123" s="88" t="str">
        <f t="array" ref="S123">XLOOKUP(C123,datos_personales[id:],datos_personales[E-Mail:],"no dato",0,1)</f>
        <v>sabbaghmario37@gmail.com</v>
      </c>
      <c r="T123" s="88" t="str">
        <f t="array" ref="T123">XLOOKUP(R123,telefonos_afiliados[numeros_loys],telefonos_afiliados[esta],"no esta",0,1)</f>
        <v>1</v>
      </c>
      <c r="U123" s="88" t="str">
        <f t="array" ref="U123">XLOOKUP(C123,datos_laborales[id:],datos_laborales[renuncio],"no dato",0,1)</f>
        <v>no dato</v>
      </c>
      <c r="V123" s="104"/>
      <c r="W123" s="78"/>
    </row>
    <row r="124" ht="15.75" hidden="1" customHeight="1">
      <c r="A124" s="79"/>
      <c r="B124" s="80"/>
      <c r="C124" s="81">
        <f>datos_personales[id:]</f>
        <v>36375804</v>
      </c>
      <c r="D124" s="81" t="str">
        <f t="array" ref="D124">XLOOKUP(C124,datos_laborales[clave_foranea],datos_laborales[Relacion de Dependencia],"dato no encontrado",0,1)</f>
        <v>Monotributista</v>
      </c>
      <c r="E124" s="80" t="str">
        <f t="array" ref="E124">XLOOKUP(C124,datos_delegados[clave_foranea:],datos_delegados[En Actividad]," ",0,1)</f>
        <v> </v>
      </c>
      <c r="F124" s="81" t="str">
        <f t="array" ref="F124">CONCATENATE(XLOOKUP(C124,datos_personales[id:],datos_personales[Apellido:],"no dato",0,1),", ",XLOOKUP(C124,datos_personales[id:],datos_personales[Nombre],"no dato",0,1))</f>
        <v>salazar,  claudio</v>
      </c>
      <c r="G124" s="81">
        <f t="array" ref="G124">XLOOKUP(C124,datos_laborales[clave_foranea],datos_laborales[N° De Legajo],"no dato",0,1)</f>
        <v>1234</v>
      </c>
      <c r="H124" s="82">
        <f t="array" ref="H124">XLOOKUP(C124,datos_laborales[clave_foranea], datos_laborales[Inicio Actividad:],"no dato",0,1)</f>
        <v>43164</v>
      </c>
      <c r="I124" s="81">
        <f t="array" ref="I124">XLOOKUP(C124,datos_laborales[clave_foranea],datos_laborales[Años en Actividad:],"no dato",0,1)</f>
        <v>7</v>
      </c>
      <c r="J124" s="81">
        <f t="array" ref="J124">XLOOKUP(C124,datos_personales[id:],datos_personales[D.n.i:],"no dato",0,1)</f>
        <v>36375804</v>
      </c>
      <c r="K124" s="82">
        <f t="array" ref="K124">XLOOKUP(C124,datos_personales[id:],datos_personales[Fecha Nacimiento:],"no dato",0,1)</f>
        <v>33536</v>
      </c>
      <c r="L124" s="81">
        <f>COUNTIF(hijos!B:B,C124)</f>
        <v>1</v>
      </c>
      <c r="M124" s="83">
        <f>COUNTIFS(hijos!B:B,C124,hijos!I:I,1)</f>
        <v>0</v>
      </c>
      <c r="N124" s="84">
        <f>COUNTIFS(hijos!B:B,C124,hijos!J:J,1)</f>
        <v>0</v>
      </c>
      <c r="O124" s="84">
        <f>COUNTIFS(hijos!B:B,C124,hijos!K:K,1)</f>
        <v>0</v>
      </c>
      <c r="P124" s="84">
        <f>COUNTIFS(hijos!B:B,C124,hijos!L:L,1)</f>
        <v>0</v>
      </c>
      <c r="Q124" s="84">
        <f t="shared" si="1"/>
        <v>0</v>
      </c>
      <c r="R124" s="81">
        <f t="array" ref="R124">XLOOKUP(C124,datos_personales[id:],datos_personales[Tel. Contacto:],"no dato",0,1)</f>
        <v>1161708518</v>
      </c>
      <c r="S124" s="81" t="str">
        <f t="array" ref="S124">XLOOKUP(C124,datos_personales[id:],datos_personales[E-Mail:],"no dato",0,1)</f>
        <v>klaudiosalazar91@gmail.com</v>
      </c>
      <c r="T124" s="81" t="str">
        <f t="array" ref="T124">XLOOKUP(R124,telefonos_afiliados[numeros_loys],telefonos_afiliados[esta],"no esta",0,1)</f>
        <v>1</v>
      </c>
      <c r="U124" s="81" t="str">
        <f t="array" ref="U124">XLOOKUP(C124,datos_laborales[id:],datos_laborales[renuncio],"no dato",0,1)</f>
        <v>no dato</v>
      </c>
      <c r="V124" s="104"/>
      <c r="W124" s="78"/>
    </row>
    <row r="125" ht="15.75" customHeight="1">
      <c r="A125" s="79"/>
      <c r="B125" s="80"/>
      <c r="C125" s="88">
        <f>datos_personales[id:]</f>
        <v>23506497</v>
      </c>
      <c r="D125" s="88" t="str">
        <f t="array" ref="D125">XLOOKUP(C125,datos_laborales[clave_foranea],datos_laborales[Relacion de Dependencia],"dato no encontrado",0,1)</f>
        <v>Monotributista</v>
      </c>
      <c r="E125" s="80" t="str">
        <f t="array" ref="E125">XLOOKUP(C125,datos_delegados[clave_foranea:],datos_delegados[En Actividad]," ",0,1)</f>
        <v> </v>
      </c>
      <c r="F125" s="88" t="str">
        <f t="array" ref="F125">CONCATENATE(XLOOKUP(C125,datos_personales[id:],datos_personales[Apellido:],"no dato",0,1),", ",XLOOKUP(C125,datos_personales[id:],datos_personales[Nombre],"no dato",0,1))</f>
        <v>sartori,  carina alejandra </v>
      </c>
      <c r="G125" s="88">
        <f t="array" ref="G125">XLOOKUP(C125,datos_laborales[clave_foranea],datos_laborales[N° De Legajo],"no dato",0,1)</f>
        <v>1674</v>
      </c>
      <c r="H125" s="89">
        <f t="array" ref="H125">XLOOKUP(C125,datos_laborales[clave_foranea], datos_laborales[Inicio Actividad:],"no dato",0,1)</f>
        <v>43581</v>
      </c>
      <c r="I125" s="88">
        <f t="array" ref="I125">XLOOKUP(C125,datos_laborales[clave_foranea],datos_laborales[Años en Actividad:],"no dato",0,1)</f>
        <v>6</v>
      </c>
      <c r="J125" s="88">
        <f t="array" ref="J125">XLOOKUP(C125,datos_personales[id:],datos_personales[D.n.i:],"no dato",0,1)</f>
        <v>23506497</v>
      </c>
      <c r="K125" s="89">
        <f t="array" ref="K125">XLOOKUP(C125,datos_personales[id:],datos_personales[Fecha Nacimiento:],"no dato",0,1)</f>
        <v>27027</v>
      </c>
      <c r="L125" s="88">
        <f>COUNTIF(hijos!B:B,C125)</f>
        <v>2</v>
      </c>
      <c r="M125" s="90">
        <f>COUNTIFS(hijos!B:B,C125,hijos!I:I,1)</f>
        <v>0</v>
      </c>
      <c r="N125" s="91">
        <f>COUNTIFS(hijos!B:B,C125,hijos!J:J,1)</f>
        <v>0</v>
      </c>
      <c r="O125" s="91">
        <f>COUNTIFS(hijos!B:B,C125,hijos!K:K,1)</f>
        <v>0</v>
      </c>
      <c r="P125" s="91">
        <f>COUNTIFS(hijos!B:B,C125,hijos!L:L,1)</f>
        <v>1</v>
      </c>
      <c r="Q125" s="91">
        <f t="shared" si="1"/>
        <v>1</v>
      </c>
      <c r="R125" s="103">
        <f t="array" ref="R125">XLOOKUP(C125,datos_personales[id:],datos_personales[Tel. Contacto:],"no dato",0,1)</f>
        <v>1171661108</v>
      </c>
      <c r="S125" s="88" t="str">
        <f t="array" ref="S125">XLOOKUP(C125,datos_personales[id:],datos_personales[E-Mail:],"no dato",0,1)</f>
        <v>Carilula@hotmail.com</v>
      </c>
      <c r="T125" s="88" t="str">
        <f t="array" ref="T125">XLOOKUP(R125,telefonos_afiliados[numeros_loys],telefonos_afiliados[esta],"no esta",0,1)</f>
        <v>1</v>
      </c>
      <c r="U125" s="88" t="str">
        <f t="array" ref="U125">XLOOKUP(C125,datos_personales[id:],datos_laborales[renuncio],"no dato",0,1)</f>
        <v>#N/A</v>
      </c>
      <c r="V125" s="93">
        <f t="array" ref="V125">XLOOKUP(C125,datos_laborales[clave_foranea],datos_laborales[tiene_ficha_pdf],"no tiene ficha pdf",0,1)</f>
        <v>1</v>
      </c>
      <c r="W125" s="78"/>
    </row>
    <row r="126" ht="15.75" hidden="1" customHeight="1">
      <c r="A126" s="79"/>
      <c r="B126" s="80"/>
      <c r="C126" s="81">
        <f>datos_personales[id:]</f>
        <v>27621398</v>
      </c>
      <c r="D126" s="81" t="str">
        <f t="array" ref="D126">XLOOKUP(C126,datos_laborales[clave_foranea],datos_laborales[Relacion de Dependencia],"dato no encontrado",0,1)</f>
        <v>Monotributista</v>
      </c>
      <c r="E126" s="80" t="str">
        <f t="array" ref="E126">XLOOKUP(C126,datos_delegados[clave_foranea:],datos_delegados[En Actividad]," ",0,1)</f>
        <v> </v>
      </c>
      <c r="F126" s="81" t="str">
        <f t="array" ref="F126">CONCATENATE(XLOOKUP(C126,datos_personales[id:],datos_personales[Apellido:],"no dato",0,1),", ",XLOOKUP(C126,datos_personales[id:],datos_personales[Nombre],"no dato",0,1))</f>
        <v>siles,  romina leticia </v>
      </c>
      <c r="G126" s="81">
        <f t="array" ref="G126">XLOOKUP(C126,datos_laborales[clave_foranea],datos_laborales[N° De Legajo],"no dato",0,1)</f>
        <v>1665</v>
      </c>
      <c r="H126" s="82">
        <f t="array" ref="H126">XLOOKUP(C126,datos_laborales[clave_foranea], datos_laborales[Inicio Actividad:],"no dato",0,1)</f>
        <v>43570</v>
      </c>
      <c r="I126" s="81">
        <f t="array" ref="I126">XLOOKUP(C126,datos_laborales[clave_foranea],datos_laborales[Años en Actividad:],"no dato",0,1)</f>
        <v>6</v>
      </c>
      <c r="J126" s="81">
        <f t="array" ref="J126">XLOOKUP(C126,datos_personales[id:],datos_personales[D.n.i:],"no dato",0,1)</f>
        <v>27621398</v>
      </c>
      <c r="K126" s="82">
        <f t="array" ref="K126">XLOOKUP(C126,datos_personales[id:],datos_personales[Fecha Nacimiento:],"no dato",0,1)</f>
        <v>29196</v>
      </c>
      <c r="L126" s="81">
        <f>COUNTIF(hijos!B:B,C126)</f>
        <v>0</v>
      </c>
      <c r="M126" s="83">
        <f>COUNTIFS(hijos!B:B,C126,hijos!I:I,1)</f>
        <v>0</v>
      </c>
      <c r="N126" s="84">
        <f>COUNTIFS(hijos!B:B,C126,hijos!J:J,1)</f>
        <v>0</v>
      </c>
      <c r="O126" s="84">
        <f>COUNTIFS(hijos!B:B,C126,hijos!K:K,1)</f>
        <v>0</v>
      </c>
      <c r="P126" s="84">
        <f>COUNTIFS(hijos!B:B,C126,hijos!L:L,1)</f>
        <v>0</v>
      </c>
      <c r="Q126" s="84">
        <f t="shared" si="1"/>
        <v>0</v>
      </c>
      <c r="R126" s="85">
        <f t="array" ref="R126">XLOOKUP(C126,datos_personales[id:],datos_personales[Tel. Contacto:],"no dato",0,1)</f>
        <v>1168069316</v>
      </c>
      <c r="S126" s="81" t="str">
        <f t="array" ref="S126">XLOOKUP(C126,datos_personales[id:],datos_personales[E-Mail:],"no dato",0,1)</f>
        <v>rominasiles@hotmail.com </v>
      </c>
      <c r="T126" s="81" t="str">
        <f t="array" ref="T126">XLOOKUP(R126,telefonos_afiliados[numeros_loys],telefonos_afiliados[esta],"no esta",0,1)</f>
        <v>1</v>
      </c>
      <c r="U126" s="81" t="str">
        <f t="array" ref="U126">XLOOKUP(C126,datos_personales[id:],datos_laborales[renuncio],"no dato",0,1)</f>
        <v>#N/A</v>
      </c>
      <c r="V126" s="87" t="str">
        <f t="array" ref="V126">XLOOKUP(C126,datos_laborales[clave_foranea],datos_laborales[tiene_ficha_pdf],"no tiene ficha pdf",0,1)</f>
        <v>no tiene en pdf</v>
      </c>
      <c r="W126" s="78"/>
    </row>
    <row r="127" ht="15.75" hidden="1" customHeight="1">
      <c r="A127" s="79"/>
      <c r="B127" s="80"/>
      <c r="C127" s="94">
        <f>datos_personales[id:]</f>
        <v>31164406</v>
      </c>
      <c r="D127" s="94" t="str">
        <f t="array" ref="D127">XLOOKUP(C127,datos_laborales[clave_foranea],datos_laborales[Relacion de Dependencia],"dato no encontrado",0,1)</f>
        <v>Monotributista</v>
      </c>
      <c r="E127" s="94">
        <f t="array" ref="E127">XLOOKUP(C127,datos_delegados[clave_foranea:],datos_delegados[En Actividad]," ",0,1)</f>
        <v>1</v>
      </c>
      <c r="F127" s="94" t="str">
        <f t="array" ref="F127">CONCATENATE(XLOOKUP(C127,datos_personales[id:],datos_personales[Apellido:],"no dato",0,1),", ",XLOOKUP(C127,datos_personales[id:],datos_personales[Nombre],"no dato",0,1))</f>
        <v>silva,  claudia alejandra</v>
      </c>
      <c r="G127" s="94">
        <f t="array" ref="G127">XLOOKUP(C127,datos_laborales[clave_foranea],datos_laborales[N° De Legajo],"no dato",0,1)</f>
        <v>1746</v>
      </c>
      <c r="H127" s="95">
        <f t="array" ref="H127">XLOOKUP(C127,datos_laborales[clave_foranea], datos_laborales[Inicio Actividad:],"no dato",0,1)</f>
        <v>43678</v>
      </c>
      <c r="I127" s="94">
        <f t="array" ref="I127">XLOOKUP(C127,datos_laborales[clave_foranea],datos_laborales[Años en Actividad:],"no dato",0,1)</f>
        <v>6</v>
      </c>
      <c r="J127" s="94">
        <f t="array" ref="J127">XLOOKUP(C127,datos_personales[id:],datos_personales[D.n.i:],"no dato",0,1)</f>
        <v>31164406</v>
      </c>
      <c r="K127" s="95">
        <f t="array" ref="K127">XLOOKUP(C127,datos_personales[id:],datos_personales[Fecha Nacimiento:],"no dato",0,1)</f>
        <v>30902</v>
      </c>
      <c r="L127" s="94">
        <f>COUNTIF(hijos!B:B,C127)</f>
        <v>3</v>
      </c>
      <c r="M127" s="96">
        <f>COUNTIFS(hijos!B:B,C127,hijos!I:I,1)</f>
        <v>0</v>
      </c>
      <c r="N127" s="97">
        <f>COUNTIFS(hijos!B:B,C127,hijos!J:J,1)</f>
        <v>1</v>
      </c>
      <c r="O127" s="97">
        <f>COUNTIFS(hijos!B:B,C127,hijos!K:K,1)</f>
        <v>0</v>
      </c>
      <c r="P127" s="97">
        <f>COUNTIFS(hijos!B:B,C127,hijos!L:L,1)</f>
        <v>2</v>
      </c>
      <c r="Q127" s="97">
        <f t="shared" si="1"/>
        <v>3</v>
      </c>
      <c r="R127" s="94">
        <f t="array" ref="R127">XLOOKUP(C127,datos_personales[id:],datos_personales[Tel. Contacto:],"no dato",0,1)</f>
        <v>1154181283</v>
      </c>
      <c r="S127" s="94" t="str">
        <f t="array" ref="S127">XLOOKUP(C127,datos_personales[id:],datos_personales[E-Mail:],"no dato",0,1)</f>
        <v>claudiaalejandra-silva@hotmail.com</v>
      </c>
      <c r="T127" s="94" t="str">
        <f t="array" ref="T127">XLOOKUP(R127,telefonos_afiliados[numeros_loys],telefonos_afiliados[esta],"no esta",0,1)</f>
        <v>1</v>
      </c>
      <c r="U127" s="80"/>
      <c r="V127" s="104"/>
      <c r="W127" s="78"/>
    </row>
    <row r="128" ht="15.75" hidden="1" customHeight="1">
      <c r="A128" s="79"/>
      <c r="B128" s="80"/>
      <c r="C128" s="81">
        <f>datos_personales[id:]</f>
        <v>27767903</v>
      </c>
      <c r="D128" s="81" t="str">
        <f t="array" ref="D128">XLOOKUP(C128,datos_laborales[clave_foranea],datos_laborales[Relacion de Dependencia],"dato no encontrado",0,1)</f>
        <v>Monotributista</v>
      </c>
      <c r="E128" s="80" t="str">
        <f t="array" ref="E128">XLOOKUP(C128,datos_delegados[clave_foranea:],datos_delegados[En Actividad]," ",0,1)</f>
        <v> </v>
      </c>
      <c r="F128" s="81" t="str">
        <f t="array" ref="F128">CONCATENATE(XLOOKUP(C128,datos_personales[id:],datos_personales[Apellido:],"no dato",0,1),", ",XLOOKUP(C128,datos_personales[id:],datos_personales[Nombre],"no dato",0,1))</f>
        <v>sorbara,  mariana</v>
      </c>
      <c r="G128" s="81">
        <f t="array" ref="G128">XLOOKUP(C128,datos_laborales[clave_foranea],datos_laborales[N° De Legajo],"no dato",0,1)</f>
        <v>1239</v>
      </c>
      <c r="H128" s="82">
        <f t="array" ref="H128">XLOOKUP(C128,datos_laborales[clave_foranea], datos_laborales[Inicio Actividad:],"no dato",0,1)</f>
        <v>43136</v>
      </c>
      <c r="I128" s="81">
        <f t="array" ref="I128">XLOOKUP(C128,datos_laborales[clave_foranea],datos_laborales[Años en Actividad:],"no dato",0,1)</f>
        <v>7</v>
      </c>
      <c r="J128" s="81">
        <f t="array" ref="J128">XLOOKUP(C128,datos_personales[id:],datos_personales[D.n.i:],"no dato",0,1)</f>
        <v>27767903</v>
      </c>
      <c r="K128" s="82">
        <f t="array" ref="K128">XLOOKUP(C128,datos_personales[id:],datos_personales[Fecha Nacimiento:],"no dato",0,1)</f>
        <v>29175</v>
      </c>
      <c r="L128" s="81">
        <f>COUNTIF(hijos!B:B,C128)</f>
        <v>1</v>
      </c>
      <c r="M128" s="83">
        <f>COUNTIFS(hijos!B:B,C128,hijos!I:I,1)</f>
        <v>0</v>
      </c>
      <c r="N128" s="84">
        <f>COUNTIFS(hijos!B:B,C128,hijos!J:J,1)</f>
        <v>1</v>
      </c>
      <c r="O128" s="84">
        <f>COUNTIFS(hijos!B:B,C128,hijos!K:K,1)</f>
        <v>0</v>
      </c>
      <c r="P128" s="84">
        <f>COUNTIFS(hijos!B:B,C128,hijos!L:L,1)</f>
        <v>0</v>
      </c>
      <c r="Q128" s="84">
        <f t="shared" si="1"/>
        <v>1</v>
      </c>
      <c r="R128" s="81">
        <f t="array" ref="R128">XLOOKUP(C128,datos_personales[id:],datos_personales[Tel. Contacto:],"no dato",0,1)</f>
        <v>1169257796</v>
      </c>
      <c r="S128" s="81" t="str">
        <f t="array" ref="S128">XLOOKUP(C128,datos_personales[id:],datos_personales[E-Mail:],"no dato",0,1)</f>
        <v>m.sorbara@yahoo.com</v>
      </c>
      <c r="T128" s="81" t="str">
        <f t="array" ref="T128">XLOOKUP(R128,telefonos_afiliados[numeros_loys],telefonos_afiliados[esta],"no esta",0,1)</f>
        <v>no esta</v>
      </c>
      <c r="U128" s="80"/>
      <c r="V128" s="100" t="s">
        <v>1170</v>
      </c>
      <c r="W128" s="78"/>
    </row>
    <row r="129" ht="15.75" hidden="1" customHeight="1">
      <c r="A129" s="79"/>
      <c r="B129" s="80"/>
      <c r="C129" s="88">
        <f>datos_personales[id:]</f>
        <v>94087495</v>
      </c>
      <c r="D129" s="88" t="str">
        <f t="array" ref="D129">XLOOKUP(C129,datos_laborales[clave_foranea],datos_laborales[Relacion de Dependencia],"dato no encontrado",0,1)</f>
        <v>Monotributista</v>
      </c>
      <c r="E129" s="80" t="str">
        <f t="array" ref="E129">XLOOKUP(C129,datos_delegados[clave_foranea:],datos_delegados[En Actividad]," ",0,1)</f>
        <v> </v>
      </c>
      <c r="F129" s="88" t="str">
        <f t="array" ref="F129">CONCATENATE(XLOOKUP(C129,datos_personales[id:],datos_personales[Apellido:],"no dato",0,1),", ",XLOOKUP(C129,datos_personales[id:],datos_personales[Nombre],"no dato",0,1))</f>
        <v>sotomayor machado,  sandra</v>
      </c>
      <c r="G129" s="88">
        <f t="array" ref="G129">XLOOKUP(C129,datos_laborales[clave_foranea],datos_laborales[N° De Legajo],"no dato",0,1)</f>
        <v>1736</v>
      </c>
      <c r="H129" s="89">
        <f t="array" ref="H129">XLOOKUP(C129,datos_laborales[clave_foranea], datos_laborales[Inicio Actividad:],"no dato",0,1)</f>
        <v>43678</v>
      </c>
      <c r="I129" s="88">
        <f t="array" ref="I129">XLOOKUP(C129,datos_laborales[clave_foranea],datos_laborales[Años en Actividad:],"no dato",0,1)</f>
        <v>6</v>
      </c>
      <c r="J129" s="88">
        <f t="array" ref="J129">XLOOKUP(C129,datos_personales[id:],datos_personales[D.n.i:],"no dato",0,1)</f>
        <v>94087495</v>
      </c>
      <c r="K129" s="89">
        <f t="array" ref="K129">XLOOKUP(C129,datos_personales[id:],datos_personales[Fecha Nacimiento:],"no dato",0,1)</f>
        <v>44332</v>
      </c>
      <c r="L129" s="88">
        <f>COUNTIF(hijos!B:B,C129)</f>
        <v>1</v>
      </c>
      <c r="M129" s="90">
        <f>COUNTIFS(hijos!B:B,C129,hijos!I:I,1)</f>
        <v>0</v>
      </c>
      <c r="N129" s="91">
        <f>COUNTIFS(hijos!B:B,C129,hijos!J:J,1)</f>
        <v>0</v>
      </c>
      <c r="O129" s="91">
        <f>COUNTIFS(hijos!B:B,C129,hijos!K:K,1)</f>
        <v>1</v>
      </c>
      <c r="P129" s="91">
        <f>COUNTIFS(hijos!B:B,C129,hijos!L:L,1)</f>
        <v>0</v>
      </c>
      <c r="Q129" s="91">
        <f t="shared" si="1"/>
        <v>1</v>
      </c>
      <c r="R129" s="88">
        <f t="array" ref="R129">XLOOKUP(C129,datos_personales[id:],datos_personales[Tel. Contacto:],"no dato",0,1)</f>
        <v>1162777192</v>
      </c>
      <c r="S129" s="88" t="str">
        <f t="array" ref="S129">XLOOKUP(C129,datos_personales[id:],datos_personales[E-Mail:],"no dato",0,1)</f>
        <v>sabrina_031629@hotmail.com</v>
      </c>
      <c r="T129" s="88" t="str">
        <f t="array" ref="T129">XLOOKUP(R129,telefonos_afiliados[numeros_loys],telefonos_afiliados[esta],"no esta",0,1)</f>
        <v>1</v>
      </c>
      <c r="U129" s="80"/>
      <c r="V129" s="104"/>
      <c r="W129" s="78"/>
    </row>
    <row r="130" ht="15.75" hidden="1" customHeight="1">
      <c r="A130" s="79"/>
      <c r="B130" s="80"/>
      <c r="C130" s="81">
        <f>datos_personales[id:]</f>
        <v>25641513</v>
      </c>
      <c r="D130" s="81" t="str">
        <f t="array" ref="D130">XLOOKUP(C130,datos_laborales[clave_foranea],datos_laborales[Relacion de Dependencia],"dato no encontrado",0,1)</f>
        <v>Monotributista</v>
      </c>
      <c r="E130" s="80" t="str">
        <f t="array" ref="E130">XLOOKUP(C130,datos_delegados[clave_foranea:],datos_delegados[En Actividad]," ",0,1)</f>
        <v> </v>
      </c>
      <c r="F130" s="81" t="str">
        <f t="array" ref="F130">CONCATENATE(XLOOKUP(C130,datos_personales[id:],datos_personales[Apellido:],"no dato",0,1),", ",XLOOKUP(C130,datos_personales[id:],datos_personales[Nombre],"no dato",0,1))</f>
        <v>sterzel,  hernan</v>
      </c>
      <c r="G130" s="81">
        <f t="array" ref="G130">XLOOKUP(C130,datos_laborales[clave_foranea],datos_laborales[N° De Legajo],"no dato",0,1)</f>
        <v>189</v>
      </c>
      <c r="H130" s="82">
        <f t="array" ref="H130">XLOOKUP(C130,datos_laborales[clave_foranea], datos_laborales[Inicio Actividad:],"no dato",0,1)</f>
        <v>42705</v>
      </c>
      <c r="I130" s="81">
        <f t="array" ref="I130">XLOOKUP(C130,datos_laborales[clave_foranea],datos_laborales[Años en Actividad:],"no dato",0,1)</f>
        <v>9</v>
      </c>
      <c r="J130" s="81">
        <f t="array" ref="J130">XLOOKUP(C130,datos_personales[id:],datos_personales[D.n.i:],"no dato",0,1)</f>
        <v>25641513</v>
      </c>
      <c r="K130" s="82">
        <f t="array" ref="K130">XLOOKUP(C130,datos_personales[id:],datos_personales[Fecha Nacimiento:],"no dato",0,1)</f>
        <v>28054</v>
      </c>
      <c r="L130" s="81">
        <f>COUNTIF(hijos!B:B,C130)</f>
        <v>0</v>
      </c>
      <c r="M130" s="83">
        <f>COUNTIFS(hijos!B:B,C130,hijos!I:I,1)</f>
        <v>0</v>
      </c>
      <c r="N130" s="84">
        <f>COUNTIFS(hijos!B:B,C130,hijos!J:J,1)</f>
        <v>0</v>
      </c>
      <c r="O130" s="84">
        <f>COUNTIFS(hijos!B:B,C130,hijos!K:K,1)</f>
        <v>0</v>
      </c>
      <c r="P130" s="84">
        <f>COUNTIFS(hijos!B:B,C130,hijos!L:L,1)</f>
        <v>0</v>
      </c>
      <c r="Q130" s="84">
        <f t="shared" si="1"/>
        <v>0</v>
      </c>
      <c r="R130" s="81">
        <f t="array" ref="R130">XLOOKUP(C130,datos_personales[id:],datos_personales[Tel. Contacto:],"no dato",0,1)</f>
        <v>1136852591</v>
      </c>
      <c r="S130" s="81" t="str">
        <f t="array" ref="S130">XLOOKUP(C130,datos_personales[id:],datos_personales[E-Mail:],"no dato",0,1)</f>
        <v>hernansterzel01@gmail.com</v>
      </c>
      <c r="T130" s="81" t="str">
        <f t="array" ref="T130">XLOOKUP(R130,telefonos_afiliados[numeros_loys],telefonos_afiliados[esta],"no esta",0,1)</f>
        <v>no esta</v>
      </c>
      <c r="U130" s="81" t="str">
        <f t="array" ref="U130">XLOOKUP(C130,datos_laborales[id:],datos_laborales[renuncio],"no dato",0,1)</f>
        <v>no dato</v>
      </c>
      <c r="V130" s="104"/>
      <c r="W130" s="78"/>
    </row>
    <row r="131" ht="15.75" hidden="1" customHeight="1">
      <c r="A131" s="79"/>
      <c r="B131" s="80"/>
      <c r="C131" s="94">
        <f>datos_personales[id:]</f>
        <v>33250656</v>
      </c>
      <c r="D131" s="94" t="str">
        <f t="array" ref="D131">XLOOKUP(C131,datos_laborales[clave_foranea],datos_laborales[Relacion de Dependencia],"dato no encontrado",0,1)</f>
        <v>Planta Permanente</v>
      </c>
      <c r="E131" s="94">
        <f t="array" ref="E131">XLOOKUP(C131,datos_delegados[clave_foranea:],datos_delegados[En Actividad]," ",0,1)</f>
        <v>1</v>
      </c>
      <c r="F131" s="94" t="str">
        <f t="array" ref="F131">CONCATENATE(XLOOKUP(C131,datos_personales[id:],datos_personales[Apellido:],"no dato",0,1),", ",XLOOKUP(C131,datos_personales[id:],datos_personales[Nombre],"no dato",0,1))</f>
        <v>suarez,  cristian marcelo</v>
      </c>
      <c r="G131" s="94">
        <f t="array" ref="G131">XLOOKUP(C131,datos_laborales[clave_foranea],datos_laborales[N° De Legajo],"no dato",0,1)</f>
        <v>260</v>
      </c>
      <c r="H131" s="95">
        <f t="array" ref="H131">XLOOKUP(C131,datos_laborales[clave_foranea], datos_laborales[Inicio Actividad:],"no dato",0,1)</f>
        <v>42795</v>
      </c>
      <c r="I131" s="94">
        <f t="array" ref="I131">XLOOKUP(C131,datos_laborales[clave_foranea],datos_laborales[Años en Actividad:],"no dato",0,1)</f>
        <v>8</v>
      </c>
      <c r="J131" s="94">
        <f t="array" ref="J131">XLOOKUP(C131,datos_personales[id:],datos_personales[D.n.i:],"no dato",0,1)</f>
        <v>33250656</v>
      </c>
      <c r="K131" s="95">
        <f t="array" ref="K131">XLOOKUP(C131,datos_personales[id:],datos_personales[Fecha Nacimiento:],"no dato",0,1)</f>
        <v>32216</v>
      </c>
      <c r="L131" s="94">
        <f>COUNTIF(hijos!B:B,C131)</f>
        <v>0</v>
      </c>
      <c r="M131" s="96">
        <f>COUNTIFS(hijos!B:B,C131,hijos!I:I,1)</f>
        <v>0</v>
      </c>
      <c r="N131" s="97">
        <f>COUNTIFS(hijos!B:B,C131,hijos!J:J,1)</f>
        <v>0</v>
      </c>
      <c r="O131" s="97">
        <f>COUNTIFS(hijos!B:B,C131,hijos!K:K,1)</f>
        <v>0</v>
      </c>
      <c r="P131" s="97">
        <f>COUNTIFS(hijos!B:B,C131,hijos!L:L,1)</f>
        <v>0</v>
      </c>
      <c r="Q131" s="97">
        <f t="shared" si="1"/>
        <v>0</v>
      </c>
      <c r="R131" s="94">
        <f t="array" ref="R131">XLOOKUP(C131,datos_personales[id:],datos_personales[Tel. Contacto:],"no dato",0,1)</f>
        <v>1138308481</v>
      </c>
      <c r="S131" s="94" t="str">
        <f t="array" ref="S131">XLOOKUP(C131,datos_personales[id:],datos_personales[E-Mail:],"no dato",0,1)</f>
        <v>Kitly88@gmail.com</v>
      </c>
      <c r="T131" s="94" t="str">
        <f t="array" ref="T131">XLOOKUP(R131,telefonos_afiliados[numeros_loys],telefonos_afiliados[esta],"no esta",0,1)</f>
        <v>1</v>
      </c>
      <c r="U131" s="94" t="str">
        <f t="array" ref="U131">XLOOKUP(C131,datos_laborales[id:],datos_laborales[renuncio],"no dato",0,1)</f>
        <v>no dato</v>
      </c>
      <c r="V131" s="104"/>
      <c r="W131" s="78"/>
    </row>
    <row r="132" ht="15.75" hidden="1" customHeight="1">
      <c r="A132" s="79"/>
      <c r="B132" s="80"/>
      <c r="C132" s="81">
        <f>datos_personales[id:]</f>
        <v>37350704</v>
      </c>
      <c r="D132" s="81" t="str">
        <f t="array" ref="D132">XLOOKUP(C132,datos_laborales[clave_foranea],datos_laborales[Relacion de Dependencia],"dato no encontrado",0,1)</f>
        <v>Planta Permanente</v>
      </c>
      <c r="E132" s="80" t="str">
        <f t="array" ref="E132">XLOOKUP(C132,datos_delegados[clave_foranea:],datos_delegados[En Actividad]," ",0,1)</f>
        <v> </v>
      </c>
      <c r="F132" s="81" t="str">
        <f t="array" ref="F132">CONCATENATE(XLOOKUP(C132,datos_personales[id:],datos_personales[Apellido:],"no dato",0,1),", ",XLOOKUP(C132,datos_personales[id:],datos_personales[Nombre],"no dato",0,1))</f>
        <v>torres,  rodrigo</v>
      </c>
      <c r="G132" s="80" t="str">
        <f t="array" ref="G132">XLOOKUP(C132,datos_laborales[clave_foranea],datos_laborales[N° De Legajo],"no dato",0,1)</f>
        <v/>
      </c>
      <c r="H132" s="106" t="str">
        <f t="array" ref="H132">XLOOKUP(C132,datos_laborales[clave_foranea], datos_laborales[Inicio Actividad:],"no dato",0,1)</f>
        <v/>
      </c>
      <c r="I132" s="81">
        <f t="array" ref="I132">XLOOKUP(C132,datos_laborales[clave_foranea],datos_laborales[Años en Actividad:],"no dato",0,1)</f>
        <v>126</v>
      </c>
      <c r="J132" s="81">
        <f t="array" ref="J132">XLOOKUP(C132,datos_personales[id:],datos_personales[D.n.i:],"no dato",0,1)</f>
        <v>37350704</v>
      </c>
      <c r="K132" s="106" t="str">
        <f t="array" ref="K132">XLOOKUP(C132,datos_personales[id:],datos_personales[Fecha Nacimiento:],"no dato",0,1)</f>
        <v/>
      </c>
      <c r="L132" s="81">
        <f>COUNTIF(hijos!B:B,C132)</f>
        <v>0</v>
      </c>
      <c r="M132" s="83">
        <f>COUNTIFS(hijos!B:B,C132,hijos!I:I,1)</f>
        <v>0</v>
      </c>
      <c r="N132" s="84">
        <f>COUNTIFS(hijos!B:B,C132,hijos!J:J,1)</f>
        <v>0</v>
      </c>
      <c r="O132" s="84">
        <f>COUNTIFS(hijos!B:B,C132,hijos!K:K,1)</f>
        <v>0</v>
      </c>
      <c r="P132" s="84">
        <f>COUNTIFS(hijos!B:B,C132,hijos!L:L,1)</f>
        <v>0</v>
      </c>
      <c r="Q132" s="84">
        <f t="shared" si="1"/>
        <v>0</v>
      </c>
      <c r="R132" s="92" t="str">
        <f t="array" ref="R132">XLOOKUP(C132,datos_personales[id:],datos_personales[Tel. Contacto:],"no dato",0,1)</f>
        <v/>
      </c>
      <c r="S132" s="80" t="str">
        <f t="array" ref="S132">XLOOKUP(C132,datos_personales[id:],datos_personales[E-Mail:],"no dato",0,1)</f>
        <v/>
      </c>
      <c r="T132" s="81" t="str">
        <f t="array" ref="T132">XLOOKUP(R132,telefonos_afiliados[numeros_loys],telefonos_afiliados[esta],"no esta",0,1)</f>
        <v>no esta</v>
      </c>
      <c r="U132" s="81" t="str">
        <f t="array" ref="U132">XLOOKUP(C132,datos_laborales[id:],datos_laborales[renuncio],"no dato",0,1)</f>
        <v>no dato</v>
      </c>
      <c r="V132" s="104"/>
      <c r="W132" s="78"/>
    </row>
    <row r="133" ht="15.75" hidden="1" customHeight="1">
      <c r="A133" s="79"/>
      <c r="B133" s="80"/>
      <c r="C133" s="88">
        <f>datos_personales[id:]</f>
        <v>38620090</v>
      </c>
      <c r="D133" s="88" t="str">
        <f t="array" ref="D133">XLOOKUP(C133,datos_laborales[clave_foranea],datos_laborales[Relacion de Dependencia],"dato no encontrado",0,1)</f>
        <v>Monotributista</v>
      </c>
      <c r="E133" s="80" t="str">
        <f t="array" ref="E133">XLOOKUP(C133,datos_delegados[clave_foranea:],datos_delegados[En Actividad]," ",0,1)</f>
        <v> </v>
      </c>
      <c r="F133" s="88" t="str">
        <f t="array" ref="F133">CONCATENATE(XLOOKUP(C133,datos_personales[id:],datos_personales[Apellido:],"no dato",0,1),", ",XLOOKUP(C133,datos_personales[id:],datos_personales[Nombre],"no dato",0,1))</f>
        <v>turza,  francisco</v>
      </c>
      <c r="G133" s="80" t="str">
        <f t="array" ref="G133">XLOOKUP(C133,datos_laborales[clave_foranea],datos_laborales[N° De Legajo],"no dato",0,1)</f>
        <v/>
      </c>
      <c r="H133" s="106" t="str">
        <f t="array" ref="H133">XLOOKUP(C133,datos_laborales[clave_foranea], datos_laborales[Inicio Actividad:],"no dato",0,1)</f>
        <v/>
      </c>
      <c r="I133" s="88">
        <f t="array" ref="I133">XLOOKUP(C133,datos_laborales[clave_foranea],datos_laborales[Años en Actividad:],"no dato",0,1)</f>
        <v>126</v>
      </c>
      <c r="J133" s="88">
        <f t="array" ref="J133">XLOOKUP(C133,datos_personales[id:],datos_personales[D.n.i:],"no dato",0,1)</f>
        <v>38620090</v>
      </c>
      <c r="K133" s="106" t="str">
        <f t="array" ref="K133">XLOOKUP(C133,datos_personales[id:],datos_personales[Fecha Nacimiento:],"no dato",0,1)</f>
        <v/>
      </c>
      <c r="L133" s="88">
        <f>COUNTIF(hijos!B:B,C133)</f>
        <v>0</v>
      </c>
      <c r="M133" s="90">
        <f>COUNTIFS(hijos!B:B,C133,hijos!I:I,1)</f>
        <v>0</v>
      </c>
      <c r="N133" s="91">
        <f>COUNTIFS(hijos!B:B,C133,hijos!J:J,1)</f>
        <v>0</v>
      </c>
      <c r="O133" s="91">
        <f>COUNTIFS(hijos!B:B,C133,hijos!K:K,1)</f>
        <v>0</v>
      </c>
      <c r="P133" s="91">
        <f>COUNTIFS(hijos!B:B,C133,hijos!L:L,1)</f>
        <v>0</v>
      </c>
      <c r="Q133" s="91">
        <f t="shared" si="1"/>
        <v>0</v>
      </c>
      <c r="R133" s="80" t="str">
        <f t="array" ref="R133">XLOOKUP(C133,datos_personales[id:],datos_personales[Tel. Contacto:],"no dato",0,1)</f>
        <v/>
      </c>
      <c r="S133" s="80" t="str">
        <f t="array" ref="S133">XLOOKUP(C133,datos_personales[id:],datos_personales[E-Mail:],"no dato",0,1)</f>
        <v/>
      </c>
      <c r="T133" s="88" t="str">
        <f t="array" ref="T133">XLOOKUP(R133,telefonos_afiliados[numeros_loys],telefonos_afiliados[esta],"no esta",0,1)</f>
        <v>no esta</v>
      </c>
      <c r="U133" s="80"/>
      <c r="V133" s="104"/>
      <c r="W133" s="78"/>
    </row>
    <row r="134" ht="15.75" customHeight="1">
      <c r="A134" s="79"/>
      <c r="B134" s="80"/>
      <c r="C134" s="81">
        <f>datos_personales[id:]</f>
        <v>28683156</v>
      </c>
      <c r="D134" s="81" t="str">
        <f t="array" ref="D134">XLOOKUP(C134,datos_laborales[clave_foranea],datos_laborales[Relacion de Dependencia],"dato no encontrado",0,1)</f>
        <v>Monotributista</v>
      </c>
      <c r="E134" s="80" t="str">
        <f t="array" ref="E134">XLOOKUP(C134,datos_delegados[clave_foranea:],datos_delegados[En Actividad]," ",0,1)</f>
        <v> </v>
      </c>
      <c r="F134" s="81" t="str">
        <f t="array" ref="F134">CONCATENATE(XLOOKUP(C134,datos_personales[id:],datos_personales[Apellido:],"no dato",0,1),", ",XLOOKUP(C134,datos_personales[id:],datos_personales[Nombre],"no dato",0,1))</f>
        <v>uriarte,  romina maría lujan </v>
      </c>
      <c r="G134" s="81">
        <f t="array" ref="G134">XLOOKUP(C134,datos_laborales[clave_foranea],datos_laborales[N° De Legajo],"no dato",0,1)</f>
        <v>1065</v>
      </c>
      <c r="H134" s="82">
        <f t="array" ref="H134">XLOOKUP(C134,datos_laborales[clave_foranea], datos_laborales[Inicio Actividad:],"no dato",0,1)</f>
        <v>42948</v>
      </c>
      <c r="I134" s="81">
        <f t="array" ref="I134">XLOOKUP(C134,datos_laborales[clave_foranea],datos_laborales[Años en Actividad:],"no dato",0,1)</f>
        <v>8</v>
      </c>
      <c r="J134" s="81">
        <f t="array" ref="J134">XLOOKUP(C134,datos_personales[id:],datos_personales[D.n.i:],"no dato",0,1)</f>
        <v>28683156</v>
      </c>
      <c r="K134" s="82">
        <f t="array" ref="K134">XLOOKUP(C134,datos_personales[id:],datos_personales[Fecha Nacimiento:],"no dato",0,1)</f>
        <v>29620</v>
      </c>
      <c r="L134" s="81">
        <f>COUNTIF(hijos!B:B,C134)</f>
        <v>2</v>
      </c>
      <c r="M134" s="83">
        <f>COUNTIFS(hijos!B:B,C134,hijos!I:I,1)</f>
        <v>0</v>
      </c>
      <c r="N134" s="84">
        <f>COUNTIFS(hijos!B:B,C134,hijos!J:J,1)</f>
        <v>0</v>
      </c>
      <c r="O134" s="84">
        <f>COUNTIFS(hijos!B:B,C134,hijos!K:K,1)</f>
        <v>0</v>
      </c>
      <c r="P134" s="84">
        <f>COUNTIFS(hijos!B:B,C134,hijos!L:L,1)</f>
        <v>1</v>
      </c>
      <c r="Q134" s="84">
        <f t="shared" si="1"/>
        <v>1</v>
      </c>
      <c r="R134" s="85">
        <f t="array" ref="R134">XLOOKUP(C134,datos_personales[id:],datos_personales[Tel. Contacto:],"no dato",0,1)</f>
        <v>1156952628</v>
      </c>
      <c r="S134" s="81" t="str">
        <f t="array" ref="S134">XLOOKUP(C134,datos_personales[id:],datos_personales[E-Mail:],"no dato",0,1)</f>
        <v>romina.uriarte@hotmail.com</v>
      </c>
      <c r="T134" s="81" t="str">
        <f t="array" ref="T134">XLOOKUP(R134,telefonos_afiliados[numeros_loys],telefonos_afiliados[esta],"no esta",0,1)</f>
        <v>1</v>
      </c>
      <c r="U134" s="81" t="str">
        <f t="array" ref="U134">XLOOKUP(C134,datos_laborales[id:],datos_laborales[renuncio],"no dato",0,1)</f>
        <v>no dato</v>
      </c>
      <c r="V134" s="87">
        <f t="array" ref="V134">XLOOKUP(C134,datos_laborales[clave_foranea],datos_laborales[tiene_ficha_pdf],"no tiene ficha pdf",0,1)</f>
        <v>1</v>
      </c>
      <c r="W134" s="78"/>
    </row>
    <row r="135" ht="15.75" hidden="1" customHeight="1">
      <c r="A135" s="79"/>
      <c r="B135" s="80"/>
      <c r="C135" s="88">
        <f>datos_personales[id:]</f>
        <v>40971880</v>
      </c>
      <c r="D135" s="88" t="str">
        <f t="array" ref="D135">XLOOKUP(C135,datos_laborales[clave_foranea],datos_laborales[Relacion de Dependencia],"dato no encontrado",0,1)</f>
        <v>Monotributista</v>
      </c>
      <c r="E135" s="80" t="str">
        <f t="array" ref="E135">XLOOKUP(C135,datos_delegados[clave_foranea:],datos_delegados[En Actividad]," ",0,1)</f>
        <v> </v>
      </c>
      <c r="F135" s="88" t="str">
        <f t="array" ref="F135">CONCATENATE(XLOOKUP(C135,datos_personales[id:],datos_personales[Apellido:],"no dato",0,1),", ",XLOOKUP(C135,datos_personales[id:],datos_personales[Nombre],"no dato",0,1))</f>
        <v>vallejos,  cristian adrian</v>
      </c>
      <c r="G135" s="88">
        <f t="array" ref="G135">XLOOKUP(C135,datos_laborales[clave_foranea],datos_laborales[N° De Legajo],"no dato",0,1)</f>
        <v>2379</v>
      </c>
      <c r="H135" s="106" t="str">
        <f t="array" ref="H135">XLOOKUP(C135,datos_laborales[clave_foranea], datos_laborales[Inicio Actividad:],"no dato",0,1)</f>
        <v/>
      </c>
      <c r="I135" s="88">
        <f t="array" ref="I135">XLOOKUP(C135,datos_laborales[clave_foranea],datos_laborales[Años en Actividad:],"no dato",0,1)</f>
        <v>126</v>
      </c>
      <c r="J135" s="88">
        <f t="array" ref="J135">XLOOKUP(C135,datos_personales[id:],datos_personales[D.n.i:],"no dato",0,1)</f>
        <v>40971880</v>
      </c>
      <c r="K135" s="89">
        <f t="array" ref="K135">XLOOKUP(C135,datos_personales[id:],datos_personales[Fecha Nacimiento:],"no dato",0,1)</f>
        <v>35841</v>
      </c>
      <c r="L135" s="88">
        <f>COUNTIF(hijos!B:B,C135)</f>
        <v>0</v>
      </c>
      <c r="M135" s="90">
        <f>COUNTIFS(hijos!B:B,C135,hijos!I:I,1)</f>
        <v>0</v>
      </c>
      <c r="N135" s="91">
        <f>COUNTIFS(hijos!B:B,C135,hijos!J:J,1)</f>
        <v>0</v>
      </c>
      <c r="O135" s="91">
        <f>COUNTIFS(hijos!B:B,C135,hijos!K:K,1)</f>
        <v>0</v>
      </c>
      <c r="P135" s="91">
        <f>COUNTIFS(hijos!B:B,C135,hijos!L:L,1)</f>
        <v>0</v>
      </c>
      <c r="Q135" s="91">
        <f t="shared" si="1"/>
        <v>0</v>
      </c>
      <c r="R135" s="103">
        <f t="array" ref="R135">XLOOKUP(C135,datos_personales[id:],datos_personales[Tel. Contacto:],"no dato",0,1)</f>
        <v>1131986776</v>
      </c>
      <c r="S135" s="88" t="str">
        <f t="array" ref="S135">XLOOKUP(C135,datos_personales[id:],datos_personales[E-Mail:],"no dato",0,1)</f>
        <v>vallejoscristianadrian@gmail.com</v>
      </c>
      <c r="T135" s="88" t="str">
        <f t="array" ref="T135">XLOOKUP(R135,telefonos_afiliados[numeros_loys],telefonos_afiliados[esta],"no esta",0,1)</f>
        <v>no esta</v>
      </c>
      <c r="U135" s="88" t="str">
        <f t="array" ref="U135">XLOOKUP(C135,datos_personales[id:],datos_laborales[renuncio],"no dato",0,1)</f>
        <v>#N/A</v>
      </c>
      <c r="V135" s="93">
        <f t="array" ref="V135">XLOOKUP(C135,datos_laborales[clave_foranea],datos_laborales[tiene_ficha_pdf],"no tiene ficha pdf",0,1)</f>
        <v>1</v>
      </c>
      <c r="W135" s="78"/>
    </row>
    <row r="136" ht="15.75" hidden="1" customHeight="1">
      <c r="A136" s="79"/>
      <c r="B136" s="80"/>
      <c r="C136" s="81">
        <f>datos_personales[id:]</f>
        <v>23696368</v>
      </c>
      <c r="D136" s="81" t="str">
        <f t="array" ref="D136">XLOOKUP(C136,datos_laborales[clave_foranea],datos_laborales[Relacion de Dependencia],"dato no encontrado",0,1)</f>
        <v>Monotributista</v>
      </c>
      <c r="E136" s="80" t="str">
        <f t="array" ref="E136">XLOOKUP(C136,datos_delegados[clave_foranea:],datos_delegados[En Actividad]," ",0,1)</f>
        <v> </v>
      </c>
      <c r="F136" s="81" t="str">
        <f t="array" ref="F136">CONCATENATE(XLOOKUP(C136,datos_personales[id:],datos_personales[Apellido:],"no dato",0,1),", ",XLOOKUP(C136,datos_personales[id:],datos_personales[Nombre],"no dato",0,1))</f>
        <v>vertz,  carina alejandra</v>
      </c>
      <c r="G136" s="81">
        <f t="array" ref="G136">XLOOKUP(C136,datos_laborales[clave_foranea],datos_laborales[N° De Legajo],"no dato",0,1)</f>
        <v>3240</v>
      </c>
      <c r="H136" s="82">
        <f t="array" ref="H136">XLOOKUP(C136,datos_laborales[clave_foranea], datos_laborales[Inicio Actividad:],"no dato",0,1)</f>
        <v>45138</v>
      </c>
      <c r="I136" s="81">
        <f t="array" ref="I136">XLOOKUP(C136,datos_laborales[clave_foranea],datos_laborales[Años en Actividad:],"no dato",0,1)</f>
        <v>2</v>
      </c>
      <c r="J136" s="81">
        <f t="array" ref="J136">XLOOKUP(C136,datos_personales[id:],datos_personales[D.n.i:],"no dato",0,1)</f>
        <v>23696368</v>
      </c>
      <c r="K136" s="82">
        <f t="array" ref="K136">XLOOKUP(C136,datos_personales[id:],datos_personales[Fecha Nacimiento:],"no dato",0,1)</f>
        <v>27092</v>
      </c>
      <c r="L136" s="81">
        <f>COUNTIF(hijos!B:B,C136)</f>
        <v>1</v>
      </c>
      <c r="M136" s="83">
        <f>COUNTIFS(hijos!B:B,C136,hijos!I:I,1)</f>
        <v>0</v>
      </c>
      <c r="N136" s="84">
        <f>COUNTIFS(hijos!B:B,C136,hijos!J:J,1)</f>
        <v>0</v>
      </c>
      <c r="O136" s="84">
        <f>COUNTIFS(hijos!B:B,C136,hijos!K:K,1)</f>
        <v>0</v>
      </c>
      <c r="P136" s="84">
        <f>COUNTIFS(hijos!B:B,C136,hijos!L:L,1)</f>
        <v>1</v>
      </c>
      <c r="Q136" s="84">
        <f t="shared" si="1"/>
        <v>1</v>
      </c>
      <c r="R136" s="92" t="str">
        <f t="array" ref="R136">XLOOKUP(C136,datos_personales[id:],datos_personales[Tel. Contacto:],"no dato",0,1)</f>
        <v/>
      </c>
      <c r="S136" s="81" t="str">
        <f t="array" ref="S136">XLOOKUP(C136,datos_personales[id:],datos_personales[E-Mail:],"no dato",0,1)</f>
        <v>vertz.carina.3@gmail.com</v>
      </c>
      <c r="T136" s="81" t="str">
        <f t="array" ref="T136">XLOOKUP(R136,telefonos_afiliados[numeros_loys],telefonos_afiliados[esta],"no esta",0,1)</f>
        <v>no esta</v>
      </c>
      <c r="U136" s="81" t="str">
        <f t="array" ref="U136">XLOOKUP(C136,datos_personales[id:],datos_laborales[renuncio],"no dato",0,1)</f>
        <v>#N/A</v>
      </c>
      <c r="V136" s="87" t="str">
        <f t="array" ref="V136">XLOOKUP(C136,datos_laborales[clave_foranea],datos_laborales[tiene_ficha_pdf],"no tiene ficha pdf",0,1)</f>
        <v>no tiene en pdf</v>
      </c>
      <c r="W136" s="78"/>
    </row>
    <row r="137" ht="15.75" hidden="1" customHeight="1">
      <c r="A137" s="79"/>
      <c r="B137" s="80"/>
      <c r="C137" s="88">
        <f>datos_personales[id:]</f>
        <v>37217593</v>
      </c>
      <c r="D137" s="88" t="str">
        <f t="array" ref="D137">XLOOKUP(C137,datos_laborales[clave_foranea],datos_laborales[Relacion de Dependencia],"dato no encontrado",0,1)</f>
        <v>Monotributista</v>
      </c>
      <c r="E137" s="80" t="str">
        <f t="array" ref="E137">XLOOKUP(C137,datos_delegados[clave_foranea:],datos_delegados[En Actividad]," ",0,1)</f>
        <v> </v>
      </c>
      <c r="F137" s="88" t="str">
        <f t="array" ref="F137">CONCATENATE(XLOOKUP(C137,datos_personales[id:],datos_personales[Apellido:],"no dato",0,1),", ",XLOOKUP(C137,datos_personales[id:],datos_personales[Nombre],"no dato",0,1))</f>
        <v>vitadello,  milena ayelen</v>
      </c>
      <c r="G137" s="88">
        <f t="array" ref="G137">XLOOKUP(C137,datos_laborales[clave_foranea],datos_laborales[N° De Legajo],"no dato",0,1)</f>
        <v>3242</v>
      </c>
      <c r="H137" s="106" t="str">
        <f t="array" ref="H137">XLOOKUP(C137,datos_laborales[clave_foranea], datos_laborales[Inicio Actividad:],"no dato",0,1)</f>
        <v/>
      </c>
      <c r="I137" s="88">
        <f t="array" ref="I137">XLOOKUP(C137,datos_laborales[clave_foranea],datos_laborales[Años en Actividad:],"no dato",0,1)</f>
        <v>126</v>
      </c>
      <c r="J137" s="88">
        <f t="array" ref="J137">XLOOKUP(C137,datos_personales[id:],datos_personales[D.n.i:],"no dato",0,1)</f>
        <v>37217593</v>
      </c>
      <c r="K137" s="89">
        <f t="array" ref="K137">XLOOKUP(C137,datos_personales[id:],datos_personales[Fecha Nacimiento:],"no dato",0,1)</f>
        <v>33951</v>
      </c>
      <c r="L137" s="88">
        <f>COUNTIF(hijos!B:B,C137)</f>
        <v>0</v>
      </c>
      <c r="M137" s="90">
        <f>COUNTIFS(hijos!B:B,C137,hijos!I:I,1)</f>
        <v>0</v>
      </c>
      <c r="N137" s="91">
        <f>COUNTIFS(hijos!B:B,C137,hijos!J:J,1)</f>
        <v>0</v>
      </c>
      <c r="O137" s="91">
        <f>COUNTIFS(hijos!B:B,C137,hijos!K:K,1)</f>
        <v>0</v>
      </c>
      <c r="P137" s="91">
        <f>COUNTIFS(hijos!B:B,C137,hijos!L:L,1)</f>
        <v>0</v>
      </c>
      <c r="Q137" s="91">
        <f t="shared" si="1"/>
        <v>0</v>
      </c>
      <c r="R137" s="88">
        <f t="array" ref="R137">XLOOKUP(C137,datos_personales[id:],datos_personales[Tel. Contacto:],"no dato",0,1)</f>
        <v>1134455593</v>
      </c>
      <c r="S137" s="88" t="str">
        <f t="array" ref="S137">XLOOKUP(C137,datos_personales[id:],datos_personales[E-Mail:],"no dato",0,1)</f>
        <v>milvitaa22@gmail.com</v>
      </c>
      <c r="T137" s="88" t="str">
        <f t="array" ref="T137">XLOOKUP(R137,telefonos_afiliados[numeros_loys],telefonos_afiliados[esta],"no esta",0,1)</f>
        <v>no esta</v>
      </c>
      <c r="U137" s="80"/>
      <c r="V137" s="104"/>
      <c r="W137" s="78"/>
    </row>
    <row r="138" ht="15.75" hidden="1" customHeight="1">
      <c r="A138" s="79"/>
      <c r="B138" s="80"/>
      <c r="C138" s="81">
        <f>datos_personales[id:]</f>
        <v>93895929</v>
      </c>
      <c r="D138" s="81" t="str">
        <f t="array" ref="D138">XLOOKUP(C138,datos_laborales[clave_foranea],datos_laborales[Relacion de Dependencia],"dato no encontrado",0,1)</f>
        <v>Monotributista</v>
      </c>
      <c r="E138" s="80" t="str">
        <f t="array" ref="E138">XLOOKUP(C138,datos_delegados[clave_foranea:],datos_delegados[En Actividad]," ",0,1)</f>
        <v> </v>
      </c>
      <c r="F138" s="81" t="str">
        <f t="array" ref="F138">CONCATENATE(XLOOKUP(C138,datos_personales[id:],datos_personales[Apellido:],"no dato",0,1),", ",XLOOKUP(C138,datos_personales[id:],datos_personales[Nombre],"no dato",0,1))</f>
        <v>virreira,  pedro </v>
      </c>
      <c r="G138" s="81">
        <f t="array" ref="G138">XLOOKUP(C138,datos_laborales[clave_foranea],datos_laborales[N° De Legajo],"no dato",0,1)</f>
        <v>1150</v>
      </c>
      <c r="H138" s="82">
        <f t="array" ref="H138">XLOOKUP(C138,datos_laborales[clave_foranea], datos_laborales[Inicio Actividad:],"no dato",0,1)</f>
        <v>42948</v>
      </c>
      <c r="I138" s="81">
        <f t="array" ref="I138">XLOOKUP(C138,datos_laborales[clave_foranea],datos_laborales[Años en Actividad:],"no dato",0,1)</f>
        <v>8</v>
      </c>
      <c r="J138" s="81">
        <f t="array" ref="J138">XLOOKUP(C138,datos_personales[id:],datos_personales[D.n.i:],"no dato",0,1)</f>
        <v>93895929</v>
      </c>
      <c r="K138" s="82">
        <f t="array" ref="K138">XLOOKUP(C138,datos_personales[id:],datos_personales[Fecha Nacimiento:],"no dato",0,1)</f>
        <v>33072</v>
      </c>
      <c r="L138" s="81">
        <f>COUNTIF(hijos!B:B,C138)</f>
        <v>1</v>
      </c>
      <c r="M138" s="83">
        <f>COUNTIFS(hijos!B:B,C138,hijos!I:I,1)</f>
        <v>1</v>
      </c>
      <c r="N138" s="84">
        <f>COUNTIFS(hijos!B:B,C138,hijos!J:J,1)</f>
        <v>0</v>
      </c>
      <c r="O138" s="84">
        <f>COUNTIFS(hijos!B:B,C138,hijos!K:K,1)</f>
        <v>0</v>
      </c>
      <c r="P138" s="84">
        <f>COUNTIFS(hijos!B:B,C138,hijos!L:L,1)</f>
        <v>0</v>
      </c>
      <c r="Q138" s="84">
        <f t="shared" si="1"/>
        <v>1</v>
      </c>
      <c r="R138" s="92" t="str">
        <f t="array" ref="R138">XLOOKUP(C138,datos_personales[id:],datos_personales[Tel. Contacto:],"no dato",0,1)</f>
        <v/>
      </c>
      <c r="S138" s="81" t="str">
        <f t="array" ref="S138">XLOOKUP(C138,datos_personales[id:],datos_personales[E-Mail:],"no dato",0,1)</f>
        <v>Pedro_virreira@hotmail.com</v>
      </c>
      <c r="T138" s="81" t="str">
        <f t="array" ref="T138">XLOOKUP(R138,telefonos_afiliados[numeros_loys],telefonos_afiliados[esta],"no esta",0,1)</f>
        <v>no esta</v>
      </c>
      <c r="U138" s="81" t="str">
        <f t="array" ref="U138">XLOOKUP(C138,datos_laborales[id:],datos_laborales[renuncio],"no dato",0,1)</f>
        <v>no dato</v>
      </c>
      <c r="V138" s="87" t="str">
        <f t="array" ref="V138">XLOOKUP(C138,datos_laborales[clave_foranea],datos_laborales[tiene_ficha_pdf],"no tiene ficha pdf",0,1)</f>
        <v>no tiene en pdf</v>
      </c>
      <c r="W138" s="78"/>
    </row>
    <row r="139" ht="15.75" hidden="1" customHeight="1">
      <c r="A139" s="79"/>
      <c r="B139" s="80"/>
      <c r="C139" s="88">
        <f>datos_personales[id:]</f>
        <v>33789655</v>
      </c>
      <c r="D139" s="88" t="str">
        <f t="array" ref="D139">XLOOKUP(C139,datos_laborales[clave_foranea],datos_laborales[Relacion de Dependencia],"dato no encontrado",0,1)</f>
        <v>Monotributista</v>
      </c>
      <c r="E139" s="80" t="str">
        <f t="array" ref="E139">XLOOKUP(C139,datos_delegados[clave_foranea:],datos_delegados[En Actividad]," ",0,1)</f>
        <v> </v>
      </c>
      <c r="F139" s="88" t="str">
        <f t="array" ref="F139">CONCATENATE(XLOOKUP(C139,datos_personales[id:],datos_personales[Apellido:],"no dato",0,1),", ",XLOOKUP(C139,datos_personales[id:],datos_personales[Nombre],"no dato",0,1))</f>
        <v>zegarra,  alarcon mariano salvador</v>
      </c>
      <c r="G139" s="88">
        <f t="array" ref="G139">XLOOKUP(C139,datos_laborales[clave_foranea],datos_laborales[N° De Legajo],"no dato",0,1)</f>
        <v>1793</v>
      </c>
      <c r="H139" s="89">
        <f t="array" ref="H139">XLOOKUP(C139,datos_laborales[clave_foranea], datos_laborales[Inicio Actividad:],"no dato",0,1)</f>
        <v>43770</v>
      </c>
      <c r="I139" s="88">
        <f t="array" ref="I139">XLOOKUP(C139,datos_laborales[clave_foranea],datos_laborales[Años en Actividad:],"no dato",0,1)</f>
        <v>6</v>
      </c>
      <c r="J139" s="88">
        <f t="array" ref="J139">XLOOKUP(C139,datos_personales[id:],datos_personales[D.n.i:],"no dato",0,1)</f>
        <v>33789655</v>
      </c>
      <c r="K139" s="89">
        <f t="array" ref="K139">XLOOKUP(C139,datos_personales[id:],datos_personales[Fecha Nacimiento:],"no dato",0,1)</f>
        <v>32242</v>
      </c>
      <c r="L139" s="88">
        <f>COUNTIF(hijos!B:B,C139)</f>
        <v>0</v>
      </c>
      <c r="M139" s="90">
        <f>COUNTIFS(hijos!B:B,C139,hijos!I:I,1)</f>
        <v>0</v>
      </c>
      <c r="N139" s="91">
        <f>COUNTIFS(hijos!B:B,C139,hijos!J:J,1)</f>
        <v>0</v>
      </c>
      <c r="O139" s="91">
        <f>COUNTIFS(hijos!B:B,C139,hijos!K:K,1)</f>
        <v>0</v>
      </c>
      <c r="P139" s="91">
        <f>COUNTIFS(hijos!B:B,C139,hijos!L:L,1)</f>
        <v>0</v>
      </c>
      <c r="Q139" s="91">
        <f t="shared" si="1"/>
        <v>0</v>
      </c>
      <c r="R139" s="92" t="str">
        <f t="array" ref="R139">XLOOKUP(C139,datos_personales[id:],datos_personales[Tel. Contacto:],"no dato",0,1)</f>
        <v/>
      </c>
      <c r="S139" s="88" t="str">
        <f t="array" ref="S139">XLOOKUP(C139,datos_personales[id:],datos_personales[E-Mail:],"no dato",0,1)</f>
        <v>Salvadorzegal@gmail.com</v>
      </c>
      <c r="T139" s="88" t="str">
        <f t="array" ref="T139">XLOOKUP(R139,telefonos_afiliados[numeros_loys],telefonos_afiliados[esta],"no esta",0,1)</f>
        <v>no esta</v>
      </c>
      <c r="U139" s="88" t="str">
        <f t="array" ref="U139">XLOOKUP(C139,datos_laborales[id:],datos_laborales[renuncio],"no dato",0,1)</f>
        <v>no dato</v>
      </c>
      <c r="V139" s="104"/>
      <c r="W139" s="78"/>
    </row>
    <row r="140" ht="15.75" hidden="1" customHeight="1">
      <c r="A140" s="79"/>
      <c r="B140" s="80"/>
      <c r="C140" s="81">
        <f>datos_personales[id:]</f>
        <v>1</v>
      </c>
      <c r="D140" s="81" t="str">
        <f t="array" ref="D140">XLOOKUP(C140,datos_laborales[clave_foranea],datos_laborales[Relacion de Dependencia],"dato no encontrado",0,1)</f>
        <v>Monotributista</v>
      </c>
      <c r="E140" s="80" t="str">
        <f t="array" ref="E140">XLOOKUP(C140,datos_delegados[clave_foranea:],datos_delegados[En Actividad]," ",0,1)</f>
        <v> </v>
      </c>
      <c r="F140" s="81" t="str">
        <f t="array" ref="F140">CONCATENATE(XLOOKUP(C140,datos_personales[id:],datos_personales[Apellido:],"no dato",0,1),", ",XLOOKUP(C140,datos_personales[id:],datos_personales[Nombre],"no dato",0,1))</f>
        <v>carlos,  nicolas</v>
      </c>
      <c r="G140" s="80" t="str">
        <f t="array" ref="G140">XLOOKUP(C140,datos_laborales[clave_foranea],datos_laborales[N° De Legajo],"no dato",0,1)</f>
        <v/>
      </c>
      <c r="H140" s="106" t="str">
        <f t="array" ref="H140">XLOOKUP(C140,datos_laborales[clave_foranea], datos_laborales[Inicio Actividad:],"no dato",0,1)</f>
        <v/>
      </c>
      <c r="I140" s="81">
        <f t="array" ref="I140">XLOOKUP(C140,datos_laborales[clave_foranea],datos_laborales[Años en Actividad:],"no dato",0,1)</f>
        <v>126</v>
      </c>
      <c r="J140" s="80" t="str">
        <f t="array" ref="J140">XLOOKUP(C140,datos_personales[id:],datos_personales[D.n.i:],"no dato",0,1)</f>
        <v/>
      </c>
      <c r="K140" s="106" t="str">
        <f t="array" ref="K140">XLOOKUP(C140,datos_personales[id:],datos_personales[Fecha Nacimiento:],"no dato",0,1)</f>
        <v/>
      </c>
      <c r="L140" s="81">
        <f>COUNTIF(hijos!B:B,C140)</f>
        <v>0</v>
      </c>
      <c r="M140" s="83">
        <f>COUNTIFS(hijos!B:B,C140,hijos!I:I,1)</f>
        <v>0</v>
      </c>
      <c r="N140" s="84">
        <f>COUNTIFS(hijos!B:B,C140,hijos!J:J,1)</f>
        <v>0</v>
      </c>
      <c r="O140" s="84">
        <f>COUNTIFS(hijos!B:B,C140,hijos!K:K,1)</f>
        <v>0</v>
      </c>
      <c r="P140" s="84">
        <f>COUNTIFS(hijos!B:B,C140,hijos!L:L,1)</f>
        <v>0</v>
      </c>
      <c r="Q140" s="84">
        <f t="shared" si="1"/>
        <v>0</v>
      </c>
      <c r="R140" s="92" t="str">
        <f t="array" ref="R140">XLOOKUP(C140,datos_personales[id:],datos_personales[Tel. Contacto:],"no dato",0,1)</f>
        <v/>
      </c>
      <c r="S140" s="80" t="str">
        <f t="array" ref="S140">XLOOKUP(C140,datos_personales[id:],datos_personales[E-Mail:],"no dato",0,1)</f>
        <v/>
      </c>
      <c r="T140" s="81" t="str">
        <f t="array" ref="T140">XLOOKUP(R140,telefonos_afiliados[numeros_loys],telefonos_afiliados[esta],"no esta",0,1)</f>
        <v>no esta</v>
      </c>
      <c r="U140" s="81" t="str">
        <f t="array" ref="U140">XLOOKUP(C140,datos_personales[id:],datos_laborales[renuncio],"no dato",0,1)</f>
        <v>#N/A</v>
      </c>
      <c r="V140" s="104"/>
      <c r="W140" s="78"/>
    </row>
    <row r="141" ht="15.75" hidden="1" customHeight="1">
      <c r="A141" s="79"/>
      <c r="B141" s="80"/>
      <c r="C141" s="88">
        <f>datos_personales[id:]</f>
        <v>2</v>
      </c>
      <c r="D141" s="88" t="str">
        <f t="array" ref="D141">XLOOKUP(C141,datos_laborales[clave_foranea],datos_laborales[Relacion de Dependencia],"dato no encontrado",0,1)</f>
        <v>Monotributista</v>
      </c>
      <c r="E141" s="80" t="str">
        <f t="array" ref="E141">XLOOKUP(C141,datos_delegados[clave_foranea:],datos_delegados[En Actividad]," ",0,1)</f>
        <v> </v>
      </c>
      <c r="F141" s="88" t="str">
        <f t="array" ref="F141">CONCATENATE(XLOOKUP(C141,datos_personales[id:],datos_personales[Apellido:],"no dato",0,1),", ",XLOOKUP(C141,datos_personales[id:],datos_personales[Nombre],"no dato",0,1))</f>
        <v>catalano,  ariadna </v>
      </c>
      <c r="G141" s="80" t="str">
        <f t="array" ref="G141">XLOOKUP(C141,datos_laborales[clave_foranea],datos_laborales[N° De Legajo],"no dato",0,1)</f>
        <v/>
      </c>
      <c r="H141" s="106" t="str">
        <f t="array" ref="H141">XLOOKUP(C141,datos_laborales[clave_foranea], datos_laborales[Inicio Actividad:],"no dato",0,1)</f>
        <v/>
      </c>
      <c r="I141" s="88">
        <f t="array" ref="I141">XLOOKUP(C141,datos_laborales[clave_foranea],datos_laborales[Años en Actividad:],"no dato",0,1)</f>
        <v>126</v>
      </c>
      <c r="J141" s="80" t="str">
        <f t="array" ref="J141">XLOOKUP(C141,datos_personales[id:],datos_personales[D.n.i:],"no dato",0,1)</f>
        <v/>
      </c>
      <c r="K141" s="106" t="str">
        <f t="array" ref="K141">XLOOKUP(C141,datos_personales[id:],datos_personales[Fecha Nacimiento:],"no dato",0,1)</f>
        <v/>
      </c>
      <c r="L141" s="88">
        <f>COUNTIF(hijos!B:B,C141)</f>
        <v>0</v>
      </c>
      <c r="M141" s="90">
        <f>COUNTIFS(hijos!B:B,C141,hijos!I:I,1)</f>
        <v>0</v>
      </c>
      <c r="N141" s="91">
        <f>COUNTIFS(hijos!B:B,C141,hijos!J:J,1)</f>
        <v>0</v>
      </c>
      <c r="O141" s="91">
        <f>COUNTIFS(hijos!B:B,C141,hijos!K:K,1)</f>
        <v>0</v>
      </c>
      <c r="P141" s="91">
        <f>COUNTIFS(hijos!B:B,C141,hijos!L:L,1)</f>
        <v>0</v>
      </c>
      <c r="Q141" s="91">
        <f t="shared" si="1"/>
        <v>0</v>
      </c>
      <c r="R141" s="80" t="str">
        <f t="array" ref="R141">XLOOKUP(C141,datos_personales[id:],datos_personales[Tel. Contacto:],"no dato",0,1)</f>
        <v/>
      </c>
      <c r="S141" s="80" t="str">
        <f t="array" ref="S141">XLOOKUP(C141,datos_personales[id:],datos_personales[E-Mail:],"no dato",0,1)</f>
        <v/>
      </c>
      <c r="T141" s="88" t="str">
        <f t="array" ref="T141">XLOOKUP(R141,telefonos_afiliados[numeros_loys],telefonos_afiliados[esta],"no esta",0,1)</f>
        <v>no esta</v>
      </c>
      <c r="U141" s="80" t="str">
        <f t="array" ref="U141">XLOOKUP(C141,datos_laborales[id:],datos_laborales[renuncio],"no dato",0,1)</f>
        <v/>
      </c>
      <c r="V141" s="104"/>
      <c r="W141" s="78"/>
    </row>
    <row r="142" ht="15.75" hidden="1" customHeight="1">
      <c r="A142" s="79"/>
      <c r="B142" s="80"/>
      <c r="C142" s="81">
        <f>datos_personales[id:]</f>
        <v>3</v>
      </c>
      <c r="D142" s="81" t="str">
        <f t="array" ref="D142">XLOOKUP(C142,datos_laborales[clave_foranea],datos_laborales[Relacion de Dependencia],"dato no encontrado",0,1)</f>
        <v>Monotributista</v>
      </c>
      <c r="E142" s="80" t="str">
        <f t="array" ref="E142">XLOOKUP(C142,datos_delegados[clave_foranea:],datos_delegados[En Actividad]," ",0,1)</f>
        <v> </v>
      </c>
      <c r="F142" s="81" t="str">
        <f t="array" ref="F142">CONCATENATE(XLOOKUP(C142,datos_personales[id:],datos_personales[Apellido:],"no dato",0,1),", ",XLOOKUP(C142,datos_personales[id:],datos_personales[Nombre],"no dato",0,1))</f>
        <v>cepeda,  veronica</v>
      </c>
      <c r="G142" s="80" t="str">
        <f t="array" ref="G142">XLOOKUP(C142,datos_laborales[clave_foranea],datos_laborales[N° De Legajo],"no dato",0,1)</f>
        <v/>
      </c>
      <c r="H142" s="106" t="str">
        <f t="array" ref="H142">XLOOKUP(C142,datos_laborales[clave_foranea], datos_laborales[Inicio Actividad:],"no dato",0,1)</f>
        <v/>
      </c>
      <c r="I142" s="81">
        <f t="array" ref="I142">XLOOKUP(C142,datos_laborales[clave_foranea],datos_laborales[Años en Actividad:],"no dato",0,1)</f>
        <v>126</v>
      </c>
      <c r="J142" s="80" t="str">
        <f t="array" ref="J142">XLOOKUP(C142,datos_personales[id:],datos_personales[D.n.i:],"no dato",0,1)</f>
        <v/>
      </c>
      <c r="K142" s="106" t="str">
        <f t="array" ref="K142">XLOOKUP(C142,datos_personales[id:],datos_personales[Fecha Nacimiento:],"no dato",0,1)</f>
        <v/>
      </c>
      <c r="L142" s="81">
        <f>COUNTIF(hijos!B:B,C142)</f>
        <v>0</v>
      </c>
      <c r="M142" s="83">
        <f>COUNTIFS(hijos!B:B,C142,hijos!I:I,1)</f>
        <v>0</v>
      </c>
      <c r="N142" s="84">
        <f>COUNTIFS(hijos!B:B,C142,hijos!J:J,1)</f>
        <v>0</v>
      </c>
      <c r="O142" s="84">
        <f>COUNTIFS(hijos!B:B,C142,hijos!K:K,1)</f>
        <v>0</v>
      </c>
      <c r="P142" s="84">
        <f>COUNTIFS(hijos!B:B,C142,hijos!L:L,1)</f>
        <v>0</v>
      </c>
      <c r="Q142" s="84">
        <f t="shared" si="1"/>
        <v>0</v>
      </c>
      <c r="R142" s="81">
        <f t="array" ref="R142">XLOOKUP(C142,datos_personales[id:],datos_personales[Tel. Contacto:],"no dato",0,1)</f>
        <v>1134347953</v>
      </c>
      <c r="S142" s="80" t="str">
        <f t="array" ref="S142">XLOOKUP(C142,datos_personales[id:],datos_personales[E-Mail:],"no dato",0,1)</f>
        <v/>
      </c>
      <c r="T142" s="81" t="str">
        <f t="array" ref="T142">XLOOKUP(R142,telefonos_afiliados[numeros_loys],telefonos_afiliados[esta],"no esta",0,1)</f>
        <v>no esta</v>
      </c>
      <c r="U142" s="80"/>
      <c r="V142" s="104"/>
      <c r="W142" s="78"/>
    </row>
    <row r="143" ht="15.75" hidden="1" customHeight="1">
      <c r="A143" s="79"/>
      <c r="B143" s="80"/>
      <c r="C143" s="88">
        <f>datos_personales[id:]</f>
        <v>5</v>
      </c>
      <c r="D143" s="88" t="str">
        <f t="array" ref="D143">XLOOKUP(C143,datos_laborales[clave_foranea],datos_laborales[Relacion de Dependencia],"dato no encontrado",0,1)</f>
        <v>Monotributista</v>
      </c>
      <c r="E143" s="80" t="str">
        <f t="array" ref="E143">XLOOKUP(C143,datos_delegados[clave_foranea:],datos_delegados[En Actividad]," ",0,1)</f>
        <v> </v>
      </c>
      <c r="F143" s="88" t="str">
        <f t="array" ref="F143">CONCATENATE(XLOOKUP(C143,datos_personales[id:],datos_personales[Apellido:],"no dato",0,1),", ",XLOOKUP(C143,datos_personales[id:],datos_personales[Nombre],"no dato",0,1))</f>
        <v>gonzalez,  gabriela</v>
      </c>
      <c r="G143" s="80" t="str">
        <f t="array" ref="G143">XLOOKUP(C143,datos_laborales[clave_foranea],datos_laborales[N° De Legajo],"no dato",0,1)</f>
        <v/>
      </c>
      <c r="H143" s="106" t="str">
        <f t="array" ref="H143">XLOOKUP(C143,datos_laborales[clave_foranea], datos_laborales[Inicio Actividad:],"no dato",0,1)</f>
        <v/>
      </c>
      <c r="I143" s="88">
        <f t="array" ref="I143">XLOOKUP(C143,datos_laborales[clave_foranea],datos_laborales[Años en Actividad:],"no dato",0,1)</f>
        <v>126</v>
      </c>
      <c r="J143" s="80" t="str">
        <f t="array" ref="J143">XLOOKUP(C143,datos_personales[id:],datos_personales[D.n.i:],"no dato",0,1)</f>
        <v/>
      </c>
      <c r="K143" s="106" t="str">
        <f t="array" ref="K143">XLOOKUP(C143,datos_personales[id:],datos_personales[Fecha Nacimiento:],"no dato",0,1)</f>
        <v/>
      </c>
      <c r="L143" s="88">
        <f>COUNTIF(hijos!B:B,C143)</f>
        <v>0</v>
      </c>
      <c r="M143" s="90">
        <f>COUNTIFS(hijos!B:B,C143,hijos!I:I,1)</f>
        <v>0</v>
      </c>
      <c r="N143" s="91">
        <f>COUNTIFS(hijos!B:B,C143,hijos!J:J,1)</f>
        <v>0</v>
      </c>
      <c r="O143" s="91">
        <f>COUNTIFS(hijos!B:B,C143,hijos!K:K,1)</f>
        <v>0</v>
      </c>
      <c r="P143" s="91">
        <f>COUNTIFS(hijos!B:B,C143,hijos!L:L,1)</f>
        <v>0</v>
      </c>
      <c r="Q143" s="91">
        <f t="shared" si="1"/>
        <v>0</v>
      </c>
      <c r="R143" s="92" t="str">
        <f t="array" ref="R143">XLOOKUP(C143,datos_personales[id:],datos_personales[Tel. Contacto:],"no dato",0,1)</f>
        <v/>
      </c>
      <c r="S143" s="80" t="str">
        <f t="array" ref="S143">XLOOKUP(C143,datos_personales[id:],datos_personales[E-Mail:],"no dato",0,1)</f>
        <v/>
      </c>
      <c r="T143" s="88" t="str">
        <f t="array" ref="T143">XLOOKUP(R143,telefonos_afiliados[numeros_loys],telefonos_afiliados[esta],"no esta",0,1)</f>
        <v>no esta</v>
      </c>
      <c r="U143" s="88" t="str">
        <f t="array" ref="U143">XLOOKUP(C143,datos_personales[id:],datos_laborales[renuncio],"no dato",0,1)</f>
        <v>#N/A</v>
      </c>
      <c r="V143" s="93" t="str">
        <f t="array" ref="V143">XLOOKUP(C143,datos_laborales[clave_foranea],datos_laborales[tiene_ficha_pdf],"no tiene ficha pdf",0,1)</f>
        <v>no tiene en pdf</v>
      </c>
      <c r="W143" s="78"/>
    </row>
    <row r="144" ht="15.75" hidden="1" customHeight="1">
      <c r="A144" s="79"/>
      <c r="B144" s="80"/>
      <c r="C144" s="81">
        <f>datos_personales[id:]</f>
        <v>6</v>
      </c>
      <c r="D144" s="81" t="str">
        <f t="array" ref="D144">XLOOKUP(C144,datos_laborales[clave_foranea],datos_laborales[Relacion de Dependencia],"dato no encontrado",0,1)</f>
        <v>Monotributista</v>
      </c>
      <c r="E144" s="80" t="str">
        <f t="array" ref="E144">XLOOKUP(C144,datos_delegados[clave_foranea:],datos_delegados[En Actividad]," ",0,1)</f>
        <v> </v>
      </c>
      <c r="F144" s="81" t="str">
        <f t="array" ref="F144">CONCATENATE(XLOOKUP(C144,datos_personales[id:],datos_personales[Apellido:],"no dato",0,1),", ",XLOOKUP(C144,datos_personales[id:],datos_personales[Nombre],"no dato",0,1))</f>
        <v>gonzalez,  martina</v>
      </c>
      <c r="G144" s="80" t="str">
        <f t="array" ref="G144">XLOOKUP(C144,datos_laborales[clave_foranea],datos_laborales[N° De Legajo],"no dato",0,1)</f>
        <v/>
      </c>
      <c r="H144" s="106" t="str">
        <f t="array" ref="H144">XLOOKUP(C144,datos_laborales[clave_foranea], datos_laborales[Inicio Actividad:],"no dato",0,1)</f>
        <v/>
      </c>
      <c r="I144" s="81">
        <f t="array" ref="I144">XLOOKUP(C144,datos_laborales[clave_foranea],datos_laborales[Años en Actividad:],"no dato",0,1)</f>
        <v>126</v>
      </c>
      <c r="J144" s="80" t="str">
        <f t="array" ref="J144">XLOOKUP(C144,datos_personales[id:],datos_personales[D.n.i:],"no dato",0,1)</f>
        <v/>
      </c>
      <c r="K144" s="106" t="str">
        <f t="array" ref="K144">XLOOKUP(C144,datos_personales[id:],datos_personales[Fecha Nacimiento:],"no dato",0,1)</f>
        <v/>
      </c>
      <c r="L144" s="81">
        <f>COUNTIF(hijos!B:B,C144)</f>
        <v>0</v>
      </c>
      <c r="M144" s="83">
        <f>COUNTIFS(hijos!B:B,C144,hijos!I:I,1)</f>
        <v>0</v>
      </c>
      <c r="N144" s="84">
        <f>COUNTIFS(hijos!B:B,C144,hijos!J:J,1)</f>
        <v>0</v>
      </c>
      <c r="O144" s="84">
        <f>COUNTIFS(hijos!B:B,C144,hijos!K:K,1)</f>
        <v>0</v>
      </c>
      <c r="P144" s="84">
        <f>COUNTIFS(hijos!B:B,C144,hijos!L:L,1)</f>
        <v>0</v>
      </c>
      <c r="Q144" s="84">
        <f t="shared" si="1"/>
        <v>0</v>
      </c>
      <c r="R144" s="80" t="str">
        <f t="array" ref="R144">XLOOKUP(C144,datos_personales[id:],datos_personales[Tel. Contacto:],"no dato",0,1)</f>
        <v/>
      </c>
      <c r="S144" s="80" t="str">
        <f t="array" ref="S144">XLOOKUP(C144,datos_personales[id:],datos_personales[E-Mail:],"no dato",0,1)</f>
        <v/>
      </c>
      <c r="T144" s="81" t="str">
        <f t="array" ref="T144">XLOOKUP(R144,telefonos_afiliados[numeros_loys],telefonos_afiliados[esta],"no esta",0,1)</f>
        <v>no esta</v>
      </c>
      <c r="U144" s="80" t="str">
        <f t="array" ref="U144">XLOOKUP(C144,datos_laborales[id:],datos_laborales[renuncio],"no dato",0,1)</f>
        <v/>
      </c>
      <c r="V144" s="104"/>
      <c r="W144" s="78"/>
    </row>
    <row r="145" ht="15.75" hidden="1" customHeight="1">
      <c r="A145" s="79"/>
      <c r="B145" s="80"/>
      <c r="C145" s="88">
        <f>datos_personales[id:]</f>
        <v>7</v>
      </c>
      <c r="D145" s="88" t="str">
        <f t="array" ref="D145">XLOOKUP(C145,datos_laborales[clave_foranea],datos_laborales[Relacion de Dependencia],"dato no encontrado",0,1)</f>
        <v>Monotributista</v>
      </c>
      <c r="E145" s="80" t="str">
        <f t="array" ref="E145">XLOOKUP(C145,datos_delegados[clave_foranea:],datos_delegados[En Actividad]," ",0,1)</f>
        <v> </v>
      </c>
      <c r="F145" s="88" t="str">
        <f t="array" ref="F145">CONCATENATE(XLOOKUP(C145,datos_personales[id:],datos_personales[Apellido:],"no dato",0,1),", ",XLOOKUP(C145,datos_personales[id:],datos_personales[Nombre],"no dato",0,1))</f>
        <v>gutierrez,  belén</v>
      </c>
      <c r="G145" s="80" t="str">
        <f t="array" ref="G145">XLOOKUP(C145,datos_laborales[clave_foranea],datos_laborales[N° De Legajo],"no dato",0,1)</f>
        <v/>
      </c>
      <c r="H145" s="106" t="str">
        <f t="array" ref="H145">XLOOKUP(C145,datos_laborales[clave_foranea], datos_laborales[Inicio Actividad:],"no dato",0,1)</f>
        <v/>
      </c>
      <c r="I145" s="88">
        <f t="array" ref="I145">XLOOKUP(C145,datos_laborales[clave_foranea],datos_laborales[Años en Actividad:],"no dato",0,1)</f>
        <v>126</v>
      </c>
      <c r="J145" s="80" t="str">
        <f t="array" ref="J145">XLOOKUP(C145,datos_personales[id:],datos_personales[D.n.i:],"no dato",0,1)</f>
        <v/>
      </c>
      <c r="K145" s="106" t="str">
        <f t="array" ref="K145">XLOOKUP(C145,datos_personales[id:],datos_personales[Fecha Nacimiento:],"no dato",0,1)</f>
        <v/>
      </c>
      <c r="L145" s="88">
        <f>COUNTIF(hijos!B:B,C145)</f>
        <v>0</v>
      </c>
      <c r="M145" s="90">
        <f>COUNTIFS(hijos!B:B,C145,hijos!I:I,1)</f>
        <v>0</v>
      </c>
      <c r="N145" s="91">
        <f>COUNTIFS(hijos!B:B,C145,hijos!J:J,1)</f>
        <v>0</v>
      </c>
      <c r="O145" s="91">
        <f>COUNTIFS(hijos!B:B,C145,hijos!K:K,1)</f>
        <v>0</v>
      </c>
      <c r="P145" s="91">
        <f>COUNTIFS(hijos!B:B,C145,hijos!L:L,1)</f>
        <v>0</v>
      </c>
      <c r="Q145" s="91">
        <f t="shared" si="1"/>
        <v>0</v>
      </c>
      <c r="R145" s="80" t="str">
        <f t="array" ref="R145">XLOOKUP(C145,datos_personales[id:],datos_personales[Tel. Contacto:],"no dato",0,1)</f>
        <v/>
      </c>
      <c r="S145" s="80" t="str">
        <f t="array" ref="S145">XLOOKUP(C145,datos_personales[id:],datos_personales[E-Mail:],"no dato",0,1)</f>
        <v/>
      </c>
      <c r="T145" s="88" t="str">
        <f t="array" ref="T145">XLOOKUP(R145,telefonos_afiliados[numeros_loys],telefonos_afiliados[esta],"no esta",0,1)</f>
        <v>no esta</v>
      </c>
      <c r="U145" s="80"/>
      <c r="V145" s="104"/>
      <c r="W145" s="78"/>
    </row>
    <row r="146" ht="15.75" hidden="1" customHeight="1">
      <c r="A146" s="79"/>
      <c r="B146" s="80"/>
      <c r="C146" s="81">
        <f>datos_personales[id:]</f>
        <v>8</v>
      </c>
      <c r="D146" s="81" t="str">
        <f t="array" ref="D146">XLOOKUP(C146,datos_laborales[clave_foranea],datos_laborales[Relacion de Dependencia],"dato no encontrado",0,1)</f>
        <v>Monotributista</v>
      </c>
      <c r="E146" s="80" t="str">
        <f t="array" ref="E146">XLOOKUP(C146,datos_delegados[clave_foranea:],datos_delegados[En Actividad]," ",0,1)</f>
        <v> </v>
      </c>
      <c r="F146" s="81" t="str">
        <f t="array" ref="F146">CONCATENATE(XLOOKUP(C146,datos_personales[id:],datos_personales[Apellido:],"no dato",0,1),", ",XLOOKUP(C146,datos_personales[id:],datos_personales[Nombre],"no dato",0,1))</f>
        <v>perez,  claudio</v>
      </c>
      <c r="G146" s="80" t="str">
        <f t="array" ref="G146">XLOOKUP(C146,datos_laborales[clave_foranea],datos_laborales[N° De Legajo],"no dato",0,1)</f>
        <v/>
      </c>
      <c r="H146" s="106" t="str">
        <f t="array" ref="H146">XLOOKUP(C146,datos_laborales[clave_foranea], datos_laborales[Inicio Actividad:],"no dato",0,1)</f>
        <v/>
      </c>
      <c r="I146" s="81">
        <f t="array" ref="I146">XLOOKUP(C146,datos_laborales[clave_foranea],datos_laborales[Años en Actividad:],"no dato",0,1)</f>
        <v>126</v>
      </c>
      <c r="J146" s="80" t="str">
        <f t="array" ref="J146">XLOOKUP(C146,datos_personales[id:],datos_personales[D.n.i:],"no dato",0,1)</f>
        <v/>
      </c>
      <c r="K146" s="106" t="str">
        <f t="array" ref="K146">XLOOKUP(C146,datos_personales[id:],datos_personales[Fecha Nacimiento:],"no dato",0,1)</f>
        <v/>
      </c>
      <c r="L146" s="81">
        <f>COUNTIF(hijos!B:B,C146)</f>
        <v>0</v>
      </c>
      <c r="M146" s="83">
        <f>COUNTIFS(hijos!B:B,C146,hijos!I:I,1)</f>
        <v>0</v>
      </c>
      <c r="N146" s="84">
        <f>COUNTIFS(hijos!B:B,C146,hijos!J:J,1)</f>
        <v>0</v>
      </c>
      <c r="O146" s="84">
        <f>COUNTIFS(hijos!B:B,C146,hijos!K:K,1)</f>
        <v>0</v>
      </c>
      <c r="P146" s="84">
        <f>COUNTIFS(hijos!B:B,C146,hijos!L:L,1)</f>
        <v>0</v>
      </c>
      <c r="Q146" s="84">
        <f t="shared" si="1"/>
        <v>0</v>
      </c>
      <c r="R146" s="80" t="str">
        <f t="array" ref="R146">XLOOKUP(C146,datos_personales[id:],datos_personales[Tel. Contacto:],"no dato",0,1)</f>
        <v/>
      </c>
      <c r="S146" s="80" t="str">
        <f t="array" ref="S146">XLOOKUP(C146,datos_personales[id:],datos_personales[E-Mail:],"no dato",0,1)</f>
        <v/>
      </c>
      <c r="T146" s="81" t="str">
        <f t="array" ref="T146">XLOOKUP(R146,telefonos_afiliados[numeros_loys],telefonos_afiliados[esta],"no esta",0,1)</f>
        <v>no esta</v>
      </c>
      <c r="U146" s="80" t="str">
        <f t="array" ref="U146">XLOOKUP(C146,datos_laborales[id:],datos_laborales[renuncio],"no dato",0,1)</f>
        <v/>
      </c>
      <c r="V146" s="104"/>
      <c r="W146" s="78"/>
    </row>
    <row r="147" ht="15.75" hidden="1" customHeight="1">
      <c r="A147" s="79"/>
      <c r="B147" s="80"/>
      <c r="C147" s="88">
        <f>datos_personales[id:]</f>
        <v>9</v>
      </c>
      <c r="D147" s="88" t="str">
        <f t="array" ref="D147">XLOOKUP(C147,datos_laborales[clave_foranea],datos_laborales[Relacion de Dependencia],"dato no encontrado",0,1)</f>
        <v>Monotributista</v>
      </c>
      <c r="E147" s="80" t="str">
        <f t="array" ref="E147">XLOOKUP(C147,datos_delegados[clave_foranea:],datos_delegados[En Actividad]," ",0,1)</f>
        <v> </v>
      </c>
      <c r="F147" s="88" t="str">
        <f t="array" ref="F147">CONCATENATE(XLOOKUP(C147,datos_personales[id:],datos_personales[Apellido:],"no dato",0,1),", ",XLOOKUP(C147,datos_personales[id:],datos_personales[Nombre],"no dato",0,1))</f>
        <v>rojas,  veronica</v>
      </c>
      <c r="G147" s="80" t="str">
        <f t="array" ref="G147">XLOOKUP(C147,datos_laborales[clave_foranea],datos_laborales[N° De Legajo],"no dato",0,1)</f>
        <v/>
      </c>
      <c r="H147" s="106" t="str">
        <f t="array" ref="H147">XLOOKUP(C147,datos_laborales[clave_foranea], datos_laborales[Inicio Actividad:],"no dato",0,1)</f>
        <v/>
      </c>
      <c r="I147" s="88">
        <f t="array" ref="I147">XLOOKUP(C147,datos_laborales[clave_foranea],datos_laborales[Años en Actividad:],"no dato",0,1)</f>
        <v>126</v>
      </c>
      <c r="J147" s="80" t="str">
        <f t="array" ref="J147">XLOOKUP(C147,datos_personales[id:],datos_personales[D.n.i:],"no dato",0,1)</f>
        <v/>
      </c>
      <c r="K147" s="106" t="str">
        <f t="array" ref="K147">XLOOKUP(C147,datos_personales[id:],datos_personales[Fecha Nacimiento:],"no dato",0,1)</f>
        <v/>
      </c>
      <c r="L147" s="88">
        <f>COUNTIF(hijos!B:B,C147)</f>
        <v>0</v>
      </c>
      <c r="M147" s="90">
        <f>COUNTIFS(hijos!B:B,C147,hijos!I:I,1)</f>
        <v>0</v>
      </c>
      <c r="N147" s="91">
        <f>COUNTIFS(hijos!B:B,C147,hijos!J:J,1)</f>
        <v>0</v>
      </c>
      <c r="O147" s="91">
        <f>COUNTIFS(hijos!B:B,C147,hijos!K:K,1)</f>
        <v>0</v>
      </c>
      <c r="P147" s="91">
        <f>COUNTIFS(hijos!B:B,C147,hijos!L:L,1)</f>
        <v>0</v>
      </c>
      <c r="Q147" s="91">
        <f t="shared" si="1"/>
        <v>0</v>
      </c>
      <c r="R147" s="92" t="str">
        <f t="array" ref="R147">XLOOKUP(C147,datos_personales[id:],datos_personales[Tel. Contacto:],"no dato",0,1)</f>
        <v/>
      </c>
      <c r="S147" s="80" t="str">
        <f t="array" ref="S147">XLOOKUP(C147,datos_personales[id:],datos_personales[E-Mail:],"no dato",0,1)</f>
        <v/>
      </c>
      <c r="T147" s="88" t="str">
        <f t="array" ref="T147">XLOOKUP(R147,telefonos_afiliados[numeros_loys],telefonos_afiliados[esta],"no esta",0,1)</f>
        <v>no esta</v>
      </c>
      <c r="U147" s="80" t="str">
        <f t="array" ref="U147">XLOOKUP(C147,datos_laborales[id:],datos_laborales[renuncio],"no dato",0,1)</f>
        <v/>
      </c>
      <c r="V147" s="93" t="str">
        <f t="array" ref="V147">XLOOKUP(C147,datos_laborales[clave_foranea],datos_laborales[tiene_ficha_pdf],"no tiene ficha pdf",0,1)</f>
        <v>no tiene en pdf</v>
      </c>
      <c r="W147" s="78"/>
    </row>
    <row r="148" ht="15.75" hidden="1" customHeight="1">
      <c r="A148" s="79"/>
      <c r="B148" s="80"/>
      <c r="C148" s="81">
        <f>datos_personales[id:]</f>
        <v>10</v>
      </c>
      <c r="D148" s="81" t="str">
        <f t="array" ref="D148">XLOOKUP(C148,datos_laborales[clave_foranea],datos_laborales[Relacion de Dependencia],"dato no encontrado",0,1)</f>
        <v>Monotributista</v>
      </c>
      <c r="E148" s="80" t="str">
        <f t="array" ref="E148">XLOOKUP(C148,datos_delegados[clave_foranea:],datos_delegados[En Actividad]," ",0,1)</f>
        <v> </v>
      </c>
      <c r="F148" s="81" t="str">
        <f t="array" ref="F148">CONCATENATE(XLOOKUP(C148,datos_personales[id:],datos_personales[Apellido:],"no dato",0,1),", ",XLOOKUP(C148,datos_personales[id:],datos_personales[Nombre],"no dato",0,1))</f>
        <v>romero,  veronica</v>
      </c>
      <c r="G148" s="80" t="str">
        <f t="array" ref="G148">XLOOKUP(C148,datos_laborales[clave_foranea],datos_laborales[N° De Legajo],"no dato",0,1)</f>
        <v/>
      </c>
      <c r="H148" s="106" t="str">
        <f t="array" ref="H148">XLOOKUP(C148,datos_laborales[clave_foranea], datos_laborales[Inicio Actividad:],"no dato",0,1)</f>
        <v/>
      </c>
      <c r="I148" s="81">
        <f t="array" ref="I148">XLOOKUP(C148,datos_laborales[clave_foranea],datos_laborales[Años en Actividad:],"no dato",0,1)</f>
        <v>126</v>
      </c>
      <c r="J148" s="80" t="str">
        <f t="array" ref="J148">XLOOKUP(C148,datos_personales[id:],datos_personales[D.n.i:],"no dato",0,1)</f>
        <v/>
      </c>
      <c r="K148" s="106" t="str">
        <f t="array" ref="K148">XLOOKUP(C148,datos_personales[id:],datos_personales[Fecha Nacimiento:],"no dato",0,1)</f>
        <v/>
      </c>
      <c r="L148" s="81">
        <f>COUNTIF(hijos!B:B,C148)</f>
        <v>0</v>
      </c>
      <c r="M148" s="83">
        <f>COUNTIFS(hijos!B:B,C148,hijos!I:I,1)</f>
        <v>0</v>
      </c>
      <c r="N148" s="84">
        <f>COUNTIFS(hijos!B:B,C148,hijos!J:J,1)</f>
        <v>0</v>
      </c>
      <c r="O148" s="84">
        <f>COUNTIFS(hijos!B:B,C148,hijos!K:K,1)</f>
        <v>0</v>
      </c>
      <c r="P148" s="84">
        <f>COUNTIFS(hijos!B:B,C148,hijos!L:L,1)</f>
        <v>0</v>
      </c>
      <c r="Q148" s="84">
        <f t="shared" si="1"/>
        <v>0</v>
      </c>
      <c r="R148" s="92" t="str">
        <f t="array" ref="R148">XLOOKUP(C148,datos_personales[id:],datos_personales[Tel. Contacto:],"no dato",0,1)</f>
        <v/>
      </c>
      <c r="S148" s="80" t="str">
        <f t="array" ref="S148">XLOOKUP(C148,datos_personales[id:],datos_personales[E-Mail:],"no dato",0,1)</f>
        <v/>
      </c>
      <c r="T148" s="81" t="str">
        <f t="array" ref="T148">XLOOKUP(R148,telefonos_afiliados[numeros_loys],telefonos_afiliados[esta],"no esta",0,1)</f>
        <v>no esta</v>
      </c>
      <c r="U148" s="81" t="str">
        <f t="array" ref="U148">XLOOKUP(C148,datos_personales[id:],datos_laborales[renuncio],"no dato",0,1)</f>
        <v>#N/A</v>
      </c>
      <c r="V148" s="87" t="str">
        <f t="array" ref="V148">XLOOKUP(C148,datos_laborales[clave_foranea],datos_laborales[tiene_ficha_pdf],"no tiene ficha pdf",0,1)</f>
        <v>no tiene en pdf</v>
      </c>
      <c r="W148" s="78"/>
    </row>
    <row r="149" ht="15.75" hidden="1" customHeight="1">
      <c r="A149" s="79"/>
      <c r="B149" s="80"/>
      <c r="C149" s="88">
        <f>datos_personales[id:]</f>
        <v>11</v>
      </c>
      <c r="D149" s="88" t="str">
        <f t="array" ref="D149">XLOOKUP(C149,datos_laborales[clave_foranea],datos_laborales[Relacion de Dependencia],"dato no encontrado",0,1)</f>
        <v>Monotributista</v>
      </c>
      <c r="E149" s="80" t="str">
        <f t="array" ref="E149">XLOOKUP(C149,datos_delegados[clave_foranea:],datos_delegados[En Actividad]," ",0,1)</f>
        <v> </v>
      </c>
      <c r="F149" s="88" t="str">
        <f t="array" ref="F149">CONCATENATE(XLOOKUP(C149,datos_personales[id:],datos_personales[Apellido:],"no dato",0,1),", ",XLOOKUP(C149,datos_personales[id:],datos_personales[Nombre],"no dato",0,1))</f>
        <v>sterzel,  romina </v>
      </c>
      <c r="G149" s="80" t="str">
        <f t="array" ref="G149">XLOOKUP(C149,datos_laborales[clave_foranea],datos_laborales[N° De Legajo],"no dato",0,1)</f>
        <v/>
      </c>
      <c r="H149" s="106" t="str">
        <f t="array" ref="H149">XLOOKUP(C149,datos_laborales[clave_foranea], datos_laborales[Inicio Actividad:],"no dato",0,1)</f>
        <v/>
      </c>
      <c r="I149" s="88">
        <f t="array" ref="I149">XLOOKUP(C149,datos_laborales[clave_foranea],datos_laborales[Años en Actividad:],"no dato",0,1)</f>
        <v>126</v>
      </c>
      <c r="J149" s="80" t="str">
        <f t="array" ref="J149">XLOOKUP(C149,datos_personales[id:],datos_personales[D.n.i:],"no dato",0,1)</f>
        <v/>
      </c>
      <c r="K149" s="106" t="str">
        <f t="array" ref="K149">XLOOKUP(C149,datos_personales[id:],datos_personales[Fecha Nacimiento:],"no dato",0,1)</f>
        <v/>
      </c>
      <c r="L149" s="88">
        <f>COUNTIF(hijos!B:B,C149)</f>
        <v>0</v>
      </c>
      <c r="M149" s="90">
        <f>COUNTIFS(hijos!B:B,C149,hijos!I:I,1)</f>
        <v>0</v>
      </c>
      <c r="N149" s="91">
        <f>COUNTIFS(hijos!B:B,C149,hijos!J:J,1)</f>
        <v>0</v>
      </c>
      <c r="O149" s="91">
        <f>COUNTIFS(hijos!B:B,C149,hijos!K:K,1)</f>
        <v>0</v>
      </c>
      <c r="P149" s="91">
        <f>COUNTIFS(hijos!B:B,C149,hijos!L:L,1)</f>
        <v>0</v>
      </c>
      <c r="Q149" s="91">
        <f t="shared" si="1"/>
        <v>0</v>
      </c>
      <c r="R149" s="92" t="str">
        <f t="array" ref="R149">XLOOKUP(C149,datos_personales[id:],datos_personales[Tel. Contacto:],"no dato",0,1)</f>
        <v/>
      </c>
      <c r="S149" s="80" t="str">
        <f t="array" ref="S149">XLOOKUP(C149,datos_personales[id:],datos_personales[E-Mail:],"no dato",0,1)</f>
        <v/>
      </c>
      <c r="T149" s="88" t="str">
        <f t="array" ref="T149">XLOOKUP(R149,telefonos_afiliados[numeros_loys],telefonos_afiliados[esta],"no esta",0,1)</f>
        <v>no esta</v>
      </c>
      <c r="U149" s="80" t="str">
        <f t="array" ref="U149">XLOOKUP(C149,datos_laborales[id:],datos_laborales[renuncio],"no dato",0,1)</f>
        <v/>
      </c>
      <c r="V149" s="93" t="str">
        <f t="array" ref="V149">XLOOKUP(C149,datos_laborales[clave_foranea],datos_laborales[tiene_ficha_pdf],"no tiene ficha pdf",0,1)</f>
        <v>no tiene en pdf</v>
      </c>
      <c r="W149" s="78"/>
    </row>
    <row r="150" ht="15.75" hidden="1" customHeight="1">
      <c r="A150" s="79"/>
      <c r="B150" s="80"/>
      <c r="C150" s="81">
        <f>datos_personales[id:]</f>
        <v>12</v>
      </c>
      <c r="D150" s="81" t="str">
        <f t="array" ref="D150">XLOOKUP(C150,datos_laborales[clave_foranea],datos_laborales[Relacion de Dependencia],"dato no encontrado",0,1)</f>
        <v>Monotributista</v>
      </c>
      <c r="E150" s="80" t="str">
        <f t="array" ref="E150">XLOOKUP(C150,datos_delegados[clave_foranea:],datos_delegados[En Actividad]," ",0,1)</f>
        <v> </v>
      </c>
      <c r="F150" s="81" t="str">
        <f t="array" ref="F150">CONCATENATE(XLOOKUP(C150,datos_personales[id:],datos_personales[Apellido:],"no dato",0,1),", ",XLOOKUP(C150,datos_personales[id:],datos_personales[Nombre],"no dato",0,1))</f>
        <v>suarez,  marcos</v>
      </c>
      <c r="G150" s="80" t="str">
        <f t="array" ref="G150">XLOOKUP(C150,datos_laborales[clave_foranea],datos_laborales[N° De Legajo],"no dato",0,1)</f>
        <v/>
      </c>
      <c r="H150" s="106" t="str">
        <f t="array" ref="H150">XLOOKUP(C150,datos_laborales[clave_foranea], datos_laborales[Inicio Actividad:],"no dato",0,1)</f>
        <v/>
      </c>
      <c r="I150" s="81">
        <f t="array" ref="I150">XLOOKUP(C150,datos_laborales[clave_foranea],datos_laborales[Años en Actividad:],"no dato",0,1)</f>
        <v>126</v>
      </c>
      <c r="J150" s="80" t="str">
        <f t="array" ref="J150">XLOOKUP(C150,datos_personales[id:],datos_personales[D.n.i:],"no dato",0,1)</f>
        <v/>
      </c>
      <c r="K150" s="106" t="str">
        <f t="array" ref="K150">XLOOKUP(C150,datos_personales[id:],datos_personales[Fecha Nacimiento:],"no dato",0,1)</f>
        <v/>
      </c>
      <c r="L150" s="81">
        <f>COUNTIF(hijos!B:B,C150)</f>
        <v>0</v>
      </c>
      <c r="M150" s="83">
        <f>COUNTIFS(hijos!B:B,C150,hijos!I:I,1)</f>
        <v>0</v>
      </c>
      <c r="N150" s="84">
        <f>COUNTIFS(hijos!B:B,C150,hijos!J:J,1)</f>
        <v>0</v>
      </c>
      <c r="O150" s="84">
        <f>COUNTIFS(hijos!B:B,C150,hijos!K:K,1)</f>
        <v>0</v>
      </c>
      <c r="P150" s="84">
        <f>COUNTIFS(hijos!B:B,C150,hijos!L:L,1)</f>
        <v>0</v>
      </c>
      <c r="Q150" s="84">
        <f t="shared" si="1"/>
        <v>0</v>
      </c>
      <c r="R150" s="85">
        <f t="array" ref="R150">XLOOKUP(C150,datos_personales[id:],datos_personales[Tel. Contacto:],"no dato",0,1)</f>
        <v>1132757717</v>
      </c>
      <c r="S150" s="80" t="str">
        <f t="array" ref="S150">XLOOKUP(C150,datos_personales[id:],datos_personales[E-Mail:],"no dato",0,1)</f>
        <v/>
      </c>
      <c r="T150" s="81" t="str">
        <f t="array" ref="T150">XLOOKUP(R150,telefonos_afiliados[numeros_loys],telefonos_afiliados[esta],"no esta",0,1)</f>
        <v>1</v>
      </c>
      <c r="U150" s="81" t="str">
        <f t="array" ref="U150">XLOOKUP(C150,datos_personales[id:],datos_laborales[renuncio],"no dato",0,1)</f>
        <v>#N/A</v>
      </c>
      <c r="V150" s="87" t="str">
        <f t="array" ref="V150">XLOOKUP(C150,datos_laborales[clave_foranea],datos_laborales[tiene_ficha_pdf],"no tiene ficha pdf",0,1)</f>
        <v>no tiene en pdf</v>
      </c>
      <c r="W150" s="78"/>
    </row>
    <row r="151" ht="15.75" hidden="1" customHeight="1">
      <c r="A151" s="79"/>
      <c r="B151" s="80"/>
      <c r="C151" s="88">
        <f>datos_personales[id:]</f>
        <v>13</v>
      </c>
      <c r="D151" s="88" t="str">
        <f t="array" ref="D151">XLOOKUP(C151,datos_laborales[clave_foranea],datos_laborales[Relacion de Dependencia],"dato no encontrado",0,1)</f>
        <v>Monotributista</v>
      </c>
      <c r="E151" s="80" t="str">
        <f t="array" ref="E151">XLOOKUP(C151,datos_delegados[clave_foranea:],datos_delegados[En Actividad]," ",0,1)</f>
        <v> </v>
      </c>
      <c r="F151" s="88" t="str">
        <f t="array" ref="F151">CONCATENATE(XLOOKUP(C151,datos_personales[id:],datos_personales[Apellido:],"no dato",0,1),", ",XLOOKUP(C151,datos_personales[id:],datos_personales[Nombre],"no dato",0,1))</f>
        <v>vaca,  matias</v>
      </c>
      <c r="G151" s="80" t="str">
        <f t="array" ref="G151">XLOOKUP(C151,datos_laborales[clave_foranea],datos_laborales[N° De Legajo],"no dato",0,1)</f>
        <v/>
      </c>
      <c r="H151" s="106" t="str">
        <f t="array" ref="H151">XLOOKUP(C151,datos_laborales[clave_foranea], datos_laborales[Inicio Actividad:],"no dato",0,1)</f>
        <v/>
      </c>
      <c r="I151" s="88">
        <f t="array" ref="I151">XLOOKUP(C151,datos_laborales[clave_foranea],datos_laborales[Años en Actividad:],"no dato",0,1)</f>
        <v>126</v>
      </c>
      <c r="J151" s="80" t="str">
        <f t="array" ref="J151">XLOOKUP(C151,datos_personales[id:],datos_personales[D.n.i:],"no dato",0,1)</f>
        <v/>
      </c>
      <c r="K151" s="106" t="str">
        <f t="array" ref="K151">XLOOKUP(C151,datos_personales[id:],datos_personales[Fecha Nacimiento:],"no dato",0,1)</f>
        <v/>
      </c>
      <c r="L151" s="88">
        <f>COUNTIF(hijos!B:B,C151)</f>
        <v>0</v>
      </c>
      <c r="M151" s="90">
        <f>COUNTIFS(hijos!B:B,C151,hijos!I:I,1)</f>
        <v>0</v>
      </c>
      <c r="N151" s="91">
        <f>COUNTIFS(hijos!B:B,C151,hijos!J:J,1)</f>
        <v>0</v>
      </c>
      <c r="O151" s="91">
        <f>COUNTIFS(hijos!B:B,C151,hijos!K:K,1)</f>
        <v>0</v>
      </c>
      <c r="P151" s="91">
        <f>COUNTIFS(hijos!B:B,C151,hijos!L:L,1)</f>
        <v>0</v>
      </c>
      <c r="Q151" s="91">
        <f t="shared" si="1"/>
        <v>0</v>
      </c>
      <c r="R151" s="103">
        <f t="array" ref="R151">XLOOKUP(C151,datos_personales[id:],datos_personales[Tel. Contacto:],"no dato",0,1)</f>
        <v>1128788904</v>
      </c>
      <c r="S151" s="80" t="str">
        <f t="array" ref="S151">XLOOKUP(C151,datos_personales[id:],datos_personales[E-Mail:],"no dato",0,1)</f>
        <v/>
      </c>
      <c r="T151" s="88" t="str">
        <f t="array" ref="T151">XLOOKUP(R151,telefonos_afiliados[numeros_loys],telefonos_afiliados[esta],"no esta",0,1)</f>
        <v>1</v>
      </c>
      <c r="U151" s="88" t="str">
        <f t="array" ref="U151">XLOOKUP(C151,datos_personales[id:],datos_laborales[renuncio],"no dato",0,1)</f>
        <v>#N/A</v>
      </c>
      <c r="V151" s="93" t="str">
        <f t="array" ref="V151">XLOOKUP(C151,datos_laborales[clave_foranea],datos_laborales[tiene_ficha_pdf],"no tiene ficha pdf",0,1)</f>
        <v>no tiene en pdf</v>
      </c>
      <c r="W151" s="78"/>
    </row>
    <row r="152" ht="15.75" hidden="1" customHeight="1">
      <c r="A152" s="79"/>
      <c r="B152" s="80"/>
      <c r="C152" s="81">
        <f>datos_personales[id:]</f>
        <v>34977306</v>
      </c>
      <c r="D152" s="81" t="str">
        <f t="array" ref="D152">XLOOKUP(C152,datos_laborales[clave_foranea],datos_laborales[Relacion de Dependencia],"dato no encontrado",0,1)</f>
        <v>Planta Transitoria</v>
      </c>
      <c r="E152" s="80" t="str">
        <f t="array" ref="E152">XLOOKUP(C152,datos_delegados[clave_foranea:],datos_delegados[En Actividad]," ",0,1)</f>
        <v> </v>
      </c>
      <c r="F152" s="81" t="str">
        <f t="array" ref="F152">CONCATENATE(XLOOKUP(C152,datos_personales[id:],datos_personales[Apellido:],"no dato",0,1),", ",XLOOKUP(C152,datos_personales[id:],datos_personales[Nombre],"no dato",0,1))</f>
        <v>Armentano,  Romina </v>
      </c>
      <c r="G152" s="81">
        <f t="array" ref="G152">XLOOKUP(C152,datos_laborales[clave_foranea],datos_laborales[N° De Legajo],"no dato",0,1)</f>
        <v>134</v>
      </c>
      <c r="H152" s="82">
        <f t="array" ref="H152">XLOOKUP(C152,datos_laborales[clave_foranea], datos_laborales[Inicio Actividad:],"no dato",0,1)</f>
        <v>41732</v>
      </c>
      <c r="I152" s="81">
        <f t="array" ref="I152">XLOOKUP(C152,datos_laborales[clave_foranea],datos_laborales[Años en Actividad:],"no dato",0,1)</f>
        <v>11</v>
      </c>
      <c r="J152" s="81">
        <f t="array" ref="J152">XLOOKUP(C152,datos_personales[id:],datos_personales[D.n.i:],"no dato",0,1)</f>
        <v>34977306</v>
      </c>
      <c r="K152" s="82">
        <f t="array" ref="K152">XLOOKUP(C152,datos_personales[id:],datos_personales[Fecha Nacimiento:],"no dato",0,1)</f>
        <v>32826</v>
      </c>
      <c r="L152" s="81">
        <f>COUNTIF(hijos!B:B,C152)</f>
        <v>0</v>
      </c>
      <c r="M152" s="83">
        <f>COUNTIFS(hijos!B:B,C152,hijos!I:I,1)</f>
        <v>0</v>
      </c>
      <c r="N152" s="84">
        <f>COUNTIFS(hijos!B:B,C152,hijos!J:J,1)</f>
        <v>0</v>
      </c>
      <c r="O152" s="84">
        <f>COUNTIFS(hijos!B:B,C152,hijos!K:K,1)</f>
        <v>0</v>
      </c>
      <c r="P152" s="84">
        <f>COUNTIFS(hijos!B:B,C152,hijos!L:L,1)</f>
        <v>0</v>
      </c>
      <c r="Q152" s="84">
        <f t="shared" si="1"/>
        <v>0</v>
      </c>
      <c r="R152" s="85">
        <f t="array" ref="R152">XLOOKUP(C152,datos_personales[id:],datos_personales[Tel. Contacto:],"no dato",0,1)</f>
        <v>1124836290</v>
      </c>
      <c r="S152" s="81" t="str">
        <f t="array" ref="S152">XLOOKUP(C152,datos_personales[id:],datos_personales[E-Mail:],"no dato",0,1)</f>
        <v>armentanoromina@outlook.com</v>
      </c>
      <c r="T152" s="81" t="str">
        <f t="array" ref="T152">XLOOKUP(R152,telefonos_afiliados[numeros_loys],telefonos_afiliados[esta],"no esta",0,1)</f>
        <v>no esta</v>
      </c>
      <c r="U152" s="81" t="str">
        <f t="array" ref="U152">XLOOKUP(C152,datos_laborales[id:],datos_laborales[renuncio],"no dato",0,1)</f>
        <v>no dato</v>
      </c>
      <c r="V152" s="87" t="str">
        <f t="array" ref="V152">XLOOKUP(C152,datos_laborales[clave_foranea],datos_laborales[tiene_ficha_pdf],"no tiene ficha pdf",0,1)</f>
        <v>no tiene en pdf</v>
      </c>
      <c r="W152" s="78"/>
    </row>
    <row r="153" ht="15.75" hidden="1" customHeight="1">
      <c r="A153" s="79"/>
      <c r="B153" s="80"/>
      <c r="C153" s="88">
        <f>datos_personales[id:]</f>
        <v>41062447</v>
      </c>
      <c r="D153" s="88" t="str">
        <f t="array" ref="D153">XLOOKUP(C153,datos_laborales[clave_foranea],datos_laborales[Relacion de Dependencia],"dato no encontrado",0,1)</f>
        <v>Monotributista</v>
      </c>
      <c r="E153" s="80" t="str">
        <f t="array" ref="E153">XLOOKUP(C153,datos_delegados[clave_foranea:],datos_delegados[En Actividad]," ",0,1)</f>
        <v> </v>
      </c>
      <c r="F153" s="88" t="str">
        <f t="array" ref="F153">CONCATENATE(XLOOKUP(C153,datos_personales[id:],datos_personales[Apellido:],"no dato",0,1),", ",XLOOKUP(C153,datos_personales[id:],datos_personales[Nombre],"no dato",0,1))</f>
        <v>Barrero Borda,  Melanie Araceli</v>
      </c>
      <c r="G153" s="88">
        <f t="array" ref="G153">XLOOKUP(C153,datos_laborales[clave_foranea],datos_laborales[N° De Legajo],"no dato",0,1)</f>
        <v>207</v>
      </c>
      <c r="H153" s="89">
        <f t="array" ref="H153">XLOOKUP(C153,datos_laborales[clave_foranea], datos_laborales[Inicio Actividad:],"no dato",0,1)</f>
        <v>42795</v>
      </c>
      <c r="I153" s="88">
        <f t="array" ref="I153">XLOOKUP(C153,datos_laborales[clave_foranea],datos_laborales[Años en Actividad:],"no dato",0,1)</f>
        <v>8</v>
      </c>
      <c r="J153" s="88">
        <f t="array" ref="J153">XLOOKUP(C153,datos_personales[id:],datos_personales[D.n.i:],"no dato",0,1)</f>
        <v>41062447</v>
      </c>
      <c r="K153" s="89">
        <f t="array" ref="K153">XLOOKUP(C153,datos_personales[id:],datos_personales[Fecha Nacimiento:],"no dato",0,1)</f>
        <v>35865</v>
      </c>
      <c r="L153" s="88">
        <f>COUNTIF(hijos!B:B,C153)</f>
        <v>0</v>
      </c>
      <c r="M153" s="90">
        <f>COUNTIFS(hijos!B:B,C153,hijos!I:I,1)</f>
        <v>0</v>
      </c>
      <c r="N153" s="91">
        <f>COUNTIFS(hijos!B:B,C153,hijos!J:J,1)</f>
        <v>0</v>
      </c>
      <c r="O153" s="91">
        <f>COUNTIFS(hijos!B:B,C153,hijos!K:K,1)</f>
        <v>0</v>
      </c>
      <c r="P153" s="91">
        <f>COUNTIFS(hijos!B:B,C153,hijos!L:L,1)</f>
        <v>0</v>
      </c>
      <c r="Q153" s="91">
        <f t="shared" si="1"/>
        <v>0</v>
      </c>
      <c r="R153" s="103">
        <f t="array" ref="R153">XLOOKUP(C153,datos_personales[id:],datos_personales[Tel. Contacto:],"no dato",0,1)</f>
        <v>1144271929</v>
      </c>
      <c r="S153" s="88" t="str">
        <f t="array" ref="S153">XLOOKUP(C153,datos_personales[id:],datos_personales[E-Mail:],"no dato",0,1)</f>
        <v>melaniebarrero@gmail.com</v>
      </c>
      <c r="T153" s="88" t="str">
        <f t="array" ref="T153">XLOOKUP(R153,telefonos_afiliados[numeros_loys],telefonos_afiliados[esta],"no esta",0,1)</f>
        <v>no esta</v>
      </c>
      <c r="U153" s="88" t="str">
        <f t="array" ref="U153">XLOOKUP(C153,datos_personales[id:],datos_laborales[renuncio],"no dato",0,1)</f>
        <v>#N/A</v>
      </c>
      <c r="V153" s="93" t="str">
        <f t="array" ref="V153">XLOOKUP(C153,datos_laborales[clave_foranea],datos_laborales[tiene_ficha_pdf],"no tiene ficha pdf",0,1)</f>
        <v>no tiene en pdf</v>
      </c>
      <c r="W153" s="78"/>
    </row>
    <row r="154" ht="15.75" hidden="1" customHeight="1">
      <c r="A154" s="79"/>
      <c r="B154" s="80"/>
      <c r="C154" s="81">
        <f>datos_personales[id:]</f>
        <v>28922058</v>
      </c>
      <c r="D154" s="81" t="str">
        <f t="array" ref="D154">XLOOKUP(C154,datos_laborales[clave_foranea],datos_laborales[Relacion de Dependencia],"dato no encontrado",0,1)</f>
        <v>Monotributista</v>
      </c>
      <c r="E154" s="80" t="str">
        <f t="array" ref="E154">XLOOKUP(C154,datos_delegados[clave_foranea:],datos_delegados[En Actividad]," ",0,1)</f>
        <v> </v>
      </c>
      <c r="F154" s="81" t="str">
        <f t="array" ref="F154">CONCATENATE(XLOOKUP(C154,datos_personales[id:],datos_personales[Apellido:],"no dato",0,1),", ",XLOOKUP(C154,datos_personales[id:],datos_personales[Nombre],"no dato",0,1))</f>
        <v>Bazán,  Erica Haydee</v>
      </c>
      <c r="G154" s="81">
        <f t="array" ref="G154">XLOOKUP(C154,datos_laborales[clave_foranea],datos_laborales[N° De Legajo],"no dato",0,1)</f>
        <v>450</v>
      </c>
      <c r="H154" s="82">
        <f t="array" ref="H154">XLOOKUP(C154,datos_laborales[clave_foranea], datos_laborales[Inicio Actividad:],"no dato",0,1)</f>
        <v>42917</v>
      </c>
      <c r="I154" s="81">
        <f t="array" ref="I154">XLOOKUP(C154,datos_laborales[clave_foranea],datos_laborales[Años en Actividad:],"no dato",0,1)</f>
        <v>8</v>
      </c>
      <c r="J154" s="81">
        <f t="array" ref="J154">XLOOKUP(C154,datos_personales[id:],datos_personales[D.n.i:],"no dato",0,1)</f>
        <v>28922058</v>
      </c>
      <c r="K154" s="82">
        <f t="array" ref="K154">XLOOKUP(C154,datos_personales[id:],datos_personales[Fecha Nacimiento:],"no dato",0,1)</f>
        <v>29720</v>
      </c>
      <c r="L154" s="81">
        <f>COUNTIF(hijos!B:B,C154)</f>
        <v>0</v>
      </c>
      <c r="M154" s="83">
        <f>COUNTIFS(hijos!B:B,C154,hijos!I:I,1)</f>
        <v>0</v>
      </c>
      <c r="N154" s="84">
        <f>COUNTIFS(hijos!B:B,C154,hijos!J:J,1)</f>
        <v>0</v>
      </c>
      <c r="O154" s="84">
        <f>COUNTIFS(hijos!B:B,C154,hijos!K:K,1)</f>
        <v>0</v>
      </c>
      <c r="P154" s="84">
        <f>COUNTIFS(hijos!B:B,C154,hijos!L:L,1)</f>
        <v>0</v>
      </c>
      <c r="Q154" s="84">
        <f t="shared" si="1"/>
        <v>0</v>
      </c>
      <c r="R154" s="85">
        <f t="array" ref="R154">XLOOKUP(C154,datos_personales[id:],datos_personales[Tel. Contacto:],"no dato",0,1)</f>
        <v>1134039809</v>
      </c>
      <c r="S154" s="81" t="str">
        <f t="array" ref="S154">XLOOKUP(C154,datos_personales[id:],datos_personales[E-Mail:],"no dato",0,1)</f>
        <v>daniela_99kikus@hotmail.com </v>
      </c>
      <c r="T154" s="81" t="str">
        <f t="array" ref="T154">XLOOKUP(R154,telefonos_afiliados[numeros_loys],telefonos_afiliados[esta],"no esta",0,1)</f>
        <v>1</v>
      </c>
      <c r="U154" s="81" t="str">
        <f t="array" ref="U154">XLOOKUP(C154,datos_personales[id:],datos_laborales[renuncio],"no dato",0,1)</f>
        <v>#N/A</v>
      </c>
      <c r="V154" s="87" t="str">
        <f t="array" ref="V154">XLOOKUP(C154,datos_laborales[clave_foranea],datos_laborales[tiene_ficha_pdf],"no tiene ficha pdf",0,1)</f>
        <v>no tiene en pdf</v>
      </c>
      <c r="W154" s="78"/>
    </row>
    <row r="155" ht="15.75" hidden="1" customHeight="1">
      <c r="A155" s="79"/>
      <c r="B155" s="80"/>
      <c r="C155" s="88">
        <f>datos_personales[id:]</f>
        <v>41047817</v>
      </c>
      <c r="D155" s="88" t="str">
        <f t="array" ref="D155">XLOOKUP(C155,datos_laborales[clave_foranea],datos_laborales[Relacion de Dependencia],"dato no encontrado",0,1)</f>
        <v>Monotributista</v>
      </c>
      <c r="E155" s="80" t="str">
        <f t="array" ref="E155">XLOOKUP(C155,datos_delegados[clave_foranea:],datos_delegados[En Actividad]," ",0,1)</f>
        <v> </v>
      </c>
      <c r="F155" s="88" t="str">
        <f t="array" ref="F155">CONCATENATE(XLOOKUP(C155,datos_personales[id:],datos_personales[Apellido:],"no dato",0,1),", ",XLOOKUP(C155,datos_personales[id:],datos_personales[Nombre],"no dato",0,1))</f>
        <v>Bergamoen,  Angie</v>
      </c>
      <c r="G155" s="88">
        <f t="array" ref="G155">XLOOKUP(C155,datos_laborales[clave_foranea],datos_laborales[N° De Legajo],"no dato",0,1)</f>
        <v>2593</v>
      </c>
      <c r="H155" s="106" t="str">
        <f t="array" ref="H155">XLOOKUP(C155,datos_laborales[clave_foranea], datos_laborales[Inicio Actividad:],"no dato",0,1)</f>
        <v/>
      </c>
      <c r="I155" s="88">
        <f t="array" ref="I155">XLOOKUP(C155,datos_laborales[clave_foranea],datos_laborales[Años en Actividad:],"no dato",0,1)</f>
        <v>126</v>
      </c>
      <c r="J155" s="88">
        <f t="array" ref="J155">XLOOKUP(C155,datos_personales[id:],datos_personales[D.n.i:],"no dato",0,1)</f>
        <v>41047817</v>
      </c>
      <c r="K155" s="106" t="str">
        <f t="array" ref="K155">XLOOKUP(C155,datos_personales[id:],datos_personales[Fecha Nacimiento:],"no dato",0,1)</f>
        <v/>
      </c>
      <c r="L155" s="88">
        <f>COUNTIF(hijos!B:B,C155)</f>
        <v>0</v>
      </c>
      <c r="M155" s="90">
        <f>COUNTIFS(hijos!B:B,C155,hijos!I:I,1)</f>
        <v>0</v>
      </c>
      <c r="N155" s="91">
        <f>COUNTIFS(hijos!B:B,C155,hijos!J:J,1)</f>
        <v>0</v>
      </c>
      <c r="O155" s="91">
        <f>COUNTIFS(hijos!B:B,C155,hijos!K:K,1)</f>
        <v>0</v>
      </c>
      <c r="P155" s="91">
        <f>COUNTIFS(hijos!B:B,C155,hijos!L:L,1)</f>
        <v>0</v>
      </c>
      <c r="Q155" s="91">
        <f t="shared" si="1"/>
        <v>0</v>
      </c>
      <c r="R155" s="92" t="str">
        <f t="array" ref="R155">XLOOKUP(C155,datos_personales[id:],datos_personales[Tel. Contacto:],"no dato",0,1)</f>
        <v/>
      </c>
      <c r="S155" s="80" t="str">
        <f t="array" ref="S155">XLOOKUP(C155,datos_personales[id:],datos_personales[E-Mail:],"no dato",0,1)</f>
        <v/>
      </c>
      <c r="T155" s="88" t="str">
        <f t="array" ref="T155">XLOOKUP(R155,telefonos_afiliados[numeros_loys],telefonos_afiliados[esta],"no esta",0,1)</f>
        <v>no esta</v>
      </c>
      <c r="U155" s="88" t="str">
        <f t="array" ref="U155">XLOOKUP(C155,datos_laborales[id:],datos_laborales[renuncio],"no dato",0,1)</f>
        <v>no dato</v>
      </c>
      <c r="V155" s="93" t="str">
        <f t="array" ref="V155">XLOOKUP(C155,datos_laborales[clave_foranea],datos_laborales[tiene_ficha_pdf],"no tiene ficha pdf",0,1)</f>
        <v>no tiene en pdf</v>
      </c>
      <c r="W155" s="78"/>
    </row>
    <row r="156" ht="15.75" hidden="1" customHeight="1">
      <c r="A156" s="79"/>
      <c r="B156" s="80"/>
      <c r="C156" s="81">
        <f>datos_personales[id:]</f>
        <v>39915064</v>
      </c>
      <c r="D156" s="81" t="str">
        <f t="array" ref="D156">XLOOKUP(C156,datos_laborales[clave_foranea],datos_laborales[Relacion de Dependencia],"dato no encontrado",0,1)</f>
        <v>Monotributista</v>
      </c>
      <c r="E156" s="80" t="str">
        <f t="array" ref="E156">XLOOKUP(C156,datos_delegados[clave_foranea:],datos_delegados[En Actividad]," ",0,1)</f>
        <v> </v>
      </c>
      <c r="F156" s="81" t="str">
        <f t="array" ref="F156">CONCATENATE(XLOOKUP(C156,datos_personales[id:],datos_personales[Apellido:],"no dato",0,1),", ",XLOOKUP(C156,datos_personales[id:],datos_personales[Nombre],"no dato",0,1))</f>
        <v>Bianchi,  Alexis</v>
      </c>
      <c r="G156" s="81">
        <f t="array" ref="G156">XLOOKUP(C156,datos_laborales[clave_foranea],datos_laborales[N° De Legajo],"no dato",0,1)</f>
        <v>1526</v>
      </c>
      <c r="H156" s="106" t="str">
        <f t="array" ref="H156">XLOOKUP(C156,datos_laborales[clave_foranea], datos_laborales[Inicio Actividad:],"no dato",0,1)</f>
        <v/>
      </c>
      <c r="I156" s="81">
        <f t="array" ref="I156">XLOOKUP(C156,datos_laborales[clave_foranea],datos_laborales[Años en Actividad:],"no dato",0,1)</f>
        <v>126</v>
      </c>
      <c r="J156" s="81">
        <f t="array" ref="J156">XLOOKUP(C156,datos_personales[id:],datos_personales[D.n.i:],"no dato",0,1)</f>
        <v>39915064</v>
      </c>
      <c r="K156" s="106" t="str">
        <f t="array" ref="K156">XLOOKUP(C156,datos_personales[id:],datos_personales[Fecha Nacimiento:],"no dato",0,1)</f>
        <v/>
      </c>
      <c r="L156" s="81">
        <f>COUNTIF(hijos!B:B,C156)</f>
        <v>0</v>
      </c>
      <c r="M156" s="83">
        <f>COUNTIFS(hijos!B:B,C156,hijos!I:I,1)</f>
        <v>0</v>
      </c>
      <c r="N156" s="84">
        <f>COUNTIFS(hijos!B:B,C156,hijos!J:J,1)</f>
        <v>0</v>
      </c>
      <c r="O156" s="84">
        <f>COUNTIFS(hijos!B:B,C156,hijos!K:K,1)</f>
        <v>0</v>
      </c>
      <c r="P156" s="84">
        <f>COUNTIFS(hijos!B:B,C156,hijos!L:L,1)</f>
        <v>0</v>
      </c>
      <c r="Q156" s="84">
        <f t="shared" si="1"/>
        <v>0</v>
      </c>
      <c r="R156" s="92" t="str">
        <f t="array" ref="R156">XLOOKUP(C156,datos_personales[id:],datos_personales[Tel. Contacto:],"no dato",0,1)</f>
        <v/>
      </c>
      <c r="S156" s="80" t="str">
        <f t="array" ref="S156">XLOOKUP(C156,datos_personales[id:],datos_personales[E-Mail:],"no dato",0,1)</f>
        <v/>
      </c>
      <c r="T156" s="81" t="str">
        <f t="array" ref="T156">XLOOKUP(R156,telefonos_afiliados[numeros_loys],telefonos_afiliados[esta],"no esta",0,1)</f>
        <v>no esta</v>
      </c>
      <c r="U156" s="81" t="str">
        <f t="array" ref="U156">XLOOKUP(C156,datos_personales[id:],datos_laborales[renuncio],"no dato",0,1)</f>
        <v>#N/A</v>
      </c>
      <c r="V156" s="87" t="str">
        <f t="array" ref="V156">XLOOKUP(C156,datos_laborales[clave_foranea],datos_laborales[tiene_ficha_pdf],"no tiene ficha pdf",0,1)</f>
        <v>no tiene en pdf</v>
      </c>
      <c r="W156" s="78"/>
    </row>
    <row r="157" ht="15.75" hidden="1" customHeight="1">
      <c r="A157" s="79"/>
      <c r="B157" s="80"/>
      <c r="C157" s="88">
        <f>datos_personales[id:]</f>
        <v>34703565</v>
      </c>
      <c r="D157" s="88" t="str">
        <f t="array" ref="D157">XLOOKUP(C157,datos_laborales[clave_foranea],datos_laborales[Relacion de Dependencia],"dato no encontrado",0,1)</f>
        <v>Monotributista</v>
      </c>
      <c r="E157" s="80" t="str">
        <f t="array" ref="E157">XLOOKUP(C157,datos_delegados[clave_foranea:],datos_delegados[En Actividad]," ",0,1)</f>
        <v> </v>
      </c>
      <c r="F157" s="88" t="str">
        <f t="array" ref="F157">CONCATENATE(XLOOKUP(C157,datos_personales[id:],datos_personales[Apellido:],"no dato",0,1),", ",XLOOKUP(C157,datos_personales[id:],datos_personales[Nombre],"no dato",0,1))</f>
        <v>Borda,  Noelia Elizabeth</v>
      </c>
      <c r="G157" s="88">
        <f t="array" ref="G157">XLOOKUP(C157,datos_laborales[clave_foranea],datos_laborales[N° De Legajo],"no dato",0,1)</f>
        <v>726</v>
      </c>
      <c r="H157" s="89">
        <f t="array" ref="H157">XLOOKUP(C157,datos_laborales[clave_foranea], datos_laborales[Inicio Actividad:],"no dato",0,1)</f>
        <v>42948</v>
      </c>
      <c r="I157" s="88">
        <f t="array" ref="I157">XLOOKUP(C157,datos_laborales[clave_foranea],datos_laborales[Años en Actividad:],"no dato",0,1)</f>
        <v>8</v>
      </c>
      <c r="J157" s="88">
        <f t="array" ref="J157">XLOOKUP(C157,datos_personales[id:],datos_personales[D.n.i:],"no dato",0,1)</f>
        <v>34703565</v>
      </c>
      <c r="K157" s="89">
        <f t="array" ref="K157">XLOOKUP(C157,datos_personales[id:],datos_personales[Fecha Nacimiento:],"no dato",0,1)</f>
        <v>32879</v>
      </c>
      <c r="L157" s="88">
        <f>COUNTIF(hijos!B:B,C157)</f>
        <v>0</v>
      </c>
      <c r="M157" s="90">
        <f>COUNTIFS(hijos!B:B,C157,hijos!I:I,1)</f>
        <v>0</v>
      </c>
      <c r="N157" s="91">
        <f>COUNTIFS(hijos!B:B,C157,hijos!J:J,1)</f>
        <v>0</v>
      </c>
      <c r="O157" s="91">
        <f>COUNTIFS(hijos!B:B,C157,hijos!K:K,1)</f>
        <v>0</v>
      </c>
      <c r="P157" s="91">
        <f>COUNTIFS(hijos!B:B,C157,hijos!L:L,1)</f>
        <v>0</v>
      </c>
      <c r="Q157" s="91">
        <f t="shared" si="1"/>
        <v>0</v>
      </c>
      <c r="R157" s="80" t="str">
        <f t="array" ref="R157">XLOOKUP(C157,datos_personales[id:],datos_personales[Tel. Contacto:],"no dato",0,1)</f>
        <v/>
      </c>
      <c r="S157" s="80" t="str">
        <f t="array" ref="S157">XLOOKUP(C157,datos_personales[id:],datos_personales[E-Mail:],"no dato",0,1)</f>
        <v/>
      </c>
      <c r="T157" s="88" t="str">
        <f t="array" ref="T157">XLOOKUP(R157,telefonos_afiliados[numeros_loys],telefonos_afiliados[esta],"no esta",0,1)</f>
        <v>no esta</v>
      </c>
      <c r="U157" s="80"/>
      <c r="V157" s="104"/>
      <c r="W157" s="78"/>
    </row>
    <row r="158" ht="15.75" hidden="1" customHeight="1">
      <c r="A158" s="79"/>
      <c r="B158" s="80"/>
      <c r="C158" s="81">
        <f>datos_personales[id:]</f>
        <v>39066896</v>
      </c>
      <c r="D158" s="81" t="str">
        <f t="array" ref="D158">XLOOKUP(C158,datos_laborales[clave_foranea],datos_laborales[Relacion de Dependencia],"dato no encontrado",0,1)</f>
        <v>Monotributista</v>
      </c>
      <c r="E158" s="80" t="str">
        <f t="array" ref="E158">XLOOKUP(C158,datos_delegados[clave_foranea:],datos_delegados[En Actividad]," ",0,1)</f>
        <v> </v>
      </c>
      <c r="F158" s="81" t="str">
        <f t="array" ref="F158">CONCATENATE(XLOOKUP(C158,datos_personales[id:],datos_personales[Apellido:],"no dato",0,1),", ",XLOOKUP(C158,datos_personales[id:],datos_personales[Nombre],"no dato",0,1))</f>
        <v>Bruno,  Johanna Belén </v>
      </c>
      <c r="G158" s="81">
        <f t="array" ref="G158">XLOOKUP(C158,datos_laborales[clave_foranea],datos_laborales[N° De Legajo],"no dato",0,1)</f>
        <v>1577</v>
      </c>
      <c r="H158" s="82">
        <f t="array" ref="H158">XLOOKUP(C158,datos_laborales[clave_foranea], datos_laborales[Inicio Actividad:],"no dato",0,1)</f>
        <v>43150</v>
      </c>
      <c r="I158" s="81">
        <f t="array" ref="I158">XLOOKUP(C158,datos_laborales[clave_foranea],datos_laborales[Años en Actividad:],"no dato",0,1)</f>
        <v>7</v>
      </c>
      <c r="J158" s="81">
        <f t="array" ref="J158">XLOOKUP(C158,datos_personales[id:],datos_personales[D.n.i:],"no dato",0,1)</f>
        <v>39066896</v>
      </c>
      <c r="K158" s="82">
        <f t="array" ref="K158">XLOOKUP(C158,datos_personales[id:],datos_personales[Fecha Nacimiento:],"no dato",0,1)</f>
        <v>35144</v>
      </c>
      <c r="L158" s="81">
        <f>COUNTIF(hijos!B:B,C158)</f>
        <v>1</v>
      </c>
      <c r="M158" s="83">
        <f>COUNTIFS(hijos!B:B,C158,hijos!I:I,1)</f>
        <v>0</v>
      </c>
      <c r="N158" s="84">
        <f>COUNTIFS(hijos!B:B,C158,hijos!J:J,1)</f>
        <v>0</v>
      </c>
      <c r="O158" s="84">
        <f>COUNTIFS(hijos!B:B,C158,hijos!K:K,1)</f>
        <v>1</v>
      </c>
      <c r="P158" s="84">
        <f>COUNTIFS(hijos!B:B,C158,hijos!L:L,1)</f>
        <v>0</v>
      </c>
      <c r="Q158" s="84">
        <f t="shared" si="1"/>
        <v>1</v>
      </c>
      <c r="R158" s="81">
        <f t="array" ref="R158">XLOOKUP(C158,datos_personales[id:],datos_personales[Tel. Contacto:],"no dato",0,1)</f>
        <v>1169729268</v>
      </c>
      <c r="S158" s="81" t="str">
        <f t="array" ref="S158">XLOOKUP(C158,datos_personales[id:],datos_personales[E-Mail:],"no dato",0,1)</f>
        <v>brunojohannab@gmail.com</v>
      </c>
      <c r="T158" s="81" t="str">
        <f t="array" ref="T158">XLOOKUP(R158,telefonos_afiliados[numeros_loys],telefonos_afiliados[esta],"no esta",0,1)</f>
        <v>no esta</v>
      </c>
      <c r="U158" s="80"/>
      <c r="V158" s="104"/>
      <c r="W158" s="78"/>
    </row>
    <row r="159" ht="15.75" hidden="1" customHeight="1">
      <c r="A159" s="79"/>
      <c r="B159" s="80"/>
      <c r="C159" s="88">
        <f>datos_personales[id:]</f>
        <v>38070151</v>
      </c>
      <c r="D159" s="88" t="str">
        <f t="array" ref="D159">XLOOKUP(C159,datos_laborales[clave_foranea],datos_laborales[Relacion de Dependencia],"dato no encontrado",0,1)</f>
        <v>Monotributista</v>
      </c>
      <c r="E159" s="80" t="str">
        <f t="array" ref="E159">XLOOKUP(C159,datos_delegados[clave_foranea:],datos_delegados[En Actividad]," ",0,1)</f>
        <v> </v>
      </c>
      <c r="F159" s="88" t="str">
        <f t="array" ref="F159">CONCATENATE(XLOOKUP(C159,datos_personales[id:],datos_personales[Apellido:],"no dato",0,1),", ",XLOOKUP(C159,datos_personales[id:],datos_personales[Nombre],"no dato",0,1))</f>
        <v>Camicia,  Leila Mabel</v>
      </c>
      <c r="G159" s="88">
        <f t="array" ref="G159">XLOOKUP(C159,datos_laborales[clave_foranea],datos_laborales[N° De Legajo],"no dato",0,1)</f>
        <v>1183</v>
      </c>
      <c r="H159" s="89">
        <f t="array" ref="H159">XLOOKUP(C159,datos_laborales[clave_foranea], datos_laborales[Inicio Actividad:],"no dato",0,1)</f>
        <v>43132</v>
      </c>
      <c r="I159" s="88">
        <f t="array" ref="I159">XLOOKUP(C159,datos_laborales[clave_foranea],datos_laborales[Años en Actividad:],"no dato",0,1)</f>
        <v>7</v>
      </c>
      <c r="J159" s="88">
        <f t="array" ref="J159">XLOOKUP(C159,datos_personales[id:],datos_personales[D.n.i:],"no dato",0,1)</f>
        <v>38070151</v>
      </c>
      <c r="K159" s="89">
        <f t="array" ref="K159">XLOOKUP(C159,datos_personales[id:],datos_personales[Fecha Nacimiento:],"no dato",0,1)</f>
        <v>34357</v>
      </c>
      <c r="L159" s="88">
        <f>COUNTIF(hijos!B:B,C159)</f>
        <v>0</v>
      </c>
      <c r="M159" s="90">
        <f>COUNTIFS(hijos!B:B,C159,hijos!I:I,1)</f>
        <v>0</v>
      </c>
      <c r="N159" s="91">
        <f>COUNTIFS(hijos!B:B,C159,hijos!J:J,1)</f>
        <v>0</v>
      </c>
      <c r="O159" s="91">
        <f>COUNTIFS(hijos!B:B,C159,hijos!K:K,1)</f>
        <v>0</v>
      </c>
      <c r="P159" s="91">
        <f>COUNTIFS(hijos!B:B,C159,hijos!L:L,1)</f>
        <v>0</v>
      </c>
      <c r="Q159" s="91">
        <f t="shared" si="1"/>
        <v>0</v>
      </c>
      <c r="R159" s="92" t="str">
        <f t="array" ref="R159">XLOOKUP(C159,datos_personales[id:],datos_personales[Tel. Contacto:],"no dato",0,1)</f>
        <v/>
      </c>
      <c r="S159" s="88" t="str">
        <f t="array" ref="S159">XLOOKUP(C159,datos_personales[id:],datos_personales[E-Mail:],"no dato",0,1)</f>
        <v>camicia.leila@gmail.com</v>
      </c>
      <c r="T159" s="88" t="str">
        <f t="array" ref="T159">XLOOKUP(R159,telefonos_afiliados[numeros_loys],telefonos_afiliados[esta],"no esta",0,1)</f>
        <v>no esta</v>
      </c>
      <c r="U159" s="88" t="str">
        <f t="array" ref="U159">XLOOKUP(C159,datos_personales[id:],datos_laborales[renuncio],"no dato",0,1)</f>
        <v>#N/A</v>
      </c>
      <c r="V159" s="93" t="str">
        <f t="array" ref="V159">XLOOKUP(C159,datos_laborales[clave_foranea],datos_laborales[tiene_ficha_pdf],"no tiene ficha pdf",0,1)</f>
        <v>no tiene en pdf</v>
      </c>
      <c r="W159" s="78"/>
    </row>
    <row r="160" ht="15.75" hidden="1" customHeight="1">
      <c r="A160" s="79"/>
      <c r="B160" s="80"/>
      <c r="C160" s="81">
        <f>datos_personales[id:]</f>
        <v>36087484</v>
      </c>
      <c r="D160" s="81" t="str">
        <f t="array" ref="D160">XLOOKUP(C160,datos_laborales[clave_foranea],datos_laborales[Relacion de Dependencia],"dato no encontrado",0,1)</f>
        <v>Planta Transitoria</v>
      </c>
      <c r="E160" s="80" t="str">
        <f t="array" ref="E160">XLOOKUP(C160,datos_delegados[clave_foranea:],datos_delegados[En Actividad]," ",0,1)</f>
        <v> </v>
      </c>
      <c r="F160" s="81" t="str">
        <f t="array" ref="F160">CONCATENATE(XLOOKUP(C160,datos_personales[id:],datos_personales[Apellido:],"no dato",0,1),", ",XLOOKUP(C160,datos_personales[id:],datos_personales[Nombre],"no dato",0,1))</f>
        <v>Castro Andraca,  Maria Angeles</v>
      </c>
      <c r="G160" s="81">
        <f t="array" ref="G160">XLOOKUP(C160,datos_laborales[clave_foranea],datos_laborales[N° De Legajo],"no dato",0,1)</f>
        <v>733</v>
      </c>
      <c r="H160" s="82">
        <f t="array" ref="H160">XLOOKUP(C160,datos_laborales[clave_foranea], datos_laborales[Inicio Actividad:],"no dato",0,1)</f>
        <v>42948</v>
      </c>
      <c r="I160" s="81">
        <f t="array" ref="I160">XLOOKUP(C160,datos_laborales[clave_foranea],datos_laborales[Años en Actividad:],"no dato",0,1)</f>
        <v>8</v>
      </c>
      <c r="J160" s="81">
        <f t="array" ref="J160">XLOOKUP(C160,datos_personales[id:],datos_personales[D.n.i:],"no dato",0,1)</f>
        <v>36087484</v>
      </c>
      <c r="K160" s="106" t="str">
        <f t="array" ref="K160">XLOOKUP(C160,datos_personales[id:],datos_personales[Fecha Nacimiento:],"no dato",0,1)</f>
        <v/>
      </c>
      <c r="L160" s="81">
        <f>COUNTIF(hijos!B:B,C160)</f>
        <v>0</v>
      </c>
      <c r="M160" s="83">
        <f>COUNTIFS(hijos!B:B,C160,hijos!I:I,1)</f>
        <v>0</v>
      </c>
      <c r="N160" s="84">
        <f>COUNTIFS(hijos!B:B,C160,hijos!J:J,1)</f>
        <v>0</v>
      </c>
      <c r="O160" s="84">
        <f>COUNTIFS(hijos!B:B,C160,hijos!K:K,1)</f>
        <v>0</v>
      </c>
      <c r="P160" s="84">
        <f>COUNTIFS(hijos!B:B,C160,hijos!L:L,1)</f>
        <v>0</v>
      </c>
      <c r="Q160" s="84">
        <f t="shared" si="1"/>
        <v>0</v>
      </c>
      <c r="R160" s="80" t="str">
        <f t="array" ref="R160">XLOOKUP(C160,datos_personales[id:],datos_personales[Tel. Contacto:],"no dato",0,1)</f>
        <v/>
      </c>
      <c r="S160" s="81" t="str">
        <f t="array" ref="S160">XLOOKUP(C160,datos_personales[id:],datos_personales[E-Mail:],"no dato",0,1)</f>
        <v>angelescastro.mc@gmail.com</v>
      </c>
      <c r="T160" s="81" t="str">
        <f t="array" ref="T160">XLOOKUP(R160,telefonos_afiliados[numeros_loys],telefonos_afiliados[esta],"no esta",0,1)</f>
        <v>no esta</v>
      </c>
      <c r="U160" s="80"/>
      <c r="V160" s="104"/>
      <c r="W160" s="78"/>
    </row>
    <row r="161" ht="15.75" hidden="1" customHeight="1">
      <c r="A161" s="79"/>
      <c r="B161" s="80"/>
      <c r="C161" s="88">
        <f>datos_personales[id:]</f>
        <v>36949250</v>
      </c>
      <c r="D161" s="88" t="str">
        <f t="array" ref="D161">XLOOKUP(C161,datos_laborales[clave_foranea],datos_laborales[Relacion de Dependencia],"dato no encontrado",0,1)</f>
        <v>Monotributista</v>
      </c>
      <c r="E161" s="80" t="str">
        <f t="array" ref="E161">XLOOKUP(C161,datos_delegados[clave_foranea:],datos_delegados[En Actividad]," ",0,1)</f>
        <v> </v>
      </c>
      <c r="F161" s="88" t="str">
        <f t="array" ref="F161">CONCATENATE(XLOOKUP(C161,datos_personales[id:],datos_personales[Apellido:],"no dato",0,1),", ",XLOOKUP(C161,datos_personales[id:],datos_personales[Nombre],"no dato",0,1))</f>
        <v>Estevez,  Brenda</v>
      </c>
      <c r="G161" s="88">
        <f t="array" ref="G161">XLOOKUP(C161,datos_laborales[clave_foranea],datos_laborales[N° De Legajo],"no dato",0,1)</f>
        <v>1642</v>
      </c>
      <c r="H161" s="89">
        <f t="array" ref="H161">XLOOKUP(C161,datos_laborales[clave_foranea], datos_laborales[Inicio Actividad:],"no dato",0,1)</f>
        <v>43535</v>
      </c>
      <c r="I161" s="88">
        <f t="array" ref="I161">XLOOKUP(C161,datos_laborales[clave_foranea],datos_laborales[Años en Actividad:],"no dato",0,1)</f>
        <v>6</v>
      </c>
      <c r="J161" s="88">
        <f t="array" ref="J161">XLOOKUP(C161,datos_personales[id:],datos_personales[D.n.i:],"no dato",0,1)</f>
        <v>36949250</v>
      </c>
      <c r="K161" s="89">
        <f t="array" ref="K161">XLOOKUP(C161,datos_personales[id:],datos_personales[Fecha Nacimiento:],"no dato",0,1)</f>
        <v>33882</v>
      </c>
      <c r="L161" s="88">
        <f>COUNTIF(hijos!B:B,C161)</f>
        <v>0</v>
      </c>
      <c r="M161" s="90">
        <f>COUNTIFS(hijos!B:B,C161,hijos!I:I,1)</f>
        <v>0</v>
      </c>
      <c r="N161" s="91">
        <f>COUNTIFS(hijos!B:B,C161,hijos!J:J,1)</f>
        <v>0</v>
      </c>
      <c r="O161" s="91">
        <f>COUNTIFS(hijos!B:B,C161,hijos!K:K,1)</f>
        <v>0</v>
      </c>
      <c r="P161" s="91">
        <f>COUNTIFS(hijos!B:B,C161,hijos!L:L,1)</f>
        <v>0</v>
      </c>
      <c r="Q161" s="91">
        <f t="shared" si="1"/>
        <v>0</v>
      </c>
      <c r="R161" s="92" t="str">
        <f t="array" ref="R161">XLOOKUP(C161,datos_personales[id:],datos_personales[Tel. Contacto:],"no dato",0,1)</f>
        <v/>
      </c>
      <c r="S161" s="88" t="str">
        <f t="array" ref="S161">XLOOKUP(C161,datos_personales[id:],datos_personales[E-Mail:],"no dato",0,1)</f>
        <v>estevezbrenda.j92@gmail.com</v>
      </c>
      <c r="T161" s="88" t="str">
        <f t="array" ref="T161">XLOOKUP(R161,telefonos_afiliados[numeros_loys],telefonos_afiliados[esta],"no esta",0,1)</f>
        <v>no esta</v>
      </c>
      <c r="U161" s="88" t="str">
        <f t="array" ref="U161">XLOOKUP(C161,datos_personales[id:],datos_laborales[renuncio],"no dato",0,1)</f>
        <v>#N/A</v>
      </c>
      <c r="V161" s="93" t="str">
        <f t="array" ref="V161">XLOOKUP(C161,datos_laborales[clave_foranea],datos_laborales[tiene_ficha_pdf],"no tiene ficha pdf",0,1)</f>
        <v>no tiene en pdf</v>
      </c>
      <c r="W161" s="78"/>
    </row>
    <row r="162" ht="15.75" hidden="1" customHeight="1">
      <c r="A162" s="79"/>
      <c r="B162" s="80"/>
      <c r="C162" s="81">
        <f>datos_personales[id:]</f>
        <v>38027633</v>
      </c>
      <c r="D162" s="81" t="str">
        <f t="array" ref="D162">XLOOKUP(C162,datos_laborales[clave_foranea],datos_laborales[Relacion de Dependencia],"dato no encontrado",0,1)</f>
        <v>Monotributista</v>
      </c>
      <c r="E162" s="80" t="str">
        <f t="array" ref="E162">XLOOKUP(C162,datos_delegados[clave_foranea:],datos_delegados[En Actividad]," ",0,1)</f>
        <v> </v>
      </c>
      <c r="F162" s="81" t="str">
        <f t="array" ref="F162">CONCATENATE(XLOOKUP(C162,datos_personales[id:],datos_personales[Apellido:],"no dato",0,1),", ",XLOOKUP(C162,datos_personales[id:],datos_personales[Nombre],"no dato",0,1))</f>
        <v>Gervasio,  Cintia Micaela </v>
      </c>
      <c r="G162" s="81">
        <f t="array" ref="G162">XLOOKUP(C162,datos_laborales[clave_foranea],datos_laborales[N° De Legajo],"no dato",0,1)</f>
        <v>1586</v>
      </c>
      <c r="H162" s="82">
        <f t="array" ref="H162">XLOOKUP(C162,datos_laborales[clave_foranea], datos_laborales[Inicio Actividad:],"no dato",0,1)</f>
        <v>43498</v>
      </c>
      <c r="I162" s="81">
        <f t="array" ref="I162">XLOOKUP(C162,datos_laborales[clave_foranea],datos_laborales[Años en Actividad:],"no dato",0,1)</f>
        <v>6</v>
      </c>
      <c r="J162" s="81">
        <f t="array" ref="J162">XLOOKUP(C162,datos_personales[id:],datos_personales[D.n.i:],"no dato",0,1)</f>
        <v>38027633</v>
      </c>
      <c r="K162" s="82">
        <f t="array" ref="K162">XLOOKUP(C162,datos_personales[id:],datos_personales[Fecha Nacimiento:],"no dato",0,1)</f>
        <v>34376</v>
      </c>
      <c r="L162" s="81">
        <f>COUNTIF(hijos!B:B,C162)</f>
        <v>0</v>
      </c>
      <c r="M162" s="83">
        <f>COUNTIFS(hijos!B:B,C162,hijos!I:I,1)</f>
        <v>0</v>
      </c>
      <c r="N162" s="84">
        <f>COUNTIFS(hijos!B:B,C162,hijos!J:J,1)</f>
        <v>0</v>
      </c>
      <c r="O162" s="84">
        <f>COUNTIFS(hijos!B:B,C162,hijos!K:K,1)</f>
        <v>0</v>
      </c>
      <c r="P162" s="84">
        <f>COUNTIFS(hijos!B:B,C162,hijos!L:L,1)</f>
        <v>0</v>
      </c>
      <c r="Q162" s="84">
        <f t="shared" si="1"/>
        <v>0</v>
      </c>
      <c r="R162" s="80" t="str">
        <f t="array" ref="R162">XLOOKUP(C162,datos_personales[id:],datos_personales[Tel. Contacto:],"no dato",0,1)</f>
        <v/>
      </c>
      <c r="S162" s="81" t="str">
        <f t="array" ref="S162">XLOOKUP(C162,datos_personales[id:],datos_personales[E-Mail:],"no dato",0,1)</f>
        <v>Mica.gervasio@gmail.com</v>
      </c>
      <c r="T162" s="81" t="str">
        <f t="array" ref="T162">XLOOKUP(R162,telefonos_afiliados[numeros_loys],telefonos_afiliados[esta],"no esta",0,1)</f>
        <v>no esta</v>
      </c>
      <c r="U162" s="80"/>
      <c r="V162" s="104"/>
      <c r="W162" s="78"/>
    </row>
    <row r="163" ht="15.75" hidden="1" customHeight="1">
      <c r="A163" s="79"/>
      <c r="B163" s="80"/>
      <c r="C163" s="88">
        <f>datos_personales[id:]</f>
        <v>36550977</v>
      </c>
      <c r="D163" s="88" t="str">
        <f t="array" ref="D163">XLOOKUP(C163,datos_laborales[clave_foranea],datos_laborales[Relacion de Dependencia],"dato no encontrado",0,1)</f>
        <v>Monotributista</v>
      </c>
      <c r="E163" s="80" t="str">
        <f t="array" ref="E163">XLOOKUP(C163,datos_delegados[clave_foranea:],datos_delegados[En Actividad]," ",0,1)</f>
        <v> </v>
      </c>
      <c r="F163" s="88" t="str">
        <f t="array" ref="F163">CONCATENATE(XLOOKUP(C163,datos_personales[id:],datos_personales[Apellido:],"no dato",0,1),", ",XLOOKUP(C163,datos_personales[id:],datos_personales[Nombre],"no dato",0,1))</f>
        <v>Jorrat,  Sasha Tamara</v>
      </c>
      <c r="G163" s="88">
        <f t="array" ref="G163">XLOOKUP(C163,datos_laborales[clave_foranea],datos_laborales[N° De Legajo],"no dato",0,1)</f>
        <v>1327</v>
      </c>
      <c r="H163" s="89">
        <f t="array" ref="H163">XLOOKUP(C163,datos_laborales[clave_foranea], datos_laborales[Inicio Actividad:],"no dato",0,1)</f>
        <v>43132</v>
      </c>
      <c r="I163" s="88">
        <f t="array" ref="I163">XLOOKUP(C163,datos_laborales[clave_foranea],datos_laborales[Años en Actividad:],"no dato",0,1)</f>
        <v>7</v>
      </c>
      <c r="J163" s="88">
        <f t="array" ref="J163">XLOOKUP(C163,datos_personales[id:],datos_personales[D.n.i:],"no dato",0,1)</f>
        <v>36550977</v>
      </c>
      <c r="K163" s="89">
        <f t="array" ref="K163">XLOOKUP(C163,datos_personales[id:],datos_personales[Fecha Nacimiento:],"no dato",0,1)</f>
        <v>34263</v>
      </c>
      <c r="L163" s="88">
        <f>COUNTIF(hijos!B:B,C163)</f>
        <v>0</v>
      </c>
      <c r="M163" s="90">
        <f>COUNTIFS(hijos!B:B,C163,hijos!I:I,1)</f>
        <v>0</v>
      </c>
      <c r="N163" s="91">
        <f>COUNTIFS(hijos!B:B,C163,hijos!J:J,1)</f>
        <v>0</v>
      </c>
      <c r="O163" s="91">
        <f>COUNTIFS(hijos!B:B,C163,hijos!K:K,1)</f>
        <v>0</v>
      </c>
      <c r="P163" s="91">
        <f>COUNTIFS(hijos!B:B,C163,hijos!L:L,1)</f>
        <v>0</v>
      </c>
      <c r="Q163" s="91">
        <f t="shared" si="1"/>
        <v>0</v>
      </c>
      <c r="R163" s="88">
        <f t="array" ref="R163">XLOOKUP(C163,datos_personales[id:],datos_personales[Tel. Contacto:],"no dato",0,1)</f>
        <v>1131374280</v>
      </c>
      <c r="S163" s="88" t="str">
        <f t="array" ref="S163">XLOOKUP(C163,datos_personales[id:],datos_personales[E-Mail:],"no dato",0,1)</f>
        <v>tamarajorrat@gmail.com</v>
      </c>
      <c r="T163" s="88" t="str">
        <f t="array" ref="T163">XLOOKUP(R163,telefonos_afiliados[numeros_loys],telefonos_afiliados[esta],"no esta",0,1)</f>
        <v>1</v>
      </c>
      <c r="U163" s="80"/>
      <c r="V163" s="104"/>
      <c r="W163" s="78"/>
    </row>
    <row r="164" ht="15.75" hidden="1" customHeight="1">
      <c r="A164" s="79"/>
      <c r="B164" s="80"/>
      <c r="C164" s="81">
        <f>datos_personales[id:]</f>
        <v>35914134</v>
      </c>
      <c r="D164" s="81" t="str">
        <f t="array" ref="D164">XLOOKUP(C164,datos_laborales[clave_foranea],datos_laborales[Relacion de Dependencia],"dato no encontrado",0,1)</f>
        <v>Monotributista</v>
      </c>
      <c r="E164" s="80" t="str">
        <f t="array" ref="E164">XLOOKUP(C164,datos_delegados[clave_foranea:],datos_delegados[En Actividad]," ",0,1)</f>
        <v> </v>
      </c>
      <c r="F164" s="81" t="str">
        <f t="array" ref="F164">CONCATENATE(XLOOKUP(C164,datos_personales[id:],datos_personales[Apellido:],"no dato",0,1),", ",XLOOKUP(C164,datos_personales[id:],datos_personales[Nombre],"no dato",0,1))</f>
        <v>Lopez,  Cinthia </v>
      </c>
      <c r="G164" s="81">
        <f t="array" ref="G164">XLOOKUP(C164,datos_laborales[clave_foranea],datos_laborales[N° De Legajo],"no dato",0,1)</f>
        <v>353</v>
      </c>
      <c r="H164" s="82">
        <f t="array" ref="H164">XLOOKUP(C164,datos_laborales[clave_foranea], datos_laborales[Inicio Actividad:],"no dato",0,1)</f>
        <v>42884</v>
      </c>
      <c r="I164" s="81">
        <f t="array" ref="I164">XLOOKUP(C164,datos_laborales[clave_foranea],datos_laborales[Años en Actividad:],"no dato",0,1)</f>
        <v>8</v>
      </c>
      <c r="J164" s="81">
        <f t="array" ref="J164">XLOOKUP(C164,datos_personales[id:],datos_personales[D.n.i:],"no dato",0,1)</f>
        <v>35914134</v>
      </c>
      <c r="K164" s="82">
        <f t="array" ref="K164">XLOOKUP(C164,datos_personales[id:],datos_personales[Fecha Nacimiento:],"no dato",0,1)</f>
        <v>33345</v>
      </c>
      <c r="L164" s="81">
        <f>COUNTIF(hijos!B:B,C164)</f>
        <v>0</v>
      </c>
      <c r="M164" s="83">
        <f>COUNTIFS(hijos!B:B,C164,hijos!I:I,1)</f>
        <v>0</v>
      </c>
      <c r="N164" s="84">
        <f>COUNTIFS(hijos!B:B,C164,hijos!J:J,1)</f>
        <v>0</v>
      </c>
      <c r="O164" s="84">
        <f>COUNTIFS(hijos!B:B,C164,hijos!K:K,1)</f>
        <v>0</v>
      </c>
      <c r="P164" s="84">
        <f>COUNTIFS(hijos!B:B,C164,hijos!L:L,1)</f>
        <v>0</v>
      </c>
      <c r="Q164" s="84">
        <f t="shared" si="1"/>
        <v>0</v>
      </c>
      <c r="R164" s="85">
        <f t="array" ref="R164">XLOOKUP(C164,datos_personales[id:],datos_personales[Tel. Contacto:],"no dato",0,1)</f>
        <v>1139734729</v>
      </c>
      <c r="S164" s="81" t="str">
        <f t="array" ref="S164">XLOOKUP(C164,datos_personales[id:],datos_personales[E-Mail:],"no dato",0,1)</f>
        <v>Cintia.lopez91@gmail.com</v>
      </c>
      <c r="T164" s="81" t="str">
        <f t="array" ref="T164">XLOOKUP(R164,telefonos_afiliados[numeros_loys],telefonos_afiliados[esta],"no esta",0,1)</f>
        <v>no esta</v>
      </c>
      <c r="U164" s="81" t="str">
        <f t="array" ref="U164">XLOOKUP(C164,datos_laborales[id:],datos_laborales[renuncio],"no dato",0,1)</f>
        <v>no dato</v>
      </c>
      <c r="V164" s="87" t="str">
        <f t="array" ref="V164">XLOOKUP(C164,datos_laborales[clave_foranea],datos_laborales[tiene_ficha_pdf],"no tiene ficha pdf",0,1)</f>
        <v>no tiene en pdf</v>
      </c>
      <c r="W164" s="78"/>
    </row>
    <row r="165" ht="15.75" hidden="1" customHeight="1">
      <c r="A165" s="79"/>
      <c r="B165" s="80"/>
      <c r="C165" s="88">
        <f>datos_personales[id:]</f>
        <v>95695047</v>
      </c>
      <c r="D165" s="88" t="str">
        <f t="array" ref="D165">XLOOKUP(C165,datos_laborales[clave_foranea],datos_laborales[Relacion de Dependencia],"dato no encontrado",0,1)</f>
        <v>Planta Transitoria</v>
      </c>
      <c r="E165" s="80" t="str">
        <f t="array" ref="E165">XLOOKUP(C165,datos_delegados[clave_foranea:],datos_delegados[En Actividad]," ",0,1)</f>
        <v> </v>
      </c>
      <c r="F165" s="88" t="str">
        <f t="array" ref="F165">CONCATENATE(XLOOKUP(C165,datos_personales[id:],datos_personales[Apellido:],"no dato",0,1),", ",XLOOKUP(C165,datos_personales[id:],datos_personales[Nombre],"no dato",0,1))</f>
        <v>López,  Nadiezha</v>
      </c>
      <c r="G165" s="88">
        <f t="array" ref="G165">XLOOKUP(C165,datos_laborales[clave_foranea],datos_laborales[N° De Legajo],"no dato",0,1)</f>
        <v>509</v>
      </c>
      <c r="H165" s="89">
        <f t="array" ref="H165">XLOOKUP(C165,datos_laborales[clave_foranea], datos_laborales[Inicio Actividad:],"no dato",0,1)</f>
        <v>42919</v>
      </c>
      <c r="I165" s="88">
        <f t="array" ref="I165">XLOOKUP(C165,datos_laborales[clave_foranea],datos_laborales[Años en Actividad:],"no dato",0,1)</f>
        <v>8</v>
      </c>
      <c r="J165" s="88">
        <f t="array" ref="J165">XLOOKUP(C165,datos_personales[id:],datos_personales[D.n.i:],"no dato",0,1)</f>
        <v>95695047</v>
      </c>
      <c r="K165" s="89">
        <f t="array" ref="K165">XLOOKUP(C165,datos_personales[id:],datos_personales[Fecha Nacimiento:],"no dato",0,1)</f>
        <v>27263</v>
      </c>
      <c r="L165" s="88">
        <f>COUNTIF(hijos!B:B,C165)</f>
        <v>0</v>
      </c>
      <c r="M165" s="90">
        <f>COUNTIFS(hijos!B:B,C165,hijos!I:I,1)</f>
        <v>0</v>
      </c>
      <c r="N165" s="91">
        <f>COUNTIFS(hijos!B:B,C165,hijos!J:J,1)</f>
        <v>0</v>
      </c>
      <c r="O165" s="91">
        <f>COUNTIFS(hijos!B:B,C165,hijos!K:K,1)</f>
        <v>0</v>
      </c>
      <c r="P165" s="91">
        <f>COUNTIFS(hijos!B:B,C165,hijos!L:L,1)</f>
        <v>0</v>
      </c>
      <c r="Q165" s="91">
        <f t="shared" si="1"/>
        <v>0</v>
      </c>
      <c r="R165" s="103">
        <f t="array" ref="R165">XLOOKUP(C165,datos_personales[id:],datos_personales[Tel. Contacto:],"no dato",0,1)</f>
        <v>1151065312</v>
      </c>
      <c r="S165" s="88" t="str">
        <f t="array" ref="S165">XLOOKUP(C165,datos_personales[id:],datos_personales[E-Mail:],"no dato",0,1)</f>
        <v>nadiezha.lopez@gmail.com</v>
      </c>
      <c r="T165" s="88" t="str">
        <f t="array" ref="T165">XLOOKUP(R165,telefonos_afiliados[numeros_loys],telefonos_afiliados[esta],"no esta",0,1)</f>
        <v>1</v>
      </c>
      <c r="U165" s="88" t="str">
        <f t="array" ref="U165">XLOOKUP(C165,datos_personales[id:],datos_laborales[renuncio],"no dato",0,1)</f>
        <v>#N/A</v>
      </c>
      <c r="V165" s="93" t="str">
        <f t="array" ref="V165">XLOOKUP(C165,datos_laborales[clave_foranea],datos_laborales[tiene_ficha_pdf],"no tiene ficha pdf",0,1)</f>
        <v>no tiene en pdf</v>
      </c>
      <c r="W165" s="78"/>
    </row>
    <row r="166" ht="15.75" hidden="1" customHeight="1">
      <c r="A166" s="79"/>
      <c r="B166" s="80"/>
      <c r="C166" s="81">
        <f>datos_personales[id:]</f>
        <v>37699248</v>
      </c>
      <c r="D166" s="81" t="str">
        <f t="array" ref="D166">XLOOKUP(C166,datos_laborales[clave_foranea],datos_laborales[Relacion de Dependencia],"dato no encontrado",0,1)</f>
        <v>Planta Permanente</v>
      </c>
      <c r="E166" s="80" t="str">
        <f t="array" ref="E166">XLOOKUP(C166,datos_delegados[clave_foranea:],datos_delegados[En Actividad]," ",0,1)</f>
        <v> </v>
      </c>
      <c r="F166" s="81" t="str">
        <f t="array" ref="F166">CONCATENATE(XLOOKUP(C166,datos_personales[id:],datos_personales[Apellido:],"no dato",0,1),", ",XLOOKUP(C166,datos_personales[id:],datos_personales[Nombre],"no dato",0,1))</f>
        <v>Lucero,  Camila Macarena</v>
      </c>
      <c r="G166" s="81">
        <f t="array" ref="G166">XLOOKUP(C166,datos_laborales[clave_foranea],datos_laborales[N° De Legajo],"no dato",0,1)</f>
        <v>232</v>
      </c>
      <c r="H166" s="82">
        <f t="array" ref="H166">XLOOKUP(C166,datos_laborales[clave_foranea], datos_laborales[Inicio Actividad:],"no dato",0,1)</f>
        <v>42795</v>
      </c>
      <c r="I166" s="81">
        <f t="array" ref="I166">XLOOKUP(C166,datos_laborales[clave_foranea],datos_laborales[Años en Actividad:],"no dato",0,1)</f>
        <v>8</v>
      </c>
      <c r="J166" s="81">
        <f t="array" ref="J166">XLOOKUP(C166,datos_personales[id:],datos_personales[D.n.i:],"no dato",0,1)</f>
        <v>37699248</v>
      </c>
      <c r="K166" s="82">
        <f t="array" ref="K166">XLOOKUP(C166,datos_personales[id:],datos_personales[Fecha Nacimiento:],"no dato",0,1)</f>
        <v>34151</v>
      </c>
      <c r="L166" s="81">
        <f>COUNTIF(hijos!B:B,C166)</f>
        <v>0</v>
      </c>
      <c r="M166" s="83">
        <f>COUNTIFS(hijos!B:B,C166,hijos!I:I,1)</f>
        <v>0</v>
      </c>
      <c r="N166" s="84">
        <f>COUNTIFS(hijos!B:B,C166,hijos!J:J,1)</f>
        <v>0</v>
      </c>
      <c r="O166" s="84">
        <f>COUNTIFS(hijos!B:B,C166,hijos!K:K,1)</f>
        <v>0</v>
      </c>
      <c r="P166" s="84">
        <f>COUNTIFS(hijos!B:B,C166,hijos!L:L,1)</f>
        <v>0</v>
      </c>
      <c r="Q166" s="84">
        <f t="shared" si="1"/>
        <v>0</v>
      </c>
      <c r="R166" s="81">
        <f t="array" ref="R166">XLOOKUP(C166,datos_personales[id:],datos_personales[Tel. Contacto:],"no dato",0,1)</f>
        <v>1126538300</v>
      </c>
      <c r="S166" s="81" t="str">
        <f t="array" ref="S166">XLOOKUP(C166,datos_personales[id:],datos_personales[E-Mail:],"no dato",0,1)</f>
        <v>camilalucero335@hotmail.com</v>
      </c>
      <c r="T166" s="81" t="str">
        <f t="array" ref="T166">XLOOKUP(R166,telefonos_afiliados[numeros_loys],telefonos_afiliados[esta],"no esta",0,1)</f>
        <v>1</v>
      </c>
      <c r="U166" s="80"/>
      <c r="V166" s="104"/>
      <c r="W166" s="78"/>
    </row>
    <row r="167" ht="15.75" hidden="1" customHeight="1">
      <c r="A167" s="79"/>
      <c r="B167" s="80"/>
      <c r="C167" s="88">
        <f>datos_personales[id:]</f>
        <v>25044383</v>
      </c>
      <c r="D167" s="88" t="str">
        <f t="array" ref="D167">XLOOKUP(C167,datos_laborales[clave_foranea],datos_laborales[Relacion de Dependencia],"dato no encontrado",0,1)</f>
        <v>Planta Permanente</v>
      </c>
      <c r="E167" s="80" t="str">
        <f t="array" ref="E167">XLOOKUP(C167,datos_delegados[clave_foranea:],datos_delegados[En Actividad]," ",0,1)</f>
        <v> </v>
      </c>
      <c r="F167" s="88" t="str">
        <f t="array" ref="F167">CONCATENATE(XLOOKUP(C167,datos_personales[id:],datos_personales[Apellido:],"no dato",0,1),", ",XLOOKUP(C167,datos_personales[id:],datos_personales[Nombre],"no dato",0,1))</f>
        <v>Mugno,  Vanesa</v>
      </c>
      <c r="G167" s="88">
        <f t="array" ref="G167">XLOOKUP(C167,datos_laborales[clave_foranea],datos_laborales[N° De Legajo],"no dato",0,1)</f>
        <v>1380</v>
      </c>
      <c r="H167" s="89">
        <f t="array" ref="H167">XLOOKUP(C167,datos_laborales[clave_foranea], datos_laborales[Inicio Actividad:],"no dato",0,1)</f>
        <v>42310</v>
      </c>
      <c r="I167" s="88">
        <f t="array" ref="I167">XLOOKUP(C167,datos_laborales[clave_foranea],datos_laborales[Años en Actividad:],"no dato",0,1)</f>
        <v>10</v>
      </c>
      <c r="J167" s="88">
        <f t="array" ref="J167">XLOOKUP(C167,datos_personales[id:],datos_personales[D.n.i:],"no dato",0,1)</f>
        <v>25044383</v>
      </c>
      <c r="K167" s="89">
        <f t="array" ref="K167">XLOOKUP(C167,datos_personales[id:],datos_personales[Fecha Nacimiento:],"no dato",0,1)</f>
        <v>27639</v>
      </c>
      <c r="L167" s="88">
        <f>COUNTIF(hijos!B:B,C167)</f>
        <v>0</v>
      </c>
      <c r="M167" s="90">
        <f>COUNTIFS(hijos!B:B,C167,hijos!I:I,1)</f>
        <v>0</v>
      </c>
      <c r="N167" s="91">
        <f>COUNTIFS(hijos!B:B,C167,hijos!J:J,1)</f>
        <v>0</v>
      </c>
      <c r="O167" s="91">
        <f>COUNTIFS(hijos!B:B,C167,hijos!K:K,1)</f>
        <v>0</v>
      </c>
      <c r="P167" s="91">
        <f>COUNTIFS(hijos!B:B,C167,hijos!L:L,1)</f>
        <v>0</v>
      </c>
      <c r="Q167" s="91">
        <f t="shared" si="1"/>
        <v>0</v>
      </c>
      <c r="R167" s="80" t="str">
        <f t="array" ref="R167">XLOOKUP(C167,datos_personales[id:],datos_personales[Tel. Contacto:],"no dato",0,1)</f>
        <v/>
      </c>
      <c r="S167" s="88" t="str">
        <f t="array" ref="S167">XLOOKUP(C167,datos_personales[id:],datos_personales[E-Mail:],"no dato",0,1)</f>
        <v>vanesamugno@hotmail.com</v>
      </c>
      <c r="T167" s="88" t="str">
        <f t="array" ref="T167">XLOOKUP(R167,telefonos_afiliados[numeros_loys],telefonos_afiliados[esta],"no esta",0,1)</f>
        <v>no esta</v>
      </c>
      <c r="U167" s="80"/>
      <c r="V167" s="104"/>
      <c r="W167" s="78"/>
    </row>
    <row r="168" ht="15.75" hidden="1" customHeight="1">
      <c r="A168" s="79"/>
      <c r="B168" s="80"/>
      <c r="C168" s="81">
        <f>datos_personales[id:]</f>
        <v>33914980</v>
      </c>
      <c r="D168" s="81" t="str">
        <f t="array" ref="D168">XLOOKUP(C168,datos_laborales[clave_foranea],datos_laborales[Relacion de Dependencia],"dato no encontrado",0,1)</f>
        <v>Monotributista</v>
      </c>
      <c r="E168" s="80" t="str">
        <f t="array" ref="E168">XLOOKUP(C168,datos_delegados[clave_foranea:],datos_delegados[En Actividad]," ",0,1)</f>
        <v> </v>
      </c>
      <c r="F168" s="81" t="str">
        <f t="array" ref="F168">CONCATENATE(XLOOKUP(C168,datos_personales[id:],datos_personales[Apellido:],"no dato",0,1),", ",XLOOKUP(C168,datos_personales[id:],datos_personales[Nombre],"no dato",0,1))</f>
        <v>Noya,  Facundo Gonzalo</v>
      </c>
      <c r="G168" s="81">
        <f t="array" ref="G168">XLOOKUP(C168,datos_laborales[clave_foranea],datos_laborales[N° De Legajo],"no dato",0,1)</f>
        <v>1993</v>
      </c>
      <c r="H168" s="82">
        <f t="array" ref="H168">XLOOKUP(C168,datos_laborales[clave_foranea], datos_laborales[Inicio Actividad:],"no dato",0,1)</f>
        <v>44789</v>
      </c>
      <c r="I168" s="81">
        <f t="array" ref="I168">XLOOKUP(C168,datos_laborales[clave_foranea],datos_laborales[Años en Actividad:],"no dato",0,1)</f>
        <v>3</v>
      </c>
      <c r="J168" s="81">
        <f t="array" ref="J168">XLOOKUP(C168,datos_personales[id:],datos_personales[D.n.i:],"no dato",0,1)</f>
        <v>33914980</v>
      </c>
      <c r="K168" s="82">
        <f t="array" ref="K168">XLOOKUP(C168,datos_personales[id:],datos_personales[Fecha Nacimiento:],"no dato",0,1)</f>
        <v>32266</v>
      </c>
      <c r="L168" s="81">
        <f>COUNTIF(hijos!B:B,C168)</f>
        <v>0</v>
      </c>
      <c r="M168" s="83">
        <f>COUNTIFS(hijos!B:B,C168,hijos!I:I,1)</f>
        <v>0</v>
      </c>
      <c r="N168" s="84">
        <f>COUNTIFS(hijos!B:B,C168,hijos!J:J,1)</f>
        <v>0</v>
      </c>
      <c r="O168" s="84">
        <f>COUNTIFS(hijos!B:B,C168,hijos!K:K,1)</f>
        <v>0</v>
      </c>
      <c r="P168" s="84">
        <f>COUNTIFS(hijos!B:B,C168,hijos!L:L,1)</f>
        <v>0</v>
      </c>
      <c r="Q168" s="84">
        <f t="shared" si="1"/>
        <v>0</v>
      </c>
      <c r="R168" s="81">
        <f t="array" ref="R168">XLOOKUP(C168,datos_personales[id:],datos_personales[Tel. Contacto:],"no dato",0,1)</f>
        <v>1127455035</v>
      </c>
      <c r="S168" s="81" t="str">
        <f t="array" ref="S168">XLOOKUP(C168,datos_personales[id:],datos_personales[E-Mail:],"no dato",0,1)</f>
        <v>fgnoya@hotmail.com</v>
      </c>
      <c r="T168" s="81" t="str">
        <f t="array" ref="T168">XLOOKUP(R168,telefonos_afiliados[numeros_loys],telefonos_afiliados[esta],"no esta",0,1)</f>
        <v>1</v>
      </c>
      <c r="U168" s="80"/>
      <c r="V168" s="104"/>
      <c r="W168" s="78"/>
    </row>
    <row r="169" ht="15.75" hidden="1" customHeight="1">
      <c r="A169" s="79"/>
      <c r="B169" s="80"/>
      <c r="C169" s="88">
        <f>datos_personales[id:]</f>
        <v>29428219</v>
      </c>
      <c r="D169" s="88" t="str">
        <f t="array" ref="D169">XLOOKUP(C169,datos_laborales[clave_foranea],datos_laborales[Relacion de Dependencia],"dato no encontrado",0,1)</f>
        <v>Monotributista</v>
      </c>
      <c r="E169" s="80" t="str">
        <f t="array" ref="E169">XLOOKUP(C169,datos_delegados[clave_foranea:],datos_delegados[En Actividad]," ",0,1)</f>
        <v> </v>
      </c>
      <c r="F169" s="88" t="str">
        <f t="array" ref="F169">CONCATENATE(XLOOKUP(C169,datos_personales[id:],datos_personales[Apellido:],"no dato",0,1),", ",XLOOKUP(C169,datos_personales[id:],datos_personales[Nombre],"no dato",0,1))</f>
        <v>Serrano,  Natalia</v>
      </c>
      <c r="G169" s="88">
        <f t="array" ref="G169">XLOOKUP(C169,datos_laborales[clave_foranea],datos_laborales[N° De Legajo],"no dato",0,1)</f>
        <v>413</v>
      </c>
      <c r="H169" s="89">
        <f t="array" ref="H169">XLOOKUP(C169,datos_laborales[clave_foranea], datos_laborales[Inicio Actividad:],"no dato",0,1)</f>
        <v>42884</v>
      </c>
      <c r="I169" s="88">
        <f t="array" ref="I169">XLOOKUP(C169,datos_laborales[clave_foranea],datos_laborales[Años en Actividad:],"no dato",0,1)</f>
        <v>8</v>
      </c>
      <c r="J169" s="88">
        <f t="array" ref="J169">XLOOKUP(C169,datos_personales[id:],datos_personales[D.n.i:],"no dato",0,1)</f>
        <v>29428219</v>
      </c>
      <c r="K169" s="89">
        <f t="array" ref="K169">XLOOKUP(C169,datos_personales[id:],datos_personales[Fecha Nacimiento:],"no dato",0,1)</f>
        <v>30042</v>
      </c>
      <c r="L169" s="88">
        <f>COUNTIF(hijos!B:B,C169)</f>
        <v>0</v>
      </c>
      <c r="M169" s="90">
        <f>COUNTIFS(hijos!B:B,C169,hijos!I:I,1)</f>
        <v>0</v>
      </c>
      <c r="N169" s="91">
        <f>COUNTIFS(hijos!B:B,C169,hijos!J:J,1)</f>
        <v>0</v>
      </c>
      <c r="O169" s="91">
        <f>COUNTIFS(hijos!B:B,C169,hijos!K:K,1)</f>
        <v>0</v>
      </c>
      <c r="P169" s="91">
        <f>COUNTIFS(hijos!B:B,C169,hijos!L:L,1)</f>
        <v>0</v>
      </c>
      <c r="Q169" s="91">
        <f t="shared" si="1"/>
        <v>0</v>
      </c>
      <c r="R169" s="88">
        <f t="array" ref="R169">XLOOKUP(C169,datos_personales[id:],datos_personales[Tel. Contacto:],"no dato",0,1)</f>
        <v>1124773534</v>
      </c>
      <c r="S169" s="88" t="str">
        <f t="array" ref="S169">XLOOKUP(C169,datos_personales[id:],datos_personales[E-Mail:],"no dato",0,1)</f>
        <v>nataliaserrano@outlook.com</v>
      </c>
      <c r="T169" s="88" t="str">
        <f t="array" ref="T169">XLOOKUP(R169,telefonos_afiliados[numeros_loys],telefonos_afiliados[esta],"no esta",0,1)</f>
        <v>1</v>
      </c>
      <c r="U169" s="80"/>
      <c r="V169" s="104"/>
      <c r="W169" s="78"/>
    </row>
    <row r="170" ht="15.75" hidden="1" customHeight="1">
      <c r="A170" s="79"/>
      <c r="B170" s="80"/>
      <c r="C170" s="81">
        <f>datos_personales[id:]</f>
        <v>27674630</v>
      </c>
      <c r="D170" s="81" t="str">
        <f t="array" ref="D170">XLOOKUP(C170,datos_laborales[clave_foranea],datos_laborales[Relacion de Dependencia],"dato no encontrado",0,1)</f>
        <v>Monotributista</v>
      </c>
      <c r="E170" s="80" t="str">
        <f t="array" ref="E170">XLOOKUP(C170,datos_delegados[clave_foranea:],datos_delegados[En Actividad]," ",0,1)</f>
        <v> </v>
      </c>
      <c r="F170" s="81" t="str">
        <f t="array" ref="F170">CONCATENATE(XLOOKUP(C170,datos_personales[id:],datos_personales[Apellido:],"no dato",0,1),", ",XLOOKUP(C170,datos_personales[id:],datos_personales[Nombre],"no dato",0,1))</f>
        <v>Tesone,  Juan Manuel </v>
      </c>
      <c r="G170" s="81">
        <f t="array" ref="G170">XLOOKUP(C170,datos_laborales[clave_foranea],datos_laborales[N° De Legajo],"no dato",0,1)</f>
        <v>417</v>
      </c>
      <c r="H170" s="82">
        <f t="array" ref="H170">XLOOKUP(C170,datos_laborales[clave_foranea], datos_laborales[Inicio Actividad:],"no dato",0,1)</f>
        <v>42891</v>
      </c>
      <c r="I170" s="81">
        <f t="array" ref="I170">XLOOKUP(C170,datos_laborales[clave_foranea],datos_laborales[Años en Actividad:],"no dato",0,1)</f>
        <v>8</v>
      </c>
      <c r="J170" s="81">
        <f t="array" ref="J170">XLOOKUP(C170,datos_personales[id:],datos_personales[D.n.i:],"no dato",0,1)</f>
        <v>27674630</v>
      </c>
      <c r="K170" s="82">
        <f t="array" ref="K170">XLOOKUP(C170,datos_personales[id:],datos_personales[Fecha Nacimiento:],"no dato",0,1)</f>
        <v>29153</v>
      </c>
      <c r="L170" s="81">
        <f>COUNTIF(hijos!B:B,C170)</f>
        <v>0</v>
      </c>
      <c r="M170" s="83">
        <f>COUNTIFS(hijos!B:B,C170,hijos!I:I,1)</f>
        <v>0</v>
      </c>
      <c r="N170" s="84">
        <f>COUNTIFS(hijos!B:B,C170,hijos!J:J,1)</f>
        <v>0</v>
      </c>
      <c r="O170" s="84">
        <f>COUNTIFS(hijos!B:B,C170,hijos!K:K,1)</f>
        <v>0</v>
      </c>
      <c r="P170" s="84">
        <f>COUNTIFS(hijos!B:B,C170,hijos!L:L,1)</f>
        <v>0</v>
      </c>
      <c r="Q170" s="84">
        <f t="shared" si="1"/>
        <v>0</v>
      </c>
      <c r="R170" s="80" t="str">
        <f t="array" ref="R170">XLOOKUP(C170,datos_personales[id:],datos_personales[Tel. Contacto:],"no dato",0,1)</f>
        <v/>
      </c>
      <c r="S170" s="81" t="str">
        <f t="array" ref="S170">XLOOKUP(C170,datos_personales[id:],datos_personales[E-Mail:],"no dato",0,1)</f>
        <v>Juanmt32@hotmail.com </v>
      </c>
      <c r="T170" s="81" t="str">
        <f t="array" ref="T170">XLOOKUP(R170,telefonos_afiliados[numeros_loys],telefonos_afiliados[esta],"no esta",0,1)</f>
        <v>no esta</v>
      </c>
      <c r="U170" s="80"/>
      <c r="V170" s="104"/>
      <c r="W170" s="78"/>
    </row>
    <row r="171" ht="15.75" hidden="1" customHeight="1">
      <c r="A171" s="79"/>
      <c r="B171" s="80"/>
      <c r="C171" s="88">
        <f>datos_personales[id:]</f>
        <v>35728389</v>
      </c>
      <c r="D171" s="88" t="str">
        <f t="array" ref="D171">XLOOKUP(C171,datos_laborales[clave_foranea],datos_laborales[Relacion de Dependencia],"dato no encontrado",0,1)</f>
        <v>Planta Permanente</v>
      </c>
      <c r="E171" s="80" t="str">
        <f t="array" ref="E171">XLOOKUP(C171,datos_delegados[clave_foranea:],datos_delegados[En Actividad]," ",0,1)</f>
        <v> </v>
      </c>
      <c r="F171" s="88" t="str">
        <f t="array" ref="F171">CONCATENATE(XLOOKUP(C171,datos_personales[id:],datos_personales[Apellido:],"no dato",0,1),", ",XLOOKUP(C171,datos_personales[id:],datos_personales[Nombre],"no dato",0,1))</f>
        <v>Ybarra,  Roxana </v>
      </c>
      <c r="G171" s="88">
        <f t="array" ref="G171">XLOOKUP(C171,datos_laborales[clave_foranea],datos_laborales[N° De Legajo],"no dato",0,1)</f>
        <v>267</v>
      </c>
      <c r="H171" s="89">
        <f t="array" ref="H171">XLOOKUP(C171,datos_laborales[clave_foranea], datos_laborales[Inicio Actividad:],"no dato",0,1)</f>
        <v>42814</v>
      </c>
      <c r="I171" s="88">
        <f t="array" ref="I171">XLOOKUP(C171,datos_laborales[clave_foranea],datos_laborales[Años en Actividad:],"no dato",0,1)</f>
        <v>8</v>
      </c>
      <c r="J171" s="88">
        <f t="array" ref="J171">XLOOKUP(C171,datos_personales[id:],datos_personales[D.n.i:],"no dato",0,1)</f>
        <v>35728389</v>
      </c>
      <c r="K171" s="89">
        <f t="array" ref="K171">XLOOKUP(C171,datos_personales[id:],datos_personales[Fecha Nacimiento:],"no dato",0,1)</f>
        <v>33256</v>
      </c>
      <c r="L171" s="88">
        <f>COUNTIF(hijos!B:B,C171)</f>
        <v>0</v>
      </c>
      <c r="M171" s="90">
        <f>COUNTIFS(hijos!B:B,C171,hijos!I:I,1)</f>
        <v>0</v>
      </c>
      <c r="N171" s="91">
        <f>COUNTIFS(hijos!B:B,C171,hijos!J:J,1)</f>
        <v>0</v>
      </c>
      <c r="O171" s="91">
        <f>COUNTIFS(hijos!B:B,C171,hijos!K:K,1)</f>
        <v>0</v>
      </c>
      <c r="P171" s="91">
        <f>COUNTIFS(hijos!B:B,C171,hijos!L:L,1)</f>
        <v>0</v>
      </c>
      <c r="Q171" s="91">
        <f t="shared" si="1"/>
        <v>0</v>
      </c>
      <c r="R171" s="88">
        <f t="array" ref="R171">XLOOKUP(C171,datos_personales[id:],datos_personales[Tel. Contacto:],"no dato",0,1)</f>
        <v>1134278111</v>
      </c>
      <c r="S171" s="88" t="str">
        <f t="array" ref="S171">XLOOKUP(C171,datos_personales[id:],datos_personales[E-Mail:],"no dato",0,1)</f>
        <v>roxanaybarra18@gmail.com</v>
      </c>
      <c r="T171" s="88" t="str">
        <f t="array" ref="T171">XLOOKUP(R171,telefonos_afiliados[numeros_loys],telefonos_afiliados[esta],"no esta",0,1)</f>
        <v>no esta</v>
      </c>
      <c r="U171" s="80"/>
      <c r="V171" s="104"/>
      <c r="W171" s="78"/>
    </row>
    <row r="172" ht="15.75" hidden="1" customHeight="1">
      <c r="A172" s="79"/>
      <c r="B172" s="80"/>
      <c r="C172" s="81">
        <f>datos_personales[id:]</f>
        <v>10000016</v>
      </c>
      <c r="D172" s="81" t="str">
        <f t="array" ref="D172">XLOOKUP(C172,datos_laborales[clave_foranea],datos_laborales[Relacion de Dependencia],"dato no encontrado",0,1)</f>
        <v>Monotributista</v>
      </c>
      <c r="E172" s="80" t="str">
        <f t="array" ref="E172">XLOOKUP(C172,datos_delegados[clave_foranea:],datos_delegados[En Actividad]," ",0,1)</f>
        <v> </v>
      </c>
      <c r="F172" s="81" t="str">
        <f t="array" ref="F172">CONCATENATE(XLOOKUP(C172,datos_personales[id:],datos_personales[Apellido:],"no dato",0,1),", ",XLOOKUP(C172,datos_personales[id:],datos_personales[Nombre],"no dato",0,1))</f>
        <v>Argañaraz,  Ayelen Ailen</v>
      </c>
      <c r="G172" s="81">
        <f t="array" ref="G172">XLOOKUP(C172,datos_laborales[clave_foranea],datos_laborales[N° De Legajo],"no dato",0,1)</f>
        <v>2920</v>
      </c>
      <c r="H172" s="106" t="str">
        <f t="array" ref="H172">XLOOKUP(C172,datos_laborales[clave_foranea], datos_laborales[Inicio Actividad:],"no dato",0,1)</f>
        <v/>
      </c>
      <c r="I172" s="81">
        <f t="array" ref="I172">XLOOKUP(C172,datos_laborales[clave_foranea],datos_laborales[Años en Actividad:],"no dato",0,1)</f>
        <v>126</v>
      </c>
      <c r="J172" s="80" t="str">
        <f t="array" ref="J172">XLOOKUP(C172,datos_personales[id:],datos_personales[D.n.i:],"no dato",0,1)</f>
        <v/>
      </c>
      <c r="K172" s="106" t="str">
        <f t="array" ref="K172">XLOOKUP(C172,datos_personales[id:],datos_personales[Fecha Nacimiento:],"no dato",0,1)</f>
        <v/>
      </c>
      <c r="L172" s="81">
        <f>COUNTIF(hijos!B:B,C172)</f>
        <v>1</v>
      </c>
      <c r="M172" s="83">
        <f>COUNTIFS(hijos!B:B,C172,hijos!I:I,1)</f>
        <v>0</v>
      </c>
      <c r="N172" s="84">
        <f>COUNTIFS(hijos!B:B,C172,hijos!J:J,1)</f>
        <v>1</v>
      </c>
      <c r="O172" s="84">
        <f>COUNTIFS(hijos!B:B,C172,hijos!K:K,1)</f>
        <v>0</v>
      </c>
      <c r="P172" s="84">
        <f>COUNTIFS(hijos!B:B,C172,hijos!L:L,1)</f>
        <v>0</v>
      </c>
      <c r="Q172" s="84">
        <f t="shared" si="1"/>
        <v>1</v>
      </c>
      <c r="R172" s="81">
        <f t="array" ref="R172">XLOOKUP(C172,datos_personales[id:],datos_personales[Tel. Contacto:],"no dato",0,1)</f>
        <v>1138839337</v>
      </c>
      <c r="S172" s="80" t="str">
        <f t="array" ref="S172">XLOOKUP(C172,datos_personales[id:],datos_personales[E-Mail:],"no dato",0,1)</f>
        <v/>
      </c>
      <c r="T172" s="81" t="str">
        <f t="array" ref="T172">XLOOKUP(R172,telefonos_afiliados[numeros_loys],telefonos_afiliados[esta],"no esta",0,1)</f>
        <v>no esta</v>
      </c>
      <c r="U172" s="81" t="str">
        <f t="array" ref="U172">XLOOKUP(C172,datos_laborales[id:],datos_laborales[renuncio],"no dato",0,1)</f>
        <v>no dato</v>
      </c>
      <c r="V172" s="104"/>
      <c r="W172" s="78"/>
    </row>
    <row r="173" ht="15.75" hidden="1" customHeight="1">
      <c r="A173" s="79"/>
      <c r="B173" s="80"/>
      <c r="C173" s="88">
        <f>datos_personales[id:]</f>
        <v>10000017</v>
      </c>
      <c r="D173" s="88" t="str">
        <f t="array" ref="D173">XLOOKUP(C173,datos_laborales[clave_foranea],datos_laborales[Relacion de Dependencia],"dato no encontrado",0,1)</f>
        <v>Monotributista</v>
      </c>
      <c r="E173" s="80" t="str">
        <f t="array" ref="E173">XLOOKUP(C173,datos_delegados[clave_foranea:],datos_delegados[En Actividad]," ",0,1)</f>
        <v> </v>
      </c>
      <c r="F173" s="88" t="str">
        <f t="array" ref="F173">CONCATENATE(XLOOKUP(C173,datos_personales[id:],datos_personales[Apellido:],"no dato",0,1),", ",XLOOKUP(C173,datos_personales[id:],datos_personales[Nombre],"no dato",0,1))</f>
        <v>Baez,  Ornella</v>
      </c>
      <c r="G173" s="88">
        <f t="array" ref="G173">XLOOKUP(C173,datos_laborales[clave_foranea],datos_laborales[N° De Legajo],"no dato",0,1)</f>
        <v>2924</v>
      </c>
      <c r="H173" s="106" t="str">
        <f t="array" ref="H173">XLOOKUP(C173,datos_laborales[clave_foranea], datos_laborales[Inicio Actividad:],"no dato",0,1)</f>
        <v/>
      </c>
      <c r="I173" s="88">
        <f t="array" ref="I173">XLOOKUP(C173,datos_laborales[clave_foranea],datos_laborales[Años en Actividad:],"no dato",0,1)</f>
        <v>126</v>
      </c>
      <c r="J173" s="80" t="str">
        <f t="array" ref="J173">XLOOKUP(C173,datos_personales[id:],datos_personales[D.n.i:],"no dato",0,1)</f>
        <v/>
      </c>
      <c r="K173" s="106" t="str">
        <f t="array" ref="K173">XLOOKUP(C173,datos_personales[id:],datos_personales[Fecha Nacimiento:],"no dato",0,1)</f>
        <v/>
      </c>
      <c r="L173" s="88">
        <f>COUNTIF(hijos!B:B,C173)</f>
        <v>2</v>
      </c>
      <c r="M173" s="90">
        <f>COUNTIFS(hijos!B:B,C173,hijos!I:I,1)</f>
        <v>0</v>
      </c>
      <c r="N173" s="91">
        <f>COUNTIFS(hijos!B:B,C173,hijos!J:J,1)</f>
        <v>0</v>
      </c>
      <c r="O173" s="91">
        <f>COUNTIFS(hijos!B:B,C173,hijos!K:K,1)</f>
        <v>2</v>
      </c>
      <c r="P173" s="91">
        <f>COUNTIFS(hijos!B:B,C173,hijos!L:L,1)</f>
        <v>0</v>
      </c>
      <c r="Q173" s="91">
        <f t="shared" si="1"/>
        <v>2</v>
      </c>
      <c r="R173" s="88">
        <f t="array" ref="R173">XLOOKUP(C173,datos_personales[id:],datos_personales[Tel. Contacto:],"no dato",0,1)</f>
        <v>1141439746</v>
      </c>
      <c r="S173" s="80" t="str">
        <f t="array" ref="S173">XLOOKUP(C173,datos_personales[id:],datos_personales[E-Mail:],"no dato",0,1)</f>
        <v/>
      </c>
      <c r="T173" s="88" t="str">
        <f t="array" ref="T173">XLOOKUP(R173,telefonos_afiliados[numeros_loys],telefonos_afiliados[esta],"no esta",0,1)</f>
        <v>1</v>
      </c>
      <c r="U173" s="88" t="str">
        <f t="array" ref="U173">XLOOKUP(C173,datos_laborales[id:],datos_laborales[renuncio],"no dato",0,1)</f>
        <v>no dato</v>
      </c>
      <c r="V173" s="104"/>
      <c r="W173" s="78"/>
    </row>
    <row r="174" ht="15.75" hidden="1" customHeight="1">
      <c r="A174" s="79"/>
      <c r="B174" s="80"/>
      <c r="C174" s="81">
        <f>datos_personales[id:]</f>
        <v>10000018</v>
      </c>
      <c r="D174" s="81" t="str">
        <f t="array" ref="D174">XLOOKUP(C174,datos_laborales[clave_foranea],datos_laborales[Relacion de Dependencia],"dato no encontrado",0,1)</f>
        <v>Monotributista</v>
      </c>
      <c r="E174" s="80" t="str">
        <f t="array" ref="E174">XLOOKUP(C174,datos_delegados[clave_foranea:],datos_delegados[En Actividad]," ",0,1)</f>
        <v> </v>
      </c>
      <c r="F174" s="81" t="str">
        <f t="array" ref="F174">CONCATENATE(XLOOKUP(C174,datos_personales[id:],datos_personales[Apellido:],"no dato",0,1),", ",XLOOKUP(C174,datos_personales[id:],datos_personales[Nombre],"no dato",0,1))</f>
        <v>Barreto,  Federico Martin</v>
      </c>
      <c r="G174" s="81">
        <f t="array" ref="G174">XLOOKUP(C174,datos_laborales[clave_foranea],datos_laborales[N° De Legajo],"no dato",0,1)</f>
        <v>2406</v>
      </c>
      <c r="H174" s="106" t="str">
        <f t="array" ref="H174">XLOOKUP(C174,datos_laborales[clave_foranea], datos_laborales[Inicio Actividad:],"no dato",0,1)</f>
        <v/>
      </c>
      <c r="I174" s="81">
        <f t="array" ref="I174">XLOOKUP(C174,datos_laborales[clave_foranea],datos_laborales[Años en Actividad:],"no dato",0,1)</f>
        <v>126</v>
      </c>
      <c r="J174" s="80" t="str">
        <f t="array" ref="J174">XLOOKUP(C174,datos_personales[id:],datos_personales[D.n.i:],"no dato",0,1)</f>
        <v/>
      </c>
      <c r="K174" s="106" t="str">
        <f t="array" ref="K174">XLOOKUP(C174,datos_personales[id:],datos_personales[Fecha Nacimiento:],"no dato",0,1)</f>
        <v/>
      </c>
      <c r="L174" s="81">
        <f>COUNTIF(hijos!B:B,C174)</f>
        <v>2</v>
      </c>
      <c r="M174" s="83">
        <f>COUNTIFS(hijos!B:B,C174,hijos!I:I,1)</f>
        <v>0</v>
      </c>
      <c r="N174" s="84">
        <f>COUNTIFS(hijos!B:B,C174,hijos!J:J,1)</f>
        <v>1</v>
      </c>
      <c r="O174" s="84">
        <f>COUNTIFS(hijos!B:B,C174,hijos!K:K,1)</f>
        <v>0</v>
      </c>
      <c r="P174" s="84">
        <f>COUNTIFS(hijos!B:B,C174,hijos!L:L,1)</f>
        <v>0</v>
      </c>
      <c r="Q174" s="84">
        <f t="shared" si="1"/>
        <v>1</v>
      </c>
      <c r="R174" s="81">
        <f t="array" ref="R174">XLOOKUP(C174,datos_personales[id:],datos_personales[Tel. Contacto:],"no dato",0,1)</f>
        <v>1131236961</v>
      </c>
      <c r="S174" s="80" t="str">
        <f t="array" ref="S174">XLOOKUP(C174,datos_personales[id:],datos_personales[E-Mail:],"no dato",0,1)</f>
        <v/>
      </c>
      <c r="T174" s="81" t="str">
        <f t="array" ref="T174">XLOOKUP(R174,telefonos_afiliados[numeros_loys],telefonos_afiliados[esta],"no esta",0,1)</f>
        <v>1</v>
      </c>
      <c r="U174" s="80"/>
      <c r="V174" s="104"/>
      <c r="W174" s="78"/>
    </row>
    <row r="175" ht="15.75" hidden="1" customHeight="1">
      <c r="A175" s="79"/>
      <c r="B175" s="80"/>
      <c r="C175" s="88">
        <f>datos_personales[id:]</f>
        <v>10000019</v>
      </c>
      <c r="D175" s="88" t="str">
        <f t="array" ref="D175">XLOOKUP(C175,datos_laborales[clave_foranea],datos_laborales[Relacion de Dependencia],"dato no encontrado",0,1)</f>
        <v>Monotributista</v>
      </c>
      <c r="E175" s="80" t="str">
        <f t="array" ref="E175">XLOOKUP(C175,datos_delegados[clave_foranea:],datos_delegados[En Actividad]," ",0,1)</f>
        <v> </v>
      </c>
      <c r="F175" s="88" t="str">
        <f t="array" ref="F175">CONCATENATE(XLOOKUP(C175,datos_personales[id:],datos_personales[Apellido:],"no dato",0,1),", ",XLOOKUP(C175,datos_personales[id:],datos_personales[Nombre],"no dato",0,1))</f>
        <v>Barriento,  Daniela Giselle</v>
      </c>
      <c r="G175" s="88">
        <f t="array" ref="G175">XLOOKUP(C175,datos_laborales[clave_foranea],datos_laborales[N° De Legajo],"no dato",0,1)</f>
        <v>2746</v>
      </c>
      <c r="H175" s="106" t="str">
        <f t="array" ref="H175">XLOOKUP(C175,datos_laborales[clave_foranea], datos_laborales[Inicio Actividad:],"no dato",0,1)</f>
        <v/>
      </c>
      <c r="I175" s="88">
        <f t="array" ref="I175">XLOOKUP(C175,datos_laborales[clave_foranea],datos_laborales[Años en Actividad:],"no dato",0,1)</f>
        <v>126</v>
      </c>
      <c r="J175" s="80" t="str">
        <f t="array" ref="J175">XLOOKUP(C175,datos_personales[id:],datos_personales[D.n.i:],"no dato",0,1)</f>
        <v/>
      </c>
      <c r="K175" s="106" t="str">
        <f t="array" ref="K175">XLOOKUP(C175,datos_personales[id:],datos_personales[Fecha Nacimiento:],"no dato",0,1)</f>
        <v/>
      </c>
      <c r="L175" s="88">
        <f>COUNTIF(hijos!B:B,C175)</f>
        <v>1</v>
      </c>
      <c r="M175" s="90">
        <f>COUNTIFS(hijos!B:B,C175,hijos!I:I,1)</f>
        <v>0</v>
      </c>
      <c r="N175" s="91">
        <f>COUNTIFS(hijos!B:B,C175,hijos!J:J,1)</f>
        <v>0</v>
      </c>
      <c r="O175" s="91">
        <f>COUNTIFS(hijos!B:B,C175,hijos!K:K,1)</f>
        <v>1</v>
      </c>
      <c r="P175" s="91">
        <f>COUNTIFS(hijos!B:B,C175,hijos!L:L,1)</f>
        <v>0</v>
      </c>
      <c r="Q175" s="91">
        <f t="shared" si="1"/>
        <v>1</v>
      </c>
      <c r="R175" s="88">
        <f t="array" ref="R175">XLOOKUP(C175,datos_personales[id:],datos_personales[Tel. Contacto:],"no dato",0,1)</f>
        <v>1127445232</v>
      </c>
      <c r="S175" s="80" t="str">
        <f t="array" ref="S175">XLOOKUP(C175,datos_personales[id:],datos_personales[E-Mail:],"no dato",0,1)</f>
        <v/>
      </c>
      <c r="T175" s="88" t="str">
        <f t="array" ref="T175">XLOOKUP(R175,telefonos_afiliados[numeros_loys],telefonos_afiliados[esta],"no esta",0,1)</f>
        <v>1</v>
      </c>
      <c r="U175" s="80"/>
      <c r="V175" s="104"/>
      <c r="W175" s="78"/>
    </row>
    <row r="176" ht="15.75" hidden="1" customHeight="1">
      <c r="A176" s="79"/>
      <c r="B176" s="80"/>
      <c r="C176" s="81">
        <f>datos_personales[id:]</f>
        <v>36755934</v>
      </c>
      <c r="D176" s="81" t="str">
        <f t="array" ref="D176">XLOOKUP(C176,datos_laborales[clave_foranea],datos_laborales[Relacion de Dependencia],"dato no encontrado",0,1)</f>
        <v>Monotributista</v>
      </c>
      <c r="E176" s="80" t="str">
        <f t="array" ref="E176">XLOOKUP(C176,datos_delegados[clave_foranea:],datos_delegados[En Actividad]," ",0,1)</f>
        <v> </v>
      </c>
      <c r="F176" s="81" t="str">
        <f t="array" ref="F176">CONCATENATE(XLOOKUP(C176,datos_personales[id:],datos_personales[Apellido:],"no dato",0,1),", ",XLOOKUP(C176,datos_personales[id:],datos_personales[Nombre],"no dato",0,1))</f>
        <v>Benitez,  Lucas</v>
      </c>
      <c r="G176" s="81">
        <f t="array" ref="G176">XLOOKUP(C176,datos_laborales[clave_foranea],datos_laborales[N° De Legajo],"no dato",0,1)</f>
        <v>1753</v>
      </c>
      <c r="H176" s="82">
        <f t="array" ref="H176">XLOOKUP(C176,datos_laborales[clave_foranea], datos_laborales[Inicio Actividad:],"no dato",0,1)</f>
        <v>43739</v>
      </c>
      <c r="I176" s="81">
        <f t="array" ref="I176">XLOOKUP(C176,datos_laborales[clave_foranea],datos_laborales[Años en Actividad:],"no dato",0,1)</f>
        <v>6</v>
      </c>
      <c r="J176" s="81">
        <f t="array" ref="J176">XLOOKUP(C176,datos_personales[id:],datos_personales[D.n.i:],"no dato",0,1)</f>
        <v>36755934</v>
      </c>
      <c r="K176" s="82">
        <f t="array" ref="K176">XLOOKUP(C176,datos_personales[id:],datos_personales[Fecha Nacimiento:],"no dato",0,1)</f>
        <v>33675</v>
      </c>
      <c r="L176" s="81">
        <f>COUNTIF(hijos!B:B,C176)</f>
        <v>0</v>
      </c>
      <c r="M176" s="83">
        <f>COUNTIFS(hijos!B:B,C176,hijos!I:I,1)</f>
        <v>0</v>
      </c>
      <c r="N176" s="84">
        <f>COUNTIFS(hijos!B:B,C176,hijos!J:J,1)</f>
        <v>0</v>
      </c>
      <c r="O176" s="84">
        <f>COUNTIFS(hijos!B:B,C176,hijos!K:K,1)</f>
        <v>0</v>
      </c>
      <c r="P176" s="84">
        <f>COUNTIFS(hijos!B:B,C176,hijos!L:L,1)</f>
        <v>0</v>
      </c>
      <c r="Q176" s="84">
        <f t="shared" si="1"/>
        <v>0</v>
      </c>
      <c r="R176" s="81">
        <f t="array" ref="R176">XLOOKUP(C176,datos_personales[id:],datos_personales[Tel. Contacto:],"no dato",0,1)</f>
        <v>1169603036</v>
      </c>
      <c r="S176" s="81" t="str">
        <f t="array" ref="S176">XLOOKUP(C176,datos_personales[id:],datos_personales[E-Mail:],"no dato",0,1)</f>
        <v>lucasz7845@gmail.com</v>
      </c>
      <c r="T176" s="81" t="str">
        <f t="array" ref="T176">XLOOKUP(R176,telefonos_afiliados[numeros_loys],telefonos_afiliados[esta],"no esta",0,1)</f>
        <v>1</v>
      </c>
      <c r="U176" s="81" t="str">
        <f t="array" ref="U176">XLOOKUP(C176,datos_laborales[id:],datos_laborales[renuncio],"no dato",0,1)</f>
        <v>no dato</v>
      </c>
      <c r="V176" s="104"/>
      <c r="W176" s="78"/>
    </row>
    <row r="177" ht="15.75" hidden="1" customHeight="1">
      <c r="A177" s="79"/>
      <c r="B177" s="80"/>
      <c r="C177" s="88">
        <f>datos_personales[id:]</f>
        <v>10000021</v>
      </c>
      <c r="D177" s="88" t="str">
        <f t="array" ref="D177">XLOOKUP(C177,datos_laborales[clave_foranea],datos_laborales[Relacion de Dependencia],"dato no encontrado",0,1)</f>
        <v>Monotributista</v>
      </c>
      <c r="E177" s="80" t="str">
        <f t="array" ref="E177">XLOOKUP(C177,datos_delegados[clave_foranea:],datos_delegados[En Actividad]," ",0,1)</f>
        <v> </v>
      </c>
      <c r="F177" s="88" t="str">
        <f t="array" ref="F177">CONCATENATE(XLOOKUP(C177,datos_personales[id:],datos_personales[Apellido:],"no dato",0,1),", ",XLOOKUP(C177,datos_personales[id:],datos_personales[Nombre],"no dato",0,1))</f>
        <v>Benitez,  Miriagly</v>
      </c>
      <c r="G177" s="88">
        <f t="array" ref="G177">XLOOKUP(C177,datos_laborales[clave_foranea],datos_laborales[N° De Legajo],"no dato",0,1)</f>
        <v>1919</v>
      </c>
      <c r="H177" s="106" t="str">
        <f t="array" ref="H177">XLOOKUP(C177,datos_laborales[clave_foranea], datos_laborales[Inicio Actividad:],"no dato",0,1)</f>
        <v/>
      </c>
      <c r="I177" s="88">
        <f t="array" ref="I177">XLOOKUP(C177,datos_laborales[clave_foranea],datos_laborales[Años en Actividad:],"no dato",0,1)</f>
        <v>126</v>
      </c>
      <c r="J177" s="80" t="str">
        <f t="array" ref="J177">XLOOKUP(C177,datos_personales[id:],datos_personales[D.n.i:],"no dato",0,1)</f>
        <v/>
      </c>
      <c r="K177" s="106" t="str">
        <f t="array" ref="K177">XLOOKUP(C177,datos_personales[id:],datos_personales[Fecha Nacimiento:],"no dato",0,1)</f>
        <v/>
      </c>
      <c r="L177" s="88">
        <f>COUNTIF(hijos!B:B,C177)</f>
        <v>1</v>
      </c>
      <c r="M177" s="90">
        <f>COUNTIFS(hijos!B:B,C177,hijos!I:I,1)</f>
        <v>0</v>
      </c>
      <c r="N177" s="91">
        <f>COUNTIFS(hijos!B:B,C177,hijos!J:J,1)</f>
        <v>0</v>
      </c>
      <c r="O177" s="91">
        <f>COUNTIFS(hijos!B:B,C177,hijos!K:K,1)</f>
        <v>0</v>
      </c>
      <c r="P177" s="91">
        <f>COUNTIFS(hijos!B:B,C177,hijos!L:L,1)</f>
        <v>1</v>
      </c>
      <c r="Q177" s="91">
        <f t="shared" si="1"/>
        <v>1</v>
      </c>
      <c r="R177" s="88">
        <f t="array" ref="R177">XLOOKUP(C177,datos_personales[id:],datos_personales[Tel. Contacto:],"no dato",0,1)</f>
        <v>1138122802</v>
      </c>
      <c r="S177" s="80" t="str">
        <f t="array" ref="S177">XLOOKUP(C177,datos_personales[id:],datos_personales[E-Mail:],"no dato",0,1)</f>
        <v/>
      </c>
      <c r="T177" s="88" t="str">
        <f t="array" ref="T177">XLOOKUP(R177,telefonos_afiliados[numeros_loys],telefonos_afiliados[esta],"no esta",0,1)</f>
        <v>1</v>
      </c>
      <c r="U177" s="80"/>
      <c r="V177" s="104"/>
      <c r="W177" s="78"/>
    </row>
    <row r="178" ht="15.75" hidden="1" customHeight="1">
      <c r="A178" s="79"/>
      <c r="B178" s="80"/>
      <c r="C178" s="81">
        <f>datos_personales[id:]</f>
        <v>10000001</v>
      </c>
      <c r="D178" s="81" t="str">
        <f t="array" ref="D178">XLOOKUP(C178,datos_laborales[clave_foranea],datos_laborales[Relacion de Dependencia],"dato no encontrado",0,1)</f>
        <v>Monotributista</v>
      </c>
      <c r="E178" s="80" t="str">
        <f t="array" ref="E178">XLOOKUP(C178,datos_delegados[clave_foranea:],datos_delegados[En Actividad]," ",0,1)</f>
        <v> </v>
      </c>
      <c r="F178" s="81" t="str">
        <f t="array" ref="F178">CONCATENATE(XLOOKUP(C178,datos_personales[id:],datos_personales[Apellido:],"no dato",0,1),", ",XLOOKUP(C178,datos_personales[id:],datos_personales[Nombre],"no dato",0,1))</f>
        <v>Cabelluzi,  Juan Alberto</v>
      </c>
      <c r="G178" s="81">
        <f t="array" ref="G178">XLOOKUP(C178,datos_laborales[clave_foranea],datos_laborales[N° De Legajo],"no dato",0,1)</f>
        <v>2601</v>
      </c>
      <c r="H178" s="106" t="str">
        <f t="array" ref="H178">XLOOKUP(C178,datos_laborales[clave_foranea], datos_laborales[Inicio Actividad:],"no dato",0,1)</f>
        <v/>
      </c>
      <c r="I178" s="81">
        <f t="array" ref="I178">XLOOKUP(C178,datos_laborales[clave_foranea],datos_laborales[Años en Actividad:],"no dato",0,1)</f>
        <v>126</v>
      </c>
      <c r="J178" s="80" t="str">
        <f t="array" ref="J178">XLOOKUP(C178,datos_personales[id:],datos_personales[D.n.i:],"no dato",0,1)</f>
        <v/>
      </c>
      <c r="K178" s="106" t="str">
        <f t="array" ref="K178">XLOOKUP(C178,datos_personales[id:],datos_personales[Fecha Nacimiento:],"no dato",0,1)</f>
        <v/>
      </c>
      <c r="L178" s="81">
        <f>COUNTIF(hijos!B:B,C178)</f>
        <v>1</v>
      </c>
      <c r="M178" s="83">
        <f>COUNTIFS(hijos!B:B,C178,hijos!I:I,1)</f>
        <v>0</v>
      </c>
      <c r="N178" s="84">
        <f>COUNTIFS(hijos!B:B,C178,hijos!J:J,1)</f>
        <v>1</v>
      </c>
      <c r="O178" s="84">
        <f>COUNTIFS(hijos!B:B,C178,hijos!K:K,1)</f>
        <v>0</v>
      </c>
      <c r="P178" s="84">
        <f>COUNTIFS(hijos!B:B,C178,hijos!L:L,1)</f>
        <v>0</v>
      </c>
      <c r="Q178" s="84">
        <f t="shared" si="1"/>
        <v>1</v>
      </c>
      <c r="R178" s="81">
        <f t="array" ref="R178">XLOOKUP(C178,datos_personales[id:],datos_personales[Tel. Contacto:],"no dato",0,1)</f>
        <v>1167947816</v>
      </c>
      <c r="S178" s="80" t="str">
        <f t="array" ref="S178">XLOOKUP(C178,datos_personales[id:],datos_personales[E-Mail:],"no dato",0,1)</f>
        <v/>
      </c>
      <c r="T178" s="81" t="str">
        <f t="array" ref="T178">XLOOKUP(R178,telefonos_afiliados[numeros_loys],telefonos_afiliados[esta],"no esta",0,1)</f>
        <v>no esta</v>
      </c>
      <c r="U178" s="80"/>
      <c r="V178" s="104"/>
      <c r="W178" s="78"/>
    </row>
    <row r="179" ht="15.75" hidden="1" customHeight="1">
      <c r="A179" s="79"/>
      <c r="B179" s="80"/>
      <c r="C179" s="88">
        <f>datos_personales[id:]</f>
        <v>10000002</v>
      </c>
      <c r="D179" s="88" t="str">
        <f t="array" ref="D179">XLOOKUP(C179,datos_laborales[clave_foranea],datos_laborales[Relacion de Dependencia],"dato no encontrado",0,1)</f>
        <v>Monotributista</v>
      </c>
      <c r="E179" s="80" t="str">
        <f t="array" ref="E179">XLOOKUP(C179,datos_delegados[clave_foranea:],datos_delegados[En Actividad]," ",0,1)</f>
        <v> </v>
      </c>
      <c r="F179" s="88" t="str">
        <f t="array" ref="F179">CONCATENATE(XLOOKUP(C179,datos_personales[id:],datos_personales[Apellido:],"no dato",0,1),", ",XLOOKUP(C179,datos_personales[id:],datos_personales[Nombre],"no dato",0,1))</f>
        <v>Carosini,  Araceli</v>
      </c>
      <c r="G179" s="88">
        <f t="array" ref="G179">XLOOKUP(C179,datos_laborales[clave_foranea],datos_laborales[N° De Legajo],"no dato",0,1)</f>
        <v>2608</v>
      </c>
      <c r="H179" s="106" t="str">
        <f t="array" ref="H179">XLOOKUP(C179,datos_laborales[clave_foranea], datos_laborales[Inicio Actividad:],"no dato",0,1)</f>
        <v/>
      </c>
      <c r="I179" s="88">
        <f t="array" ref="I179">XLOOKUP(C179,datos_laborales[clave_foranea],datos_laborales[Años en Actividad:],"no dato",0,1)</f>
        <v>126</v>
      </c>
      <c r="J179" s="80" t="str">
        <f t="array" ref="J179">XLOOKUP(C179,datos_personales[id:],datos_personales[D.n.i:],"no dato",0,1)</f>
        <v/>
      </c>
      <c r="K179" s="106" t="str">
        <f t="array" ref="K179">XLOOKUP(C179,datos_personales[id:],datos_personales[Fecha Nacimiento:],"no dato",0,1)</f>
        <v/>
      </c>
      <c r="L179" s="88">
        <f>COUNTIF(hijos!B:B,C179)</f>
        <v>1</v>
      </c>
      <c r="M179" s="90">
        <f>COUNTIFS(hijos!B:B,C179,hijos!I:I,1)</f>
        <v>0</v>
      </c>
      <c r="N179" s="91">
        <f>COUNTIFS(hijos!B:B,C179,hijos!J:J,1)</f>
        <v>0</v>
      </c>
      <c r="O179" s="91">
        <f>COUNTIFS(hijos!B:B,C179,hijos!K:K,1)</f>
        <v>0</v>
      </c>
      <c r="P179" s="91">
        <f>COUNTIFS(hijos!B:B,C179,hijos!L:L,1)</f>
        <v>1</v>
      </c>
      <c r="Q179" s="91">
        <f t="shared" si="1"/>
        <v>1</v>
      </c>
      <c r="R179" s="103">
        <f t="array" ref="R179">XLOOKUP(C179,datos_personales[id:],datos_personales[Tel. Contacto:],"no dato",0,1)</f>
        <v>1123775305</v>
      </c>
      <c r="S179" s="80" t="str">
        <f t="array" ref="S179">XLOOKUP(C179,datos_personales[id:],datos_personales[E-Mail:],"no dato",0,1)</f>
        <v/>
      </c>
      <c r="T179" s="88" t="str">
        <f t="array" ref="T179">XLOOKUP(R179,telefonos_afiliados[numeros_loys],telefonos_afiliados[esta],"no esta",0,1)</f>
        <v>no esta</v>
      </c>
      <c r="U179" s="88" t="str">
        <f t="array" ref="U179">XLOOKUP(C179,datos_personales[id:],datos_laborales[renuncio],"no dato",0,1)</f>
        <v>#N/A</v>
      </c>
      <c r="V179" s="93" t="str">
        <f t="array" ref="V179">XLOOKUP(C179,datos_laborales[clave_foranea],datos_laborales[tiene_ficha_pdf],"no tiene ficha pdf",0,1)</f>
        <v>no tiene en pdf</v>
      </c>
      <c r="W179" s="78"/>
    </row>
    <row r="180" ht="15.75" hidden="1" customHeight="1">
      <c r="A180" s="79"/>
      <c r="B180" s="80"/>
      <c r="C180" s="81">
        <f>datos_personales[id:]</f>
        <v>10000003</v>
      </c>
      <c r="D180" s="81" t="str">
        <f t="array" ref="D180">XLOOKUP(C180,datos_laborales[clave_foranea],datos_laborales[Relacion de Dependencia],"dato no encontrado",0,1)</f>
        <v>Monotributista</v>
      </c>
      <c r="E180" s="80" t="str">
        <f t="array" ref="E180">XLOOKUP(C180,datos_delegados[clave_foranea:],datos_delegados[En Actividad]," ",0,1)</f>
        <v> </v>
      </c>
      <c r="F180" s="81" t="str">
        <f t="array" ref="F180">CONCATENATE(XLOOKUP(C180,datos_personales[id:],datos_personales[Apellido:],"no dato",0,1),", ",XLOOKUP(C180,datos_personales[id:],datos_personales[Nombre],"no dato",0,1))</f>
        <v>Corbalan,  Amalia</v>
      </c>
      <c r="G180" s="81">
        <f t="array" ref="G180">XLOOKUP(C180,datos_laborales[clave_foranea],datos_laborales[N° De Legajo],"no dato",0,1)</f>
        <v>2891</v>
      </c>
      <c r="H180" s="106" t="str">
        <f t="array" ref="H180">XLOOKUP(C180,datos_laborales[clave_foranea], datos_laborales[Inicio Actividad:],"no dato",0,1)</f>
        <v/>
      </c>
      <c r="I180" s="81">
        <f t="array" ref="I180">XLOOKUP(C180,datos_laborales[clave_foranea],datos_laborales[Años en Actividad:],"no dato",0,1)</f>
        <v>126</v>
      </c>
      <c r="J180" s="80" t="str">
        <f t="array" ref="J180">XLOOKUP(C180,datos_personales[id:],datos_personales[D.n.i:],"no dato",0,1)</f>
        <v/>
      </c>
      <c r="K180" s="106" t="str">
        <f t="array" ref="K180">XLOOKUP(C180,datos_personales[id:],datos_personales[Fecha Nacimiento:],"no dato",0,1)</f>
        <v/>
      </c>
      <c r="L180" s="81">
        <f>COUNTIF(hijos!B:B,C180)</f>
        <v>1</v>
      </c>
      <c r="M180" s="83">
        <f>COUNTIFS(hijos!B:B,C180,hijos!I:I,1)</f>
        <v>0</v>
      </c>
      <c r="N180" s="84">
        <f>COUNTIFS(hijos!B:B,C180,hijos!J:J,1)</f>
        <v>0</v>
      </c>
      <c r="O180" s="84">
        <f>COUNTIFS(hijos!B:B,C180,hijos!K:K,1)</f>
        <v>1</v>
      </c>
      <c r="P180" s="84">
        <f>COUNTIFS(hijos!B:B,C180,hijos!L:L,1)</f>
        <v>0</v>
      </c>
      <c r="Q180" s="84">
        <f t="shared" si="1"/>
        <v>1</v>
      </c>
      <c r="R180" s="85">
        <f t="array" ref="R180">XLOOKUP(C180,datos_personales[id:],datos_personales[Tel. Contacto:],"no dato",0,1)</f>
        <v>1125526045</v>
      </c>
      <c r="S180" s="80" t="str">
        <f t="array" ref="S180">XLOOKUP(C180,datos_personales[id:],datos_personales[E-Mail:],"no dato",0,1)</f>
        <v/>
      </c>
      <c r="T180" s="81" t="str">
        <f t="array" ref="T180">XLOOKUP(R180,telefonos_afiliados[numeros_loys],telefonos_afiliados[esta],"no esta",0,1)</f>
        <v>1</v>
      </c>
      <c r="U180" s="81" t="str">
        <f t="array" ref="U180">XLOOKUP(C180,datos_personales[id:],datos_laborales[renuncio],"no dato",0,1)</f>
        <v>#N/A</v>
      </c>
      <c r="V180" s="87" t="str">
        <f t="array" ref="V180">XLOOKUP(C180,datos_laborales[clave_foranea],datos_laborales[tiene_ficha_pdf],"no tiene ficha pdf",0,1)</f>
        <v>no tiene en pdf</v>
      </c>
      <c r="W180" s="78"/>
    </row>
    <row r="181" ht="15.75" hidden="1" customHeight="1">
      <c r="A181" s="79"/>
      <c r="B181" s="80"/>
      <c r="C181" s="88">
        <f>datos_personales[id:]</f>
        <v>10000004</v>
      </c>
      <c r="D181" s="88" t="str">
        <f t="array" ref="D181">XLOOKUP(C181,datos_laborales[clave_foranea],datos_laborales[Relacion de Dependencia],"dato no encontrado",0,1)</f>
        <v>Monotributista</v>
      </c>
      <c r="E181" s="80" t="str">
        <f t="array" ref="E181">XLOOKUP(C181,datos_delegados[clave_foranea:],datos_delegados[En Actividad]," ",0,1)</f>
        <v> </v>
      </c>
      <c r="F181" s="88" t="str">
        <f t="array" ref="F181">CONCATENATE(XLOOKUP(C181,datos_personales[id:],datos_personales[Apellido:],"no dato",0,1),", ",XLOOKUP(C181,datos_personales[id:],datos_personales[Nombre],"no dato",0,1))</f>
        <v>Cordoba,  Romina</v>
      </c>
      <c r="G181" s="88">
        <f t="array" ref="G181">XLOOKUP(C181,datos_laborales[clave_foranea],datos_laborales[N° De Legajo],"no dato",0,1)</f>
        <v>2954</v>
      </c>
      <c r="H181" s="106" t="str">
        <f t="array" ref="H181">XLOOKUP(C181,datos_laborales[clave_foranea], datos_laborales[Inicio Actividad:],"no dato",0,1)</f>
        <v/>
      </c>
      <c r="I181" s="88">
        <f t="array" ref="I181">XLOOKUP(C181,datos_laborales[clave_foranea],datos_laborales[Años en Actividad:],"no dato",0,1)</f>
        <v>126</v>
      </c>
      <c r="J181" s="80" t="str">
        <f t="array" ref="J181">XLOOKUP(C181,datos_personales[id:],datos_personales[D.n.i:],"no dato",0,1)</f>
        <v/>
      </c>
      <c r="K181" s="106" t="str">
        <f t="array" ref="K181">XLOOKUP(C181,datos_personales[id:],datos_personales[Fecha Nacimiento:],"no dato",0,1)</f>
        <v/>
      </c>
      <c r="L181" s="88">
        <f>COUNTIF(hijos!B:B,C181)</f>
        <v>1</v>
      </c>
      <c r="M181" s="90">
        <f>COUNTIFS(hijos!B:B,C181,hijos!I:I,1)</f>
        <v>0</v>
      </c>
      <c r="N181" s="91">
        <f>COUNTIFS(hijos!B:B,C181,hijos!J:J,1)</f>
        <v>1</v>
      </c>
      <c r="O181" s="91">
        <f>COUNTIFS(hijos!B:B,C181,hijos!K:K,1)</f>
        <v>0</v>
      </c>
      <c r="P181" s="91">
        <f>COUNTIFS(hijos!B:B,C181,hijos!L:L,1)</f>
        <v>0</v>
      </c>
      <c r="Q181" s="91">
        <f t="shared" si="1"/>
        <v>1</v>
      </c>
      <c r="R181" s="103">
        <f t="array" ref="R181">XLOOKUP(C181,datos_personales[id:],datos_personales[Tel. Contacto:],"no dato",0,1)</f>
        <v>1149386278</v>
      </c>
      <c r="S181" s="80" t="str">
        <f t="array" ref="S181">XLOOKUP(C181,datos_personales[id:],datos_personales[E-Mail:],"no dato",0,1)</f>
        <v/>
      </c>
      <c r="T181" s="88" t="str">
        <f t="array" ref="T181">XLOOKUP(R181,telefonos_afiliados[numeros_loys],telefonos_afiliados[esta],"no esta",0,1)</f>
        <v>1</v>
      </c>
      <c r="U181" s="88" t="str">
        <f t="array" ref="U181">XLOOKUP(C181,datos_personales[id:],datos_laborales[renuncio],"no dato",0,1)</f>
        <v>#N/A</v>
      </c>
      <c r="V181" s="93" t="str">
        <f t="array" ref="V181">XLOOKUP(C181,datos_laborales[clave_foranea],datos_laborales[tiene_ficha_pdf],"no tiene ficha pdf",0,1)</f>
        <v>no tiene en pdf</v>
      </c>
      <c r="W181" s="78"/>
    </row>
    <row r="182" ht="15.75" hidden="1" customHeight="1">
      <c r="A182" s="79"/>
      <c r="B182" s="80"/>
      <c r="C182" s="81">
        <f>datos_personales[id:]</f>
        <v>10000005</v>
      </c>
      <c r="D182" s="81" t="str">
        <f t="array" ref="D182">XLOOKUP(C182,datos_laborales[clave_foranea],datos_laborales[Relacion de Dependencia],"dato no encontrado",0,1)</f>
        <v>Monotributista</v>
      </c>
      <c r="E182" s="80" t="str">
        <f t="array" ref="E182">XLOOKUP(C182,datos_delegados[clave_foranea:],datos_delegados[En Actividad]," ",0,1)</f>
        <v> </v>
      </c>
      <c r="F182" s="81" t="str">
        <f t="array" ref="F182">CONCATENATE(XLOOKUP(C182,datos_personales[id:],datos_personales[Apellido:],"no dato",0,1),", ",XLOOKUP(C182,datos_personales[id:],datos_personales[Nombre],"no dato",0,1))</f>
        <v>Dugour,  Cecilia</v>
      </c>
      <c r="G182" s="81">
        <f t="array" ref="G182">XLOOKUP(C182,datos_laborales[clave_foranea],datos_laborales[N° De Legajo],"no dato",0,1)</f>
        <v>1931</v>
      </c>
      <c r="H182" s="106" t="str">
        <f t="array" ref="H182">XLOOKUP(C182,datos_laborales[clave_foranea], datos_laborales[Inicio Actividad:],"no dato",0,1)</f>
        <v/>
      </c>
      <c r="I182" s="81">
        <f t="array" ref="I182">XLOOKUP(C182,datos_laborales[clave_foranea],datos_laborales[Años en Actividad:],"no dato",0,1)</f>
        <v>126</v>
      </c>
      <c r="J182" s="80" t="str">
        <f t="array" ref="J182">XLOOKUP(C182,datos_personales[id:],datos_personales[D.n.i:],"no dato",0,1)</f>
        <v/>
      </c>
      <c r="K182" s="106" t="str">
        <f t="array" ref="K182">XLOOKUP(C182,datos_personales[id:],datos_personales[Fecha Nacimiento:],"no dato",0,1)</f>
        <v/>
      </c>
      <c r="L182" s="81">
        <f>COUNTIF(hijos!B:B,C182)</f>
        <v>1</v>
      </c>
      <c r="M182" s="83">
        <f>COUNTIFS(hijos!B:B,C182,hijos!I:I,1)</f>
        <v>0</v>
      </c>
      <c r="N182" s="84">
        <f>COUNTIFS(hijos!B:B,C182,hijos!J:J,1)</f>
        <v>0</v>
      </c>
      <c r="O182" s="84">
        <f>COUNTIFS(hijos!B:B,C182,hijos!K:K,1)</f>
        <v>0</v>
      </c>
      <c r="P182" s="84">
        <f>COUNTIFS(hijos!B:B,C182,hijos!L:L,1)</f>
        <v>1</v>
      </c>
      <c r="Q182" s="84">
        <f t="shared" si="1"/>
        <v>1</v>
      </c>
      <c r="R182" s="85">
        <f t="array" ref="R182">XLOOKUP(C182,datos_personales[id:],datos_personales[Tel. Contacto:],"no dato",0,1)</f>
        <v>1141697938</v>
      </c>
      <c r="S182" s="80" t="str">
        <f t="array" ref="S182">XLOOKUP(C182,datos_personales[id:],datos_personales[E-Mail:],"no dato",0,1)</f>
        <v/>
      </c>
      <c r="T182" s="81" t="str">
        <f t="array" ref="T182">XLOOKUP(R182,telefonos_afiliados[numeros_loys],telefonos_afiliados[esta],"no esta",0,1)</f>
        <v>1</v>
      </c>
      <c r="U182" s="81" t="str">
        <f t="array" ref="U182">XLOOKUP(C182,datos_personales[id:],datos_laborales[renuncio],"no dato",0,1)</f>
        <v>#N/A</v>
      </c>
      <c r="V182" s="87" t="str">
        <f t="array" ref="V182">XLOOKUP(C182,datos_laborales[clave_foranea],datos_laborales[tiene_ficha_pdf],"no tiene ficha pdf",0,1)</f>
        <v>no tiene en pdf</v>
      </c>
      <c r="W182" s="78"/>
    </row>
    <row r="183" ht="15.75" hidden="1" customHeight="1">
      <c r="A183" s="79"/>
      <c r="B183" s="80"/>
      <c r="C183" s="88">
        <f>datos_personales[id:]</f>
        <v>45192487</v>
      </c>
      <c r="D183" s="88" t="str">
        <f t="array" ref="D183">XLOOKUP(C183,datos_laborales[clave_foranea],datos_laborales[Relacion de Dependencia],"dato no encontrado",0,1)</f>
        <v>Monotributista</v>
      </c>
      <c r="E183" s="80" t="str">
        <f t="array" ref="E183">XLOOKUP(C183,datos_delegados[clave_foranea:],datos_delegados[En Actividad]," ",0,1)</f>
        <v> </v>
      </c>
      <c r="F183" s="88" t="str">
        <f t="array" ref="F183">CONCATENATE(XLOOKUP(C183,datos_personales[id:],datos_personales[Apellido:],"no dato",0,1),", ",XLOOKUP(C183,datos_personales[id:],datos_personales[Nombre],"no dato",0,1))</f>
        <v>Espindola,  Romina</v>
      </c>
      <c r="G183" s="88">
        <f t="array" ref="G183">XLOOKUP(C183,datos_laborales[clave_foranea],datos_laborales[N° De Legajo],"no dato",0,1)</f>
        <v>2177</v>
      </c>
      <c r="H183" s="106" t="str">
        <f t="array" ref="H183">XLOOKUP(C183,datos_laborales[clave_foranea], datos_laborales[Inicio Actividad:],"no dato",0,1)</f>
        <v/>
      </c>
      <c r="I183" s="88">
        <f t="array" ref="I183">XLOOKUP(C183,datos_laborales[clave_foranea],datos_laborales[Años en Actividad:],"no dato",0,1)</f>
        <v>126</v>
      </c>
      <c r="J183" s="80" t="str">
        <f t="array" ref="J183">XLOOKUP(C183,datos_personales[id:],datos_personales[D.n.i:],"no dato",0,1)</f>
        <v/>
      </c>
      <c r="K183" s="106" t="str">
        <f t="array" ref="K183">XLOOKUP(C183,datos_personales[id:],datos_personales[Fecha Nacimiento:],"no dato",0,1)</f>
        <v/>
      </c>
      <c r="L183" s="88">
        <f>COUNTIF(hijos!B:B,C183)</f>
        <v>0</v>
      </c>
      <c r="M183" s="90">
        <f>COUNTIFS(hijos!B:B,C183,hijos!I:I,1)</f>
        <v>0</v>
      </c>
      <c r="N183" s="91">
        <f>COUNTIFS(hijos!B:B,C183,hijos!J:J,1)</f>
        <v>0</v>
      </c>
      <c r="O183" s="91">
        <f>COUNTIFS(hijos!B:B,C183,hijos!K:K,1)</f>
        <v>0</v>
      </c>
      <c r="P183" s="91">
        <f>COUNTIFS(hijos!B:B,C183,hijos!L:L,1)</f>
        <v>0</v>
      </c>
      <c r="Q183" s="91">
        <f t="shared" si="1"/>
        <v>0</v>
      </c>
      <c r="R183" s="88">
        <f t="array" ref="R183">XLOOKUP(C183,datos_personales[id:],datos_personales[Tel. Contacto:],"no dato",0,1)</f>
        <v>1139199525</v>
      </c>
      <c r="S183" s="80" t="str">
        <f t="array" ref="S183">XLOOKUP(C183,datos_personales[id:],datos_personales[E-Mail:],"no dato",0,1)</f>
        <v/>
      </c>
      <c r="T183" s="88" t="str">
        <f t="array" ref="T183">XLOOKUP(R183,telefonos_afiliados[numeros_loys],telefonos_afiliados[esta],"no esta",0,1)</f>
        <v>1</v>
      </c>
      <c r="U183" s="88" t="str">
        <f t="array" ref="U183">XLOOKUP(C183,datos_laborales[id:],datos_laborales[renuncio],"no dato",0,1)</f>
        <v>no dato</v>
      </c>
      <c r="V183" s="104"/>
      <c r="W183" s="78"/>
    </row>
    <row r="184" ht="15.75" hidden="1" customHeight="1">
      <c r="A184" s="79"/>
      <c r="B184" s="80"/>
      <c r="C184" s="81">
        <f>datos_personales[id:]</f>
        <v>10000007</v>
      </c>
      <c r="D184" s="81" t="str">
        <f t="array" ref="D184">XLOOKUP(C184,datos_laborales[clave_foranea],datos_laborales[Relacion de Dependencia],"dato no encontrado",0,1)</f>
        <v>Monotributista</v>
      </c>
      <c r="E184" s="80" t="str">
        <f t="array" ref="E184">XLOOKUP(C184,datos_delegados[clave_foranea:],datos_delegados[En Actividad]," ",0,1)</f>
        <v> </v>
      </c>
      <c r="F184" s="81" t="str">
        <f t="array" ref="F184">CONCATENATE(XLOOKUP(C184,datos_personales[id:],datos_personales[Apellido:],"no dato",0,1),", ",XLOOKUP(C184,datos_personales[id:],datos_personales[Nombre],"no dato",0,1))</f>
        <v>Farias,  Daiana</v>
      </c>
      <c r="G184" s="81">
        <f t="array" ref="G184">XLOOKUP(C184,datos_laborales[clave_foranea],datos_laborales[N° De Legajo],"no dato",0,1)</f>
        <v>2458</v>
      </c>
      <c r="H184" s="106" t="str">
        <f t="array" ref="H184">XLOOKUP(C184,datos_laborales[clave_foranea], datos_laborales[Inicio Actividad:],"no dato",0,1)</f>
        <v/>
      </c>
      <c r="I184" s="81">
        <f t="array" ref="I184">XLOOKUP(C184,datos_laborales[clave_foranea],datos_laborales[Años en Actividad:],"no dato",0,1)</f>
        <v>126</v>
      </c>
      <c r="J184" s="80" t="str">
        <f t="array" ref="J184">XLOOKUP(C184,datos_personales[id:],datos_personales[D.n.i:],"no dato",0,1)</f>
        <v/>
      </c>
      <c r="K184" s="106" t="str">
        <f t="array" ref="K184">XLOOKUP(C184,datos_personales[id:],datos_personales[Fecha Nacimiento:],"no dato",0,1)</f>
        <v/>
      </c>
      <c r="L184" s="81">
        <f>COUNTIF(hijos!B:B,C184)</f>
        <v>2</v>
      </c>
      <c r="M184" s="83">
        <f>COUNTIFS(hijos!B:B,C184,hijos!I:I,1)</f>
        <v>0</v>
      </c>
      <c r="N184" s="84">
        <f>COUNTIFS(hijos!B:B,C184,hijos!J:J,1)</f>
        <v>1</v>
      </c>
      <c r="O184" s="84">
        <f>COUNTIFS(hijos!B:B,C184,hijos!K:K,1)</f>
        <v>1</v>
      </c>
      <c r="P184" s="84">
        <f>COUNTIFS(hijos!B:B,C184,hijos!L:L,1)</f>
        <v>0</v>
      </c>
      <c r="Q184" s="84">
        <f t="shared" si="1"/>
        <v>2</v>
      </c>
      <c r="R184" s="85">
        <f t="array" ref="R184">XLOOKUP(C184,datos_personales[id:],datos_personales[Tel. Contacto:],"no dato",0,1)</f>
        <v>1169071195</v>
      </c>
      <c r="S184" s="80" t="str">
        <f t="array" ref="S184">XLOOKUP(C184,datos_personales[id:],datos_personales[E-Mail:],"no dato",0,1)</f>
        <v/>
      </c>
      <c r="T184" s="81" t="str">
        <f t="array" ref="T184">XLOOKUP(R184,telefonos_afiliados[numeros_loys],telefonos_afiliados[esta],"no esta",0,1)</f>
        <v>1</v>
      </c>
      <c r="U184" s="81" t="str">
        <f t="array" ref="U184">XLOOKUP(C184,datos_laborales[id:],datos_laborales[renuncio],"no dato",0,1)</f>
        <v>no dato</v>
      </c>
      <c r="V184" s="104"/>
      <c r="W184" s="78"/>
    </row>
    <row r="185" ht="15.75" hidden="1" customHeight="1">
      <c r="A185" s="79"/>
      <c r="B185" s="80"/>
      <c r="C185" s="88">
        <f>datos_personales[id:]</f>
        <v>10000008</v>
      </c>
      <c r="D185" s="88" t="str">
        <f t="array" ref="D185">XLOOKUP(C185,datos_laborales[clave_foranea],datos_laborales[Relacion de Dependencia],"dato no encontrado",0,1)</f>
        <v>Monotributista</v>
      </c>
      <c r="E185" s="80" t="str">
        <f t="array" ref="E185">XLOOKUP(C185,datos_delegados[clave_foranea:],datos_delegados[En Actividad]," ",0,1)</f>
        <v> </v>
      </c>
      <c r="F185" s="88" t="str">
        <f t="array" ref="F185">CONCATENATE(XLOOKUP(C185,datos_personales[id:],datos_personales[Apellido:],"no dato",0,1),", ",XLOOKUP(C185,datos_personales[id:],datos_personales[Nombre],"no dato",0,1))</f>
        <v>Farias,  Tamara</v>
      </c>
      <c r="G185" s="88">
        <f t="array" ref="G185">XLOOKUP(C185,datos_laborales[clave_foranea],datos_laborales[N° De Legajo],"no dato",0,1)</f>
        <v>2457</v>
      </c>
      <c r="H185" s="106" t="str">
        <f t="array" ref="H185">XLOOKUP(C185,datos_laborales[clave_foranea], datos_laborales[Inicio Actividad:],"no dato",0,1)</f>
        <v/>
      </c>
      <c r="I185" s="88">
        <f t="array" ref="I185">XLOOKUP(C185,datos_laborales[clave_foranea],datos_laborales[Años en Actividad:],"no dato",0,1)</f>
        <v>126</v>
      </c>
      <c r="J185" s="80" t="str">
        <f t="array" ref="J185">XLOOKUP(C185,datos_personales[id:],datos_personales[D.n.i:],"no dato",0,1)</f>
        <v/>
      </c>
      <c r="K185" s="106" t="str">
        <f t="array" ref="K185">XLOOKUP(C185,datos_personales[id:],datos_personales[Fecha Nacimiento:],"no dato",0,1)</f>
        <v/>
      </c>
      <c r="L185" s="88">
        <f>COUNTIF(hijos!B:B,C185)</f>
        <v>1</v>
      </c>
      <c r="M185" s="90">
        <f>COUNTIFS(hijos!B:B,C185,hijos!I:I,1)</f>
        <v>0</v>
      </c>
      <c r="N185" s="91">
        <f>COUNTIFS(hijos!B:B,C185,hijos!J:J,1)</f>
        <v>1</v>
      </c>
      <c r="O185" s="91">
        <f>COUNTIFS(hijos!B:B,C185,hijos!K:K,1)</f>
        <v>0</v>
      </c>
      <c r="P185" s="91">
        <f>COUNTIFS(hijos!B:B,C185,hijos!L:L,1)</f>
        <v>0</v>
      </c>
      <c r="Q185" s="91">
        <f t="shared" si="1"/>
        <v>1</v>
      </c>
      <c r="R185" s="103">
        <f t="array" ref="R185">XLOOKUP(C185,datos_personales[id:],datos_personales[Tel. Contacto:],"no dato",0,1)</f>
        <v>1134625079</v>
      </c>
      <c r="S185" s="80" t="str">
        <f t="array" ref="S185">XLOOKUP(C185,datos_personales[id:],datos_personales[E-Mail:],"no dato",0,1)</f>
        <v/>
      </c>
      <c r="T185" s="88" t="str">
        <f t="array" ref="T185">XLOOKUP(R185,telefonos_afiliados[numeros_loys],telefonos_afiliados[esta],"no esta",0,1)</f>
        <v>1</v>
      </c>
      <c r="U185" s="88" t="str">
        <f t="array" ref="U185">XLOOKUP(C185,datos_laborales[id:],datos_laborales[renuncio],"no dato",0,1)</f>
        <v>no dato</v>
      </c>
      <c r="V185" s="104"/>
      <c r="W185" s="78"/>
    </row>
    <row r="186" ht="15.75" hidden="1" customHeight="1">
      <c r="A186" s="79"/>
      <c r="B186" s="80"/>
      <c r="C186" s="81">
        <f>datos_personales[id:]</f>
        <v>10000009</v>
      </c>
      <c r="D186" s="81" t="str">
        <f t="array" ref="D186">XLOOKUP(C186,datos_laborales[clave_foranea],datos_laborales[Relacion de Dependencia],"dato no encontrado",0,1)</f>
        <v>Monotributista</v>
      </c>
      <c r="E186" s="80" t="str">
        <f t="array" ref="E186">XLOOKUP(C186,datos_delegados[clave_foranea:],datos_delegados[En Actividad]," ",0,1)</f>
        <v> </v>
      </c>
      <c r="F186" s="81" t="str">
        <f t="array" ref="F186">CONCATENATE(XLOOKUP(C186,datos_personales[id:],datos_personales[Apellido:],"no dato",0,1),", ",XLOOKUP(C186,datos_personales[id:],datos_personales[Nombre],"no dato",0,1))</f>
        <v>Gerez,  Paula</v>
      </c>
      <c r="G186" s="81">
        <f t="array" ref="G186">XLOOKUP(C186,datos_laborales[clave_foranea],datos_laborales[N° De Legajo],"no dato",0,1)</f>
        <v>2467</v>
      </c>
      <c r="H186" s="106" t="str">
        <f t="array" ref="H186">XLOOKUP(C186,datos_laborales[clave_foranea], datos_laborales[Inicio Actividad:],"no dato",0,1)</f>
        <v/>
      </c>
      <c r="I186" s="81">
        <f t="array" ref="I186">XLOOKUP(C186,datos_laborales[clave_foranea],datos_laborales[Años en Actividad:],"no dato",0,1)</f>
        <v>126</v>
      </c>
      <c r="J186" s="80" t="str">
        <f t="array" ref="J186">XLOOKUP(C186,datos_personales[id:],datos_personales[D.n.i:],"no dato",0,1)</f>
        <v/>
      </c>
      <c r="K186" s="106" t="str">
        <f t="array" ref="K186">XLOOKUP(C186,datos_personales[id:],datos_personales[Fecha Nacimiento:],"no dato",0,1)</f>
        <v/>
      </c>
      <c r="L186" s="81">
        <f>COUNTIF(hijos!B:B,C186)</f>
        <v>1</v>
      </c>
      <c r="M186" s="83">
        <f>COUNTIFS(hijos!B:B,C186,hijos!I:I,1)</f>
        <v>0</v>
      </c>
      <c r="N186" s="84">
        <f>COUNTIFS(hijos!B:B,C186,hijos!J:J,1)</f>
        <v>0</v>
      </c>
      <c r="O186" s="84">
        <f>COUNTIFS(hijos!B:B,C186,hijos!K:K,1)</f>
        <v>1</v>
      </c>
      <c r="P186" s="84">
        <f>COUNTIFS(hijos!B:B,C186,hijos!L:L,1)</f>
        <v>0</v>
      </c>
      <c r="Q186" s="84">
        <f t="shared" si="1"/>
        <v>1</v>
      </c>
      <c r="R186" s="85">
        <f t="array" ref="R186">XLOOKUP(C186,datos_personales[id:],datos_personales[Tel. Contacto:],"no dato",0,1)</f>
        <v>1158474449</v>
      </c>
      <c r="S186" s="80" t="str">
        <f t="array" ref="S186">XLOOKUP(C186,datos_personales[id:],datos_personales[E-Mail:],"no dato",0,1)</f>
        <v/>
      </c>
      <c r="T186" s="81" t="str">
        <f t="array" ref="T186">XLOOKUP(R186,telefonos_afiliados[numeros_loys],telefonos_afiliados[esta],"no esta",0,1)</f>
        <v>no esta</v>
      </c>
      <c r="U186" s="81" t="str">
        <f t="array" ref="U186">XLOOKUP(C186,datos_laborales[id:],datos_laborales[renuncio],"no dato",0,1)</f>
        <v>no dato</v>
      </c>
      <c r="V186" s="87" t="str">
        <f t="array" ref="V186">XLOOKUP(C186,datos_laborales[clave_foranea],datos_laborales[tiene_ficha_pdf],"no tiene ficha pdf",0,1)</f>
        <v>no tiene en pdf</v>
      </c>
      <c r="W186" s="78"/>
    </row>
    <row r="187" ht="15.75" hidden="1" customHeight="1">
      <c r="A187" s="79"/>
      <c r="B187" s="80"/>
      <c r="C187" s="88">
        <f>datos_personales[id:]</f>
        <v>10000010</v>
      </c>
      <c r="D187" s="88" t="str">
        <f t="array" ref="D187">XLOOKUP(C187,datos_laborales[clave_foranea],datos_laborales[Relacion de Dependencia],"dato no encontrado",0,1)</f>
        <v>Monotributista</v>
      </c>
      <c r="E187" s="80" t="str">
        <f t="array" ref="E187">XLOOKUP(C187,datos_delegados[clave_foranea:],datos_delegados[En Actividad]," ",0,1)</f>
        <v> </v>
      </c>
      <c r="F187" s="88" t="str">
        <f t="array" ref="F187">CONCATENATE(XLOOKUP(C187,datos_personales[id:],datos_personales[Apellido:],"no dato",0,1),", ",XLOOKUP(C187,datos_personales[id:],datos_personales[Nombre],"no dato",0,1))</f>
        <v>Gonzalez,  Gabriela Guadalupe</v>
      </c>
      <c r="G187" s="88">
        <f t="array" ref="G187">XLOOKUP(C187,datos_laborales[clave_foranea],datos_laborales[N° De Legajo],"no dato",0,1)</f>
        <v>2795</v>
      </c>
      <c r="H187" s="106" t="str">
        <f t="array" ref="H187">XLOOKUP(C187,datos_laborales[clave_foranea], datos_laborales[Inicio Actividad:],"no dato",0,1)</f>
        <v/>
      </c>
      <c r="I187" s="88">
        <f t="array" ref="I187">XLOOKUP(C187,datos_laborales[clave_foranea],datos_laborales[Años en Actividad:],"no dato",0,1)</f>
        <v>126</v>
      </c>
      <c r="J187" s="80" t="str">
        <f t="array" ref="J187">XLOOKUP(C187,datos_personales[id:],datos_personales[D.n.i:],"no dato",0,1)</f>
        <v/>
      </c>
      <c r="K187" s="106" t="str">
        <f t="array" ref="K187">XLOOKUP(C187,datos_personales[id:],datos_personales[Fecha Nacimiento:],"no dato",0,1)</f>
        <v/>
      </c>
      <c r="L187" s="88">
        <f>COUNTIF(hijos!B:B,C187)</f>
        <v>2</v>
      </c>
      <c r="M187" s="90">
        <f>COUNTIFS(hijos!B:B,C187,hijos!I:I,1)</f>
        <v>0</v>
      </c>
      <c r="N187" s="91">
        <f>COUNTIFS(hijos!B:B,C187,hijos!J:J,1)</f>
        <v>0</v>
      </c>
      <c r="O187" s="91">
        <f>COUNTIFS(hijos!B:B,C187,hijos!K:K,1)</f>
        <v>1</v>
      </c>
      <c r="P187" s="91">
        <f>COUNTIFS(hijos!B:B,C187,hijos!L:L,1)</f>
        <v>1</v>
      </c>
      <c r="Q187" s="91">
        <f t="shared" si="1"/>
        <v>2</v>
      </c>
      <c r="R187" s="103">
        <f t="array" ref="R187">XLOOKUP(C187,datos_personales[id:],datos_personales[Tel. Contacto:],"no dato",0,1)</f>
        <v>1168784455</v>
      </c>
      <c r="S187" s="80" t="str">
        <f t="array" ref="S187">XLOOKUP(C187,datos_personales[id:],datos_personales[E-Mail:],"no dato",0,1)</f>
        <v/>
      </c>
      <c r="T187" s="88" t="str">
        <f t="array" ref="T187">XLOOKUP(R187,telefonos_afiliados[numeros_loys],telefonos_afiliados[esta],"no esta",0,1)</f>
        <v>no esta</v>
      </c>
      <c r="U187" s="88" t="str">
        <f t="array" ref="U187">XLOOKUP(C187,datos_personales[id:],datos_laborales[renuncio],"no dato",0,1)</f>
        <v>#N/A</v>
      </c>
      <c r="V187" s="104"/>
      <c r="W187" s="78"/>
    </row>
    <row r="188" ht="15.75" hidden="1" customHeight="1">
      <c r="A188" s="79"/>
      <c r="B188" s="80"/>
      <c r="C188" s="81">
        <f>datos_personales[id:]</f>
        <v>10000011</v>
      </c>
      <c r="D188" s="81" t="str">
        <f t="array" ref="D188">XLOOKUP(C188,datos_laborales[clave_foranea],datos_laborales[Relacion de Dependencia],"dato no encontrado",0,1)</f>
        <v>Monotributista</v>
      </c>
      <c r="E188" s="80" t="str">
        <f t="array" ref="E188">XLOOKUP(C188,datos_delegados[clave_foranea:],datos_delegados[En Actividad]," ",0,1)</f>
        <v> </v>
      </c>
      <c r="F188" s="81" t="str">
        <f t="array" ref="F188">CONCATENATE(XLOOKUP(C188,datos_personales[id:],datos_personales[Apellido:],"no dato",0,1),", ",XLOOKUP(C188,datos_personales[id:],datos_personales[Nombre],"no dato",0,1))</f>
        <v>Hosko,  Aldana</v>
      </c>
      <c r="G188" s="81">
        <f t="array" ref="G188">XLOOKUP(C188,datos_laborales[clave_foranea],datos_laborales[N° De Legajo],"no dato",0,1)</f>
        <v>2798</v>
      </c>
      <c r="H188" s="106" t="str">
        <f t="array" ref="H188">XLOOKUP(C188,datos_laborales[clave_foranea], datos_laborales[Inicio Actividad:],"no dato",0,1)</f>
        <v/>
      </c>
      <c r="I188" s="81">
        <f t="array" ref="I188">XLOOKUP(C188,datos_laborales[clave_foranea],datos_laborales[Años en Actividad:],"no dato",0,1)</f>
        <v>126</v>
      </c>
      <c r="J188" s="80" t="str">
        <f t="array" ref="J188">XLOOKUP(C188,datos_personales[id:],datos_personales[D.n.i:],"no dato",0,1)</f>
        <v/>
      </c>
      <c r="K188" s="106" t="str">
        <f t="array" ref="K188">XLOOKUP(C188,datos_personales[id:],datos_personales[Fecha Nacimiento:],"no dato",0,1)</f>
        <v/>
      </c>
      <c r="L188" s="81">
        <f>COUNTIF(hijos!B:B,C188)</f>
        <v>1</v>
      </c>
      <c r="M188" s="83">
        <f>COUNTIFS(hijos!B:B,C188,hijos!I:I,1)</f>
        <v>0</v>
      </c>
      <c r="N188" s="84">
        <f>COUNTIFS(hijos!B:B,C188,hijos!J:J,1)</f>
        <v>0</v>
      </c>
      <c r="O188" s="84">
        <f>COUNTIFS(hijos!B:B,C188,hijos!K:K,1)</f>
        <v>1</v>
      </c>
      <c r="P188" s="84">
        <f>COUNTIFS(hijos!B:B,C188,hijos!L:L,1)</f>
        <v>0</v>
      </c>
      <c r="Q188" s="84">
        <f t="shared" si="1"/>
        <v>1</v>
      </c>
      <c r="R188" s="85">
        <f t="array" ref="R188">XLOOKUP(C188,datos_personales[id:],datos_personales[Tel. Contacto:],"no dato",0,1)</f>
        <v>1124980090</v>
      </c>
      <c r="S188" s="80" t="str">
        <f t="array" ref="S188">XLOOKUP(C188,datos_personales[id:],datos_personales[E-Mail:],"no dato",0,1)</f>
        <v/>
      </c>
      <c r="T188" s="81" t="str">
        <f t="array" ref="T188">XLOOKUP(R188,telefonos_afiliados[numeros_loys],telefonos_afiliados[esta],"no esta",0,1)</f>
        <v>no esta</v>
      </c>
      <c r="U188" s="81" t="str">
        <f t="array" ref="U188">XLOOKUP(C188,datos_laborales[id:],datos_laborales[renuncio],"no dato",0,1)</f>
        <v>no dato</v>
      </c>
      <c r="V188" s="104"/>
      <c r="W188" s="78"/>
    </row>
    <row r="189" ht="15.75" hidden="1" customHeight="1">
      <c r="A189" s="79"/>
      <c r="B189" s="80"/>
      <c r="C189" s="88">
        <f>datos_personales[id:]</f>
        <v>10000012</v>
      </c>
      <c r="D189" s="88" t="str">
        <f t="array" ref="D189">XLOOKUP(C189,datos_laborales[clave_foranea],datos_laborales[Relacion de Dependencia],"dato no encontrado",0,1)</f>
        <v>Monotributista</v>
      </c>
      <c r="E189" s="80" t="str">
        <f t="array" ref="E189">XLOOKUP(C189,datos_delegados[clave_foranea:],datos_delegados[En Actividad]," ",0,1)</f>
        <v> </v>
      </c>
      <c r="F189" s="88" t="str">
        <f t="array" ref="F189">CONCATENATE(XLOOKUP(C189,datos_personales[id:],datos_personales[Apellido:],"no dato",0,1),", ",XLOOKUP(C189,datos_personales[id:],datos_personales[Nombre],"no dato",0,1))</f>
        <v>Pentrelli,  Vanesa</v>
      </c>
      <c r="G189" s="88">
        <f t="array" ref="G189">XLOOKUP(C189,datos_laborales[clave_foranea],datos_laborales[N° De Legajo],"no dato",0,1)</f>
        <v>2333</v>
      </c>
      <c r="H189" s="106" t="str">
        <f t="array" ref="H189">XLOOKUP(C189,datos_laborales[clave_foranea], datos_laborales[Inicio Actividad:],"no dato",0,1)</f>
        <v/>
      </c>
      <c r="I189" s="88">
        <f t="array" ref="I189">XLOOKUP(C189,datos_laborales[clave_foranea],datos_laborales[Años en Actividad:],"no dato",0,1)</f>
        <v>126</v>
      </c>
      <c r="J189" s="80" t="str">
        <f t="array" ref="J189">XLOOKUP(C189,datos_personales[id:],datos_personales[D.n.i:],"no dato",0,1)</f>
        <v/>
      </c>
      <c r="K189" s="106" t="str">
        <f t="array" ref="K189">XLOOKUP(C189,datos_personales[id:],datos_personales[Fecha Nacimiento:],"no dato",0,1)</f>
        <v/>
      </c>
      <c r="L189" s="88">
        <f>COUNTIF(hijos!B:B,C189)</f>
        <v>2</v>
      </c>
      <c r="M189" s="90">
        <f>COUNTIFS(hijos!B:B,C189,hijos!I:I,1)</f>
        <v>0</v>
      </c>
      <c r="N189" s="91">
        <f>COUNTIFS(hijos!B:B,C189,hijos!J:J,1)</f>
        <v>0</v>
      </c>
      <c r="O189" s="91">
        <f>COUNTIFS(hijos!B:B,C189,hijos!K:K,1)</f>
        <v>0</v>
      </c>
      <c r="P189" s="91">
        <f>COUNTIFS(hijos!B:B,C189,hijos!L:L,1)</f>
        <v>2</v>
      </c>
      <c r="Q189" s="91">
        <f t="shared" si="1"/>
        <v>2</v>
      </c>
      <c r="R189" s="103">
        <f t="array" ref="R189">XLOOKUP(C189,datos_personales[id:],datos_personales[Tel. Contacto:],"no dato",0,1)</f>
        <v>1131113453</v>
      </c>
      <c r="S189" s="80" t="str">
        <f t="array" ref="S189">XLOOKUP(C189,datos_personales[id:],datos_personales[E-Mail:],"no dato",0,1)</f>
        <v/>
      </c>
      <c r="T189" s="88" t="str">
        <f t="array" ref="T189">XLOOKUP(R189,telefonos_afiliados[numeros_loys],telefonos_afiliados[esta],"no esta",0,1)</f>
        <v>1</v>
      </c>
      <c r="U189" s="88" t="str">
        <f t="array" ref="U189">XLOOKUP(C189,datos_laborales[id:],datos_laborales[renuncio],"no dato",0,1)</f>
        <v>no dato</v>
      </c>
      <c r="V189" s="93" t="str">
        <f t="array" ref="V189">XLOOKUP(C189,datos_laborales[clave_foranea],datos_laborales[tiene_ficha_pdf],"no tiene ficha pdf",0,1)</f>
        <v>no tiene en pdf</v>
      </c>
      <c r="W189" s="78"/>
    </row>
    <row r="190" ht="15.75" hidden="1" customHeight="1">
      <c r="A190" s="79"/>
      <c r="B190" s="80"/>
      <c r="C190" s="81">
        <f>datos_personales[id:]</f>
        <v>38456881</v>
      </c>
      <c r="D190" s="81" t="str">
        <f t="array" ref="D190">XLOOKUP(C190,datos_laborales[clave_foranea],datos_laborales[Relacion de Dependencia],"dato no encontrado",0,1)</f>
        <v>Monotributista</v>
      </c>
      <c r="E190" s="80" t="str">
        <f t="array" ref="E190">XLOOKUP(C190,datos_delegados[clave_foranea:],datos_delegados[En Actividad]," ",0,1)</f>
        <v> </v>
      </c>
      <c r="F190" s="81" t="str">
        <f t="array" ref="F190">CONCATENATE(XLOOKUP(C190,datos_personales[id:],datos_personales[Apellido:],"no dato",0,1),", ",XLOOKUP(C190,datos_personales[id:],datos_personales[Nombre],"no dato",0,1))</f>
        <v>Silva,  Luciana</v>
      </c>
      <c r="G190" s="81">
        <f t="array" ref="G190">XLOOKUP(C190,datos_laborales[clave_foranea],datos_laborales[N° De Legajo],"no dato",0,1)</f>
        <v>1777</v>
      </c>
      <c r="H190" s="82">
        <f t="array" ref="H190">XLOOKUP(C190,datos_laborales[clave_foranea], datos_laborales[Inicio Actividad:],"no dato",0,1)</f>
        <v>43739</v>
      </c>
      <c r="I190" s="81">
        <f t="array" ref="I190">XLOOKUP(C190,datos_laborales[clave_foranea],datos_laborales[Años en Actividad:],"no dato",0,1)</f>
        <v>6</v>
      </c>
      <c r="J190" s="81">
        <f t="array" ref="J190">XLOOKUP(C190,datos_personales[id:],datos_personales[D.n.i:],"no dato",0,1)</f>
        <v>38456881</v>
      </c>
      <c r="K190" s="82">
        <f t="array" ref="K190">XLOOKUP(C190,datos_personales[id:],datos_personales[Fecha Nacimiento:],"no dato",0,1)</f>
        <v>34593</v>
      </c>
      <c r="L190" s="81">
        <f>COUNTIF(hijos!B:B,C190)</f>
        <v>0</v>
      </c>
      <c r="M190" s="83">
        <f>COUNTIFS(hijos!B:B,C190,hijos!I:I,1)</f>
        <v>0</v>
      </c>
      <c r="N190" s="84">
        <f>COUNTIFS(hijos!B:B,C190,hijos!J:J,1)</f>
        <v>0</v>
      </c>
      <c r="O190" s="84">
        <f>COUNTIFS(hijos!B:B,C190,hijos!K:K,1)</f>
        <v>0</v>
      </c>
      <c r="P190" s="84">
        <f>COUNTIFS(hijos!B:B,C190,hijos!L:L,1)</f>
        <v>0</v>
      </c>
      <c r="Q190" s="84">
        <f t="shared" si="1"/>
        <v>0</v>
      </c>
      <c r="R190" s="85">
        <f t="array" ref="R190">XLOOKUP(C190,datos_personales[id:],datos_personales[Tel. Contacto:],"no dato",0,1)</f>
        <v>1137587184</v>
      </c>
      <c r="S190" s="81" t="str">
        <f t="array" ref="S190">XLOOKUP(C190,datos_personales[id:],datos_personales[E-Mail:],"no dato",0,1)</f>
        <v>lucianabsilva58@gmail.com</v>
      </c>
      <c r="T190" s="81" t="str">
        <f t="array" ref="T190">XLOOKUP(R190,telefonos_afiliados[numeros_loys],telefonos_afiliados[esta],"no esta",0,1)</f>
        <v>1</v>
      </c>
      <c r="U190" s="81" t="str">
        <f t="array" ref="U190">XLOOKUP(C190,datos_personales[id:],datos_laborales[renuncio],"no dato",0,1)</f>
        <v>#N/A</v>
      </c>
      <c r="V190" s="87" t="str">
        <f t="array" ref="V190">XLOOKUP(C190,datos_laborales[clave_foranea],datos_laborales[tiene_ficha_pdf],"no tiene ficha pdf",0,1)</f>
        <v>no tiene en pdf</v>
      </c>
      <c r="W190" s="78"/>
    </row>
    <row r="191" ht="15.75" hidden="1" customHeight="1">
      <c r="A191" s="79"/>
      <c r="B191" s="80"/>
      <c r="C191" s="88">
        <f>datos_personales[id:]</f>
        <v>10000015</v>
      </c>
      <c r="D191" s="88" t="str">
        <f t="array" ref="D191">XLOOKUP(C191,datos_laborales[clave_foranea],datos_laborales[Relacion de Dependencia],"dato no encontrado",0,1)</f>
        <v>Monotributista</v>
      </c>
      <c r="E191" s="80" t="str">
        <f t="array" ref="E191">XLOOKUP(C191,datos_delegados[clave_foranea:],datos_delegados[En Actividad]," ",0,1)</f>
        <v> </v>
      </c>
      <c r="F191" s="88" t="str">
        <f t="array" ref="F191">CONCATENATE(XLOOKUP(C191,datos_personales[id:],datos_personales[Apellido:],"no dato",0,1),", ",XLOOKUP(C191,datos_personales[id:],datos_personales[Nombre],"no dato",0,1))</f>
        <v>Villegas,  Oscar</v>
      </c>
      <c r="G191" s="88">
        <f t="array" ref="G191">XLOOKUP(C191,datos_laborales[clave_foranea],datos_laborales[N° De Legajo],"no dato",0,1)</f>
        <v>2043</v>
      </c>
      <c r="H191" s="106" t="str">
        <f t="array" ref="H191">XLOOKUP(C191,datos_laborales[clave_foranea], datos_laborales[Inicio Actividad:],"no dato",0,1)</f>
        <v/>
      </c>
      <c r="I191" s="88">
        <f t="array" ref="I191">XLOOKUP(C191,datos_laborales[clave_foranea],datos_laborales[Años en Actividad:],"no dato",0,1)</f>
        <v>126</v>
      </c>
      <c r="J191" s="80" t="str">
        <f t="array" ref="J191">XLOOKUP(C191,datos_personales[id:],datos_personales[D.n.i:],"no dato",0,1)</f>
        <v/>
      </c>
      <c r="K191" s="106" t="str">
        <f t="array" ref="K191">XLOOKUP(C191,datos_personales[id:],datos_personales[Fecha Nacimiento:],"no dato",0,1)</f>
        <v/>
      </c>
      <c r="L191" s="88">
        <f>COUNTIF(hijos!B:B,C191)</f>
        <v>2</v>
      </c>
      <c r="M191" s="90">
        <f>COUNTIFS(hijos!B:B,C191,hijos!I:I,1)</f>
        <v>0</v>
      </c>
      <c r="N191" s="91">
        <f>COUNTIFS(hijos!B:B,C191,hijos!J:J,1)</f>
        <v>1</v>
      </c>
      <c r="O191" s="91">
        <f>COUNTIFS(hijos!B:B,C191,hijos!K:K,1)</f>
        <v>1</v>
      </c>
      <c r="P191" s="91">
        <f>COUNTIFS(hijos!B:B,C191,hijos!L:L,1)</f>
        <v>0</v>
      </c>
      <c r="Q191" s="91">
        <f t="shared" si="1"/>
        <v>2</v>
      </c>
      <c r="R191" s="103">
        <f t="array" ref="R191">XLOOKUP(C191,datos_personales[id:],datos_personales[Tel. Contacto:],"no dato",0,1)</f>
        <v>1127563862</v>
      </c>
      <c r="S191" s="80" t="str">
        <f t="array" ref="S191">XLOOKUP(C191,datos_personales[id:],datos_personales[E-Mail:],"no dato",0,1)</f>
        <v/>
      </c>
      <c r="T191" s="88" t="str">
        <f t="array" ref="T191">XLOOKUP(R191,telefonos_afiliados[numeros_loys],telefonos_afiliados[esta],"no esta",0,1)</f>
        <v>1</v>
      </c>
      <c r="U191" s="88" t="str">
        <f t="array" ref="U191">XLOOKUP(C191,datos_laborales[id:],datos_laborales[renuncio],"no dato",0,1)</f>
        <v>no dato</v>
      </c>
      <c r="V191" s="93" t="str">
        <f t="array" ref="V191">XLOOKUP(C191,datos_laborales[clave_foranea],datos_laborales[tiene_ficha_pdf],"no tiene ficha pdf",0,1)</f>
        <v>no tiene en pdf</v>
      </c>
      <c r="W191" s="78"/>
    </row>
    <row r="192" ht="15.75" hidden="1" customHeight="1">
      <c r="A192" s="79"/>
      <c r="B192" s="80"/>
      <c r="C192" s="81">
        <f>datos_personales[id:]</f>
        <v>42272694</v>
      </c>
      <c r="D192" s="81" t="str">
        <f t="array" ref="D192">XLOOKUP(C192,datos_laborales[clave_foranea],datos_laborales[Relacion de Dependencia],"dato no encontrado",0,1)</f>
        <v>Monotributista</v>
      </c>
      <c r="E192" s="80" t="str">
        <f t="array" ref="E192">XLOOKUP(C192,datos_delegados[clave_foranea:],datos_delegados[En Actividad]," ",0,1)</f>
        <v> </v>
      </c>
      <c r="F192" s="81" t="str">
        <f t="array" ref="F192">CONCATENATE(XLOOKUP(C192,datos_personales[id:],datos_personales[Apellido:],"no dato",0,1),", ",XLOOKUP(C192,datos_personales[id:],datos_personales[Nombre],"no dato",0,1))</f>
        <v>encina, madelin milagros</v>
      </c>
      <c r="G192" s="81">
        <f t="array" ref="G192">XLOOKUP(C192,datos_laborales[clave_foranea],datos_laborales[N° De Legajo],"no dato",0,1)</f>
        <v>1583</v>
      </c>
      <c r="H192" s="106" t="str">
        <f t="array" ref="H192">XLOOKUP(C192,datos_laborales[clave_foranea], datos_laborales[Inicio Actividad:],"no dato",0,1)</f>
        <v/>
      </c>
      <c r="I192" s="81">
        <f t="array" ref="I192">XLOOKUP(C192,datos_laborales[clave_foranea],datos_laborales[Años en Actividad:],"no dato",0,1)</f>
        <v>126</v>
      </c>
      <c r="J192" s="81">
        <f t="array" ref="J192">XLOOKUP(C192,datos_personales[id:],datos_personales[D.n.i:],"no dato",0,1)</f>
        <v>42272694</v>
      </c>
      <c r="K192" s="82">
        <f t="array" ref="K192">XLOOKUP(C192,datos_personales[id:],datos_personales[Fecha Nacimiento:],"no dato",0,1)</f>
        <v>36532</v>
      </c>
      <c r="L192" s="81">
        <f>COUNTIF(hijos!B:B,C192)</f>
        <v>0</v>
      </c>
      <c r="M192" s="83">
        <f>COUNTIFS(hijos!B:B,C192,hijos!I:I,1)</f>
        <v>0</v>
      </c>
      <c r="N192" s="84">
        <f>COUNTIFS(hijos!B:B,C192,hijos!J:J,1)</f>
        <v>0</v>
      </c>
      <c r="O192" s="84">
        <f>COUNTIFS(hijos!B:B,C192,hijos!K:K,1)</f>
        <v>0</v>
      </c>
      <c r="P192" s="84">
        <f>COUNTIFS(hijos!B:B,C192,hijos!L:L,1)</f>
        <v>0</v>
      </c>
      <c r="Q192" s="84">
        <f t="shared" si="1"/>
        <v>0</v>
      </c>
      <c r="R192" s="85">
        <f t="array" ref="R192">XLOOKUP(C192,datos_personales[id:],datos_personales[Tel. Contacto:],"no dato",0,1)</f>
        <v>1161511686</v>
      </c>
      <c r="S192" s="81" t="str">
        <f t="array" ref="S192">XLOOKUP(C192,datos_personales[id:],datos_personales[E-Mail:],"no dato",0,1)</f>
        <v>made0936@gmail.com</v>
      </c>
      <c r="T192" s="81" t="str">
        <f t="array" ref="T192">XLOOKUP(R192,telefonos_afiliados[numeros_loys],telefonos_afiliados[esta],"no esta",0,1)</f>
        <v>1</v>
      </c>
      <c r="U192" s="81" t="str">
        <f t="array" ref="U192">XLOOKUP(C192,datos_laborales[id:],datos_laborales[renuncio],"no dato",0,1)</f>
        <v>no dato</v>
      </c>
      <c r="V192" s="87">
        <f t="array" ref="V192">XLOOKUP(C192,datos_laborales[clave_foranea],datos_laborales[tiene_ficha_pdf],"no tiene ficha pdf",0,1)</f>
        <v>1</v>
      </c>
      <c r="W192" s="78"/>
    </row>
    <row r="193" ht="15.75" hidden="1" customHeight="1">
      <c r="A193" s="79"/>
      <c r="B193" s="80"/>
      <c r="C193" s="88">
        <f>datos_personales[id:]</f>
        <v>36407500</v>
      </c>
      <c r="D193" s="88" t="str">
        <f t="array" ref="D193">XLOOKUP(C193,datos_laborales[clave_foranea],datos_laborales[Relacion de Dependencia],"dato no encontrado",0,1)</f>
        <v>Monotributista</v>
      </c>
      <c r="E193" s="80" t="str">
        <f t="array" ref="E193">XLOOKUP(C193,datos_delegados[clave_foranea:],datos_delegados[En Actividad]," ",0,1)</f>
        <v> </v>
      </c>
      <c r="F193" s="88" t="str">
        <f t="array" ref="F193">CONCATENATE(XLOOKUP(C193,datos_personales[id:],datos_personales[Apellido:],"no dato",0,1),", ",XLOOKUP(C193,datos_personales[id:],datos_personales[Nombre],"no dato",0,1))</f>
        <v>lemos, ezequiel alberto</v>
      </c>
      <c r="G193" s="88">
        <f t="array" ref="G193">XLOOKUP(C193,datos_laborales[clave_foranea],datos_laborales[N° De Legajo],"no dato",0,1)</f>
        <v>1191</v>
      </c>
      <c r="H193" s="106" t="str">
        <f t="array" ref="H193">XLOOKUP(C193,datos_laborales[clave_foranea], datos_laborales[Inicio Actividad:],"no dato",0,1)</f>
        <v/>
      </c>
      <c r="I193" s="88">
        <f t="array" ref="I193">XLOOKUP(C193,datos_laborales[clave_foranea],datos_laborales[Años en Actividad:],"no dato",0,1)</f>
        <v>126</v>
      </c>
      <c r="J193" s="88">
        <f t="array" ref="J193">XLOOKUP(C193,datos_personales[id:],datos_personales[D.n.i:],"no dato",0,1)</f>
        <v>36407500</v>
      </c>
      <c r="K193" s="89">
        <f t="array" ref="K193">XLOOKUP(C193,datos_personales[id:],datos_personales[Fecha Nacimiento:],"no dato",0,1)</f>
        <v>33464</v>
      </c>
      <c r="L193" s="88">
        <f>COUNTIF(hijos!B:B,C193)</f>
        <v>0</v>
      </c>
      <c r="M193" s="90">
        <f>COUNTIFS(hijos!B:B,C193,hijos!I:I,1)</f>
        <v>0</v>
      </c>
      <c r="N193" s="91">
        <f>COUNTIFS(hijos!B:B,C193,hijos!J:J,1)</f>
        <v>0</v>
      </c>
      <c r="O193" s="91">
        <f>COUNTIFS(hijos!B:B,C193,hijos!K:K,1)</f>
        <v>0</v>
      </c>
      <c r="P193" s="91">
        <f>COUNTIFS(hijos!B:B,C193,hijos!L:L,1)</f>
        <v>0</v>
      </c>
      <c r="Q193" s="91">
        <f t="shared" si="1"/>
        <v>0</v>
      </c>
      <c r="R193" s="103">
        <f t="array" ref="R193">XLOOKUP(C193,datos_personales[id:],datos_personales[Tel. Contacto:],"no dato",0,1)</f>
        <v>1156665476</v>
      </c>
      <c r="S193" s="88" t="str">
        <f t="array" ref="S193">XLOOKUP(C193,datos_personales[id:],datos_personales[E-Mail:],"no dato",0,1)</f>
        <v>ezelemos91@gmail.com</v>
      </c>
      <c r="T193" s="88" t="str">
        <f t="array" ref="T193">XLOOKUP(R193,telefonos_afiliados[numeros_loys],telefonos_afiliados[esta],"no esta",0,1)</f>
        <v>no esta</v>
      </c>
      <c r="U193" s="88" t="str">
        <f t="array" ref="U193">XLOOKUP(C193,datos_personales[id:],datos_laborales[renuncio],"no dato",0,1)</f>
        <v>#N/A</v>
      </c>
      <c r="V193" s="93" t="str">
        <f t="array" ref="V193">XLOOKUP(C193,datos_laborales[clave_foranea],datos_laborales[tiene_ficha_pdf],"no tiene ficha pdf",0,1)</f>
        <v>no tiene en pdf</v>
      </c>
      <c r="W193" s="78"/>
    </row>
    <row r="194" ht="15.75" hidden="1" customHeight="1">
      <c r="A194" s="79"/>
      <c r="B194" s="80"/>
      <c r="C194" s="81">
        <f>datos_personales[id:]</f>
        <v>35181182</v>
      </c>
      <c r="D194" s="81" t="str">
        <f t="array" ref="D194">XLOOKUP(C194,datos_laborales[clave_foranea],datos_laborales[Relacion de Dependencia],"dato no encontrado",0,1)</f>
        <v>Monotributista</v>
      </c>
      <c r="E194" s="80" t="str">
        <f t="array" ref="E194">XLOOKUP(C194,datos_delegados[clave_foranea:],datos_delegados[En Actividad]," ",0,1)</f>
        <v> </v>
      </c>
      <c r="F194" s="81" t="str">
        <f t="array" ref="F194">CONCATENATE(XLOOKUP(C194,datos_personales[id:],datos_personales[Apellido:],"no dato",0,1),", ",XLOOKUP(C194,datos_personales[id:],datos_personales[Nombre],"no dato",0,1))</f>
        <v>villalva, jonathan</v>
      </c>
      <c r="G194" s="81">
        <f t="array" ref="G194">XLOOKUP(C194,datos_laborales[clave_foranea],datos_laborales[N° De Legajo],"no dato",0,1)</f>
        <v>803</v>
      </c>
      <c r="H194" s="82">
        <f t="array" ref="H194">XLOOKUP(C194,datos_laborales[clave_foranea], datos_laborales[Inicio Actividad:],"no dato",0,1)</f>
        <v>43465</v>
      </c>
      <c r="I194" s="81">
        <f t="array" ref="I194">XLOOKUP(C194,datos_laborales[clave_foranea],datos_laborales[Años en Actividad:],"no dato",0,1)</f>
        <v>7</v>
      </c>
      <c r="J194" s="81">
        <f t="array" ref="J194">XLOOKUP(C194,datos_personales[id:],datos_personales[D.n.i:],"no dato",0,1)</f>
        <v>35181182</v>
      </c>
      <c r="K194" s="82">
        <f t="array" ref="K194">XLOOKUP(C194,datos_personales[id:],datos_personales[Fecha Nacimiento:],"no dato",0,1)</f>
        <v>33112</v>
      </c>
      <c r="L194" s="81">
        <f>COUNTIF(hijos!B:B,C194)</f>
        <v>0</v>
      </c>
      <c r="M194" s="83">
        <f>COUNTIFS(hijos!B:B,C194,hijos!I:I,1)</f>
        <v>0</v>
      </c>
      <c r="N194" s="84">
        <f>COUNTIFS(hijos!B:B,C194,hijos!J:J,1)</f>
        <v>0</v>
      </c>
      <c r="O194" s="84">
        <f>COUNTIFS(hijos!B:B,C194,hijos!K:K,1)</f>
        <v>0</v>
      </c>
      <c r="P194" s="84">
        <f>COUNTIFS(hijos!B:B,C194,hijos!L:L,1)</f>
        <v>0</v>
      </c>
      <c r="Q194" s="84">
        <f t="shared" si="1"/>
        <v>0</v>
      </c>
      <c r="R194" s="85">
        <f t="array" ref="R194">XLOOKUP(C194,datos_personales[id:],datos_personales[Tel. Contacto:],"no dato",0,1)</f>
        <v>1138619940</v>
      </c>
      <c r="S194" s="81" t="str">
        <f t="array" ref="S194">XLOOKUP(C194,datos_personales[id:],datos_personales[E-Mail:],"no dato",0,1)</f>
        <v>jona2079@gmail.com</v>
      </c>
      <c r="T194" s="81" t="str">
        <f t="array" ref="T194">XLOOKUP(R194,telefonos_afiliados[numeros_loys],telefonos_afiliados[esta],"no esta",0,1)</f>
        <v>no esta</v>
      </c>
      <c r="U194" s="81" t="str">
        <f t="array" ref="U194">XLOOKUP(C194,datos_personales[id:],datos_laborales[renuncio],"no dato",0,1)</f>
        <v>#N/A</v>
      </c>
      <c r="V194" s="87" t="str">
        <f t="array" ref="V194">XLOOKUP(C194,datos_laborales[clave_foranea],datos_laborales[tiene_ficha_pdf],"no tiene ficha pdf",0,1)</f>
        <v>no tiene en pdf</v>
      </c>
      <c r="W194" s="78"/>
    </row>
    <row r="195" ht="15.75" hidden="1" customHeight="1">
      <c r="A195" s="79"/>
      <c r="B195" s="80"/>
      <c r="C195" s="88">
        <f>datos_personales[id:]</f>
        <v>33741905</v>
      </c>
      <c r="D195" s="88" t="str">
        <f t="array" ref="D195">XLOOKUP(C195,datos_laborales[clave_foranea],datos_laborales[Relacion de Dependencia],"dato no encontrado",0,1)</f>
        <v>planta permanente</v>
      </c>
      <c r="E195" s="80" t="str">
        <f t="array" ref="E195">XLOOKUP(C195,datos_delegados[clave_foranea:],datos_delegados[En Actividad]," ",0,1)</f>
        <v> </v>
      </c>
      <c r="F195" s="88" t="str">
        <f t="array" ref="F195">CONCATENATE(XLOOKUP(C195,datos_personales[id:],datos_personales[Apellido:],"no dato",0,1),", ",XLOOKUP(C195,datos_personales[id:],datos_personales[Nombre],"no dato",0,1))</f>
        <v>cruz, jonathan hernan</v>
      </c>
      <c r="G195" s="88">
        <f t="array" ref="G195">XLOOKUP(C195,datos_laborales[clave_foranea],datos_laborales[N° De Legajo],"no dato",0,1)</f>
        <v>109</v>
      </c>
      <c r="H195" s="89">
        <f t="array" ref="H195">XLOOKUP(C195,datos_laborales[clave_foranea], datos_laborales[Inicio Actividad:],"no dato",0,1)</f>
        <v>41640</v>
      </c>
      <c r="I195" s="88">
        <f t="array" ref="I195">XLOOKUP(C195,datos_laborales[clave_foranea],datos_laborales[Años en Actividad:],"no dato",0,1)</f>
        <v>11</v>
      </c>
      <c r="J195" s="88">
        <f t="array" ref="J195">XLOOKUP(C195,datos_personales[id:],datos_personales[D.n.i:],"no dato",0,1)</f>
        <v>33741905</v>
      </c>
      <c r="K195" s="89">
        <f t="array" ref="K195">XLOOKUP(C195,datos_personales[id:],datos_personales[Fecha Nacimiento:],"no dato",0,1)</f>
        <v>32421</v>
      </c>
      <c r="L195" s="88">
        <f>COUNTIF(hijos!B:B,C195)</f>
        <v>0</v>
      </c>
      <c r="M195" s="90">
        <f>COUNTIFS(hijos!B:B,C195,hijos!I:I,1)</f>
        <v>0</v>
      </c>
      <c r="N195" s="91">
        <f>COUNTIFS(hijos!B:B,C195,hijos!J:J,1)</f>
        <v>0</v>
      </c>
      <c r="O195" s="91">
        <f>COUNTIFS(hijos!B:B,C195,hijos!K:K,1)</f>
        <v>0</v>
      </c>
      <c r="P195" s="91">
        <f>COUNTIFS(hijos!B:B,C195,hijos!L:L,1)</f>
        <v>0</v>
      </c>
      <c r="Q195" s="91">
        <f t="shared" si="1"/>
        <v>0</v>
      </c>
      <c r="R195" s="103">
        <f t="array" ref="R195">XLOOKUP(C195,datos_personales[id:],datos_personales[Tel. Contacto:],"no dato",0,1)</f>
        <v>1155287162</v>
      </c>
      <c r="S195" s="88" t="str">
        <f t="array" ref="S195">XLOOKUP(C195,datos_personales[id:],datos_personales[E-Mail:],"no dato",0,1)</f>
        <v>cruz_jonathan_03@hotmail.com</v>
      </c>
      <c r="T195" s="88" t="str">
        <f t="array" ref="T195">XLOOKUP(R195,telefonos_afiliados[numeros_loys],telefonos_afiliados[esta],"no esta",0,1)</f>
        <v>no esta</v>
      </c>
      <c r="U195" s="88" t="str">
        <f t="array" ref="U195">XLOOKUP(C195,datos_personales[id:],datos_laborales[renuncio],"no dato",0,1)</f>
        <v>#N/A</v>
      </c>
      <c r="V195" s="104"/>
      <c r="W195" s="78"/>
    </row>
    <row r="196" ht="15.75" hidden="1" customHeight="1">
      <c r="A196" s="79"/>
      <c r="B196" s="80"/>
      <c r="C196" s="81">
        <f>datos_personales[id:]</f>
        <v>18590445</v>
      </c>
      <c r="D196" s="81" t="str">
        <f t="array" ref="D196">XLOOKUP(C196,datos_laborales[clave_foranea],datos_laborales[Relacion de Dependencia],"dato no encontrado",0,1)</f>
        <v>Planta Transitoria</v>
      </c>
      <c r="E196" s="80" t="str">
        <f t="array" ref="E196">XLOOKUP(C196,datos_delegados[clave_foranea:],datos_delegados[En Actividad]," ",0,1)</f>
        <v> </v>
      </c>
      <c r="F196" s="81" t="str">
        <f t="array" ref="F196">CONCATENATE(XLOOKUP(C196,datos_personales[id:],datos_personales[Apellido:],"no dato",0,1),", ",XLOOKUP(C196,datos_personales[id:],datos_personales[Nombre],"no dato",0,1))</f>
        <v>pindilli, monica beatriz</v>
      </c>
      <c r="G196" s="81">
        <f t="array" ref="G196">XLOOKUP(C196,datos_laborales[clave_foranea],datos_laborales[N° De Legajo],"no dato",0,1)</f>
        <v>41</v>
      </c>
      <c r="H196" s="82">
        <f t="array" ref="H196">XLOOKUP(C196,datos_laborales[clave_foranea], datos_laborales[Inicio Actividad:],"no dato",0,1)</f>
        <v>41640</v>
      </c>
      <c r="I196" s="81">
        <f t="array" ref="I196">XLOOKUP(C196,datos_laborales[clave_foranea],datos_laborales[Años en Actividad:],"no dato",0,1)</f>
        <v>11</v>
      </c>
      <c r="J196" s="81">
        <f t="array" ref="J196">XLOOKUP(C196,datos_personales[id:],datos_personales[D.n.i:],"no dato",0,1)</f>
        <v>18590445</v>
      </c>
      <c r="K196" s="82">
        <f t="array" ref="K196">XLOOKUP(C196,datos_personales[id:],datos_personales[Fecha Nacimiento:],"no dato",0,1)</f>
        <v>24313</v>
      </c>
      <c r="L196" s="81">
        <f>COUNTIF(hijos!B:B,C196)</f>
        <v>0</v>
      </c>
      <c r="M196" s="83">
        <f>COUNTIFS(hijos!B:B,C196,hijos!I:I,1)</f>
        <v>0</v>
      </c>
      <c r="N196" s="84">
        <f>COUNTIFS(hijos!B:B,C196,hijos!J:J,1)</f>
        <v>0</v>
      </c>
      <c r="O196" s="84">
        <f>COUNTIFS(hijos!B:B,C196,hijos!K:K,1)</f>
        <v>0</v>
      </c>
      <c r="P196" s="84">
        <f>COUNTIFS(hijos!B:B,C196,hijos!L:L,1)</f>
        <v>0</v>
      </c>
      <c r="Q196" s="84">
        <f t="shared" si="1"/>
        <v>0</v>
      </c>
      <c r="R196" s="85">
        <f t="array" ref="R196">XLOOKUP(C196,datos_personales[id:],datos_personales[Tel. Contacto:],"no dato",0,1)</f>
        <v>1157719505</v>
      </c>
      <c r="S196" s="81" t="str">
        <f t="array" ref="S196">XLOOKUP(C196,datos_personales[id:],datos_personales[E-Mail:],"no dato",0,1)</f>
        <v>mbpindilli@hotmail.com</v>
      </c>
      <c r="T196" s="81" t="str">
        <f t="array" ref="T196">XLOOKUP(R196,telefonos_afiliados[numeros_loys],telefonos_afiliados[esta],"no esta",0,1)</f>
        <v>no esta</v>
      </c>
      <c r="U196" s="81" t="str">
        <f t="array" ref="U196">XLOOKUP(C196,datos_laborales[id:],datos_laborales[renuncio],"no dato",0,1)</f>
        <v>no dato</v>
      </c>
      <c r="V196" s="87" t="str">
        <f t="array" ref="V196">XLOOKUP(C196,datos_laborales[clave_foranea],datos_laborales[tiene_ficha_pdf],"no tiene ficha pdf",0,1)</f>
        <v>no tiene en pdf</v>
      </c>
      <c r="W196" s="78"/>
    </row>
    <row r="197" ht="15.75" hidden="1" customHeight="1">
      <c r="A197" s="79"/>
      <c r="B197" s="80"/>
      <c r="C197" s="88" t="str">
        <f>datos_personales[id:]</f>
        <v>#VALUE!</v>
      </c>
      <c r="D197" s="88" t="str">
        <f t="array" ref="D197">XLOOKUP(C197,datos_laborales[clave_foranea],datos_laborales[Relacion de Dependencia],"dato no encontrado",0,1)</f>
        <v>#VALUE!</v>
      </c>
      <c r="E197" s="88" t="str">
        <f t="array" ref="E197">XLOOKUP(C197,datos_delegados[clave_foranea:],datos_delegados[En Actividad]," ",0,1)</f>
        <v>#VALUE!</v>
      </c>
      <c r="F197" s="88" t="str">
        <f t="array" ref="F197">CONCATENATE(XLOOKUP(C197,datos_personales[id:],datos_personales[Apellido:],"no dato",0,1),", ",XLOOKUP(C197,datos_personales[id:],datos_personales[Nombre],"no dato",0,1))</f>
        <v>#VALUE!</v>
      </c>
      <c r="G197" s="88" t="str">
        <f t="array" ref="G197">XLOOKUP(C197,datos_laborales[clave_foranea],datos_laborales[N° De Legajo],"no dato",0,1)</f>
        <v>#VALUE!</v>
      </c>
      <c r="H197" s="109" t="str">
        <f t="array" ref="H197">XLOOKUP(C197,datos_laborales[clave_foranea], datos_laborales[Inicio Actividad:],"no dato",0,1)</f>
        <v>#VALUE!</v>
      </c>
      <c r="I197" s="88" t="str">
        <f t="array" ref="I197">XLOOKUP(C197,datos_laborales[clave_foranea],datos_laborales[Años en Actividad:],"no dato",0,1)</f>
        <v>#VALUE!</v>
      </c>
      <c r="J197" s="88" t="str">
        <f t="array" ref="J197">XLOOKUP(C197,datos_personales[id:],datos_personales[D.n.i:],"no dato",0,1)</f>
        <v>#VALUE!</v>
      </c>
      <c r="K197" s="109" t="str">
        <f t="array" ref="K197">XLOOKUP(C197,datos_personales[id:],datos_personales[Fecha Nacimiento:],"no dato",0,1)</f>
        <v>#VALUE!</v>
      </c>
      <c r="L197" s="88">
        <f>COUNTIF(hijos!B:B,C197)</f>
        <v>0</v>
      </c>
      <c r="M197" s="90">
        <f>COUNTIFS(hijos!B:B,C197,hijos!I:I,1)</f>
        <v>0</v>
      </c>
      <c r="N197" s="91">
        <f>COUNTIFS(hijos!B:B,C197,hijos!J:J,1)</f>
        <v>0</v>
      </c>
      <c r="O197" s="91">
        <f>COUNTIFS(hijos!B:B,C197,hijos!K:K,1)</f>
        <v>0</v>
      </c>
      <c r="P197" s="91">
        <f>COUNTIFS(hijos!B:B,C197,hijos!L:L,1)</f>
        <v>0</v>
      </c>
      <c r="Q197" s="91">
        <f t="shared" si="1"/>
        <v>0</v>
      </c>
      <c r="R197" s="88" t="str">
        <f t="array" ref="R197">XLOOKUP(C197,datos_personales[id:],datos_personales[Tel. Contacto:],"no dato",0,1)</f>
        <v>#VALUE!</v>
      </c>
      <c r="S197" s="88" t="str">
        <f t="array" ref="S197">XLOOKUP(C197,datos_personales[id:],datos_personales[E-Mail:],"no dato",0,1)</f>
        <v>#VALUE!</v>
      </c>
      <c r="T197" s="88" t="str">
        <f t="array" ref="T197">XLOOKUP(R197,telefonos_afiliados[numeros_loys],telefonos_afiliados[esta],"no esta",0,1)</f>
        <v>#VALUE!</v>
      </c>
      <c r="U197" s="88" t="str">
        <f t="array" ref="U197">XLOOKUP(C197,datos_laborales[id:],datos_laborales[renuncio],"no dato",0,1)</f>
        <v>#VALUE!</v>
      </c>
      <c r="V197" s="104"/>
      <c r="W197" s="78"/>
    </row>
    <row r="198" ht="15.75" hidden="1" customHeight="1">
      <c r="A198" s="79"/>
      <c r="B198" s="80"/>
      <c r="C198" s="81" t="str">
        <f>datos_personales[id:]</f>
        <v>#VALUE!</v>
      </c>
      <c r="D198" s="81" t="str">
        <f t="array" ref="D198">XLOOKUP(C198,datos_laborales[clave_foranea],datos_laborales[Relacion de Dependencia],"dato no encontrado",0,1)</f>
        <v>#VALUE!</v>
      </c>
      <c r="E198" s="81" t="str">
        <f t="array" ref="E198">XLOOKUP(C198,datos_delegados[clave_foranea:],datos_delegados[En Actividad]," ",0,1)</f>
        <v>#VALUE!</v>
      </c>
      <c r="F198" s="81" t="str">
        <f t="array" ref="F198">CONCATENATE(XLOOKUP(C198,datos_personales[id:],datos_personales[Apellido:],"no dato",0,1),", ",XLOOKUP(C198,datos_personales[id:],datos_personales[Nombre],"no dato",0,1))</f>
        <v>#VALUE!</v>
      </c>
      <c r="G198" s="81" t="str">
        <f t="array" ref="G198">XLOOKUP(C198,datos_laborales[clave_foranea],datos_laborales[N° De Legajo],"no dato",0,1)</f>
        <v>#VALUE!</v>
      </c>
      <c r="H198" s="108" t="str">
        <f t="array" ref="H198">XLOOKUP(C198,datos_laborales[clave_foranea], datos_laborales[Inicio Actividad:],"no dato",0,1)</f>
        <v>#VALUE!</v>
      </c>
      <c r="I198" s="81" t="str">
        <f t="array" ref="I198">XLOOKUP(C198,datos_laborales[clave_foranea],datos_laborales[Años en Actividad:],"no dato",0,1)</f>
        <v>#VALUE!</v>
      </c>
      <c r="J198" s="81" t="str">
        <f t="array" ref="J198">XLOOKUP(C198,datos_personales[id:],datos_personales[D.n.i:],"no dato",0,1)</f>
        <v>#VALUE!</v>
      </c>
      <c r="K198" s="108" t="str">
        <f t="array" ref="K198">XLOOKUP(C198,datos_personales[id:],datos_personales[Fecha Nacimiento:],"no dato",0,1)</f>
        <v>#VALUE!</v>
      </c>
      <c r="L198" s="81">
        <f>COUNTIF(hijos!B:B,C198)</f>
        <v>0</v>
      </c>
      <c r="M198" s="83">
        <f>COUNTIFS(hijos!B:B,C198,hijos!I:I,1)</f>
        <v>0</v>
      </c>
      <c r="N198" s="84">
        <f>COUNTIFS(hijos!B:B,C198,hijos!J:J,1)</f>
        <v>0</v>
      </c>
      <c r="O198" s="84">
        <f>COUNTIFS(hijos!B:B,C198,hijos!K:K,1)</f>
        <v>0</v>
      </c>
      <c r="P198" s="84">
        <f>COUNTIFS(hijos!B:B,C198,hijos!L:L,1)</f>
        <v>0</v>
      </c>
      <c r="Q198" s="84">
        <f t="shared" si="1"/>
        <v>0</v>
      </c>
      <c r="R198" s="85" t="str">
        <f t="array" ref="R198">XLOOKUP(C198,datos_personales[id:],datos_personales[Tel. Contacto:],"no dato",0,1)</f>
        <v>#VALUE!</v>
      </c>
      <c r="S198" s="81" t="str">
        <f t="array" ref="S198">XLOOKUP(C198,datos_personales[id:],datos_personales[E-Mail:],"no dato",0,1)</f>
        <v>#VALUE!</v>
      </c>
      <c r="T198" s="81" t="str">
        <f t="array" ref="T198">XLOOKUP(R198,telefonos_afiliados[numeros_loys],telefonos_afiliados[esta],"no esta",0,1)</f>
        <v>#VALUE!</v>
      </c>
      <c r="U198" s="81" t="str">
        <f t="array" ref="U198">XLOOKUP(C198,datos_laborales[id:],datos_laborales[renuncio],"no dato",0,1)</f>
        <v>#VALUE!</v>
      </c>
      <c r="V198" s="87" t="str">
        <f t="array" ref="V198">XLOOKUP(C198,datos_laborales[clave_foranea],datos_laborales[tiene_ficha_pdf],"no tiene ficha pdf",0,1)</f>
        <v>#VALUE!</v>
      </c>
      <c r="W198" s="78"/>
    </row>
    <row r="199" ht="15.75" hidden="1" customHeight="1">
      <c r="A199" s="79"/>
      <c r="B199" s="80"/>
      <c r="C199" s="88" t="str">
        <f>datos_personales[id:]</f>
        <v>#VALUE!</v>
      </c>
      <c r="D199" s="88" t="str">
        <f t="array" ref="D199">XLOOKUP(C199,datos_laborales[clave_foranea],datos_laborales[Relacion de Dependencia],"dato no encontrado",0,1)</f>
        <v>#VALUE!</v>
      </c>
      <c r="E199" s="88" t="str">
        <f t="array" ref="E199">XLOOKUP(C199,datos_delegados[clave_foranea:],datos_delegados[En Actividad]," ",0,1)</f>
        <v>#VALUE!</v>
      </c>
      <c r="F199" s="88" t="str">
        <f t="array" ref="F199">CONCATENATE(XLOOKUP(C199,datos_personales[id:],datos_personales[Apellido:],"no dato",0,1),", ",XLOOKUP(C199,datos_personales[id:],datos_personales[Nombre],"no dato",0,1))</f>
        <v>#VALUE!</v>
      </c>
      <c r="G199" s="88" t="str">
        <f t="array" ref="G199">XLOOKUP(C199,datos_laborales[clave_foranea],datos_laborales[N° De Legajo],"no dato",0,1)</f>
        <v>#VALUE!</v>
      </c>
      <c r="H199" s="109" t="str">
        <f t="array" ref="H199">XLOOKUP(C199,datos_laborales[clave_foranea], datos_laborales[Inicio Actividad:],"no dato",0,1)</f>
        <v>#VALUE!</v>
      </c>
      <c r="I199" s="88" t="str">
        <f t="array" ref="I199">XLOOKUP(C199,datos_laborales[clave_foranea],datos_laborales[Años en Actividad:],"no dato",0,1)</f>
        <v>#VALUE!</v>
      </c>
      <c r="J199" s="88" t="str">
        <f t="array" ref="J199">XLOOKUP(C199,datos_personales[id:],datos_personales[D.n.i:],"no dato",0,1)</f>
        <v>#VALUE!</v>
      </c>
      <c r="K199" s="109" t="str">
        <f t="array" ref="K199">XLOOKUP(C199,datos_personales[id:],datos_personales[Fecha Nacimiento:],"no dato",0,1)</f>
        <v>#VALUE!</v>
      </c>
      <c r="L199" s="88">
        <f>COUNTIF(hijos!B:B,C199)</f>
        <v>0</v>
      </c>
      <c r="M199" s="90">
        <f>COUNTIFS(hijos!B:B,C199,hijos!I:I,1)</f>
        <v>0</v>
      </c>
      <c r="N199" s="91">
        <f>COUNTIFS(hijos!B:B,C199,hijos!J:J,1)</f>
        <v>0</v>
      </c>
      <c r="O199" s="91">
        <f>COUNTIFS(hijos!B:B,C199,hijos!K:K,1)</f>
        <v>0</v>
      </c>
      <c r="P199" s="91">
        <f>COUNTIFS(hijos!B:B,C199,hijos!L:L,1)</f>
        <v>0</v>
      </c>
      <c r="Q199" s="91">
        <f t="shared" si="1"/>
        <v>0</v>
      </c>
      <c r="R199" s="103" t="str">
        <f t="array" ref="R199">XLOOKUP(C199,datos_personales[id:],datos_personales[Tel. Contacto:],"no dato",0,1)</f>
        <v>#VALUE!</v>
      </c>
      <c r="S199" s="88" t="str">
        <f t="array" ref="S199">XLOOKUP(C199,datos_personales[id:],datos_personales[E-Mail:],"no dato",0,1)</f>
        <v>#VALUE!</v>
      </c>
      <c r="T199" s="88" t="str">
        <f t="array" ref="T199">XLOOKUP(R199,telefonos_afiliados[numeros_loys],telefonos_afiliados[esta],"no esta",0,1)</f>
        <v>#VALUE!</v>
      </c>
      <c r="U199" s="88" t="str">
        <f t="array" ref="U199">XLOOKUP(C199,datos_laborales[id:],datos_laborales[renuncio],"no dato",0,1)</f>
        <v>#VALUE!</v>
      </c>
      <c r="V199" s="93" t="str">
        <f t="array" ref="V199">XLOOKUP(C199,datos_laborales[clave_foranea],datos_laborales[tiene_ficha_pdf],"no tiene ficha pdf",0,1)</f>
        <v>#VALUE!</v>
      </c>
      <c r="W199" s="78"/>
    </row>
    <row r="200" ht="15.75" hidden="1" customHeight="1">
      <c r="A200" s="79"/>
      <c r="B200" s="80"/>
      <c r="C200" s="81" t="str">
        <f>datos_personales[id:]</f>
        <v>#VALUE!</v>
      </c>
      <c r="D200" s="81" t="str">
        <f t="array" ref="D200">XLOOKUP(C200,datos_laborales[clave_foranea],datos_laborales[Relacion de Dependencia],"dato no encontrado",0,1)</f>
        <v>#VALUE!</v>
      </c>
      <c r="E200" s="81" t="str">
        <f t="array" ref="E200">XLOOKUP(C200,datos_delegados[clave_foranea:],datos_delegados[En Actividad]," ",0,1)</f>
        <v>#VALUE!</v>
      </c>
      <c r="F200" s="81" t="str">
        <f t="array" ref="F200">CONCATENATE(XLOOKUP(C200,datos_personales[id:],datos_personales[Apellido:],"no dato",0,1),", ",XLOOKUP(C200,datos_personales[id:],datos_personales[Nombre],"no dato",0,1))</f>
        <v>#VALUE!</v>
      </c>
      <c r="G200" s="81" t="str">
        <f t="array" ref="G200">XLOOKUP(C200,datos_laborales[clave_foranea],datos_laborales[N° De Legajo],"no dato",0,1)</f>
        <v>#VALUE!</v>
      </c>
      <c r="H200" s="108" t="str">
        <f t="array" ref="H200">XLOOKUP(C200,datos_laborales[clave_foranea], datos_laborales[Inicio Actividad:],"no dato",0,1)</f>
        <v>#VALUE!</v>
      </c>
      <c r="I200" s="81" t="str">
        <f t="array" ref="I200">XLOOKUP(C200,datos_laborales[clave_foranea],datos_laborales[Años en Actividad:],"no dato",0,1)</f>
        <v>#VALUE!</v>
      </c>
      <c r="J200" s="81" t="str">
        <f t="array" ref="J200">XLOOKUP(C200,datos_personales[id:],datos_personales[D.n.i:],"no dato",0,1)</f>
        <v>#VALUE!</v>
      </c>
      <c r="K200" s="108" t="str">
        <f t="array" ref="K200">XLOOKUP(C200,datos_personales[id:],datos_personales[Fecha Nacimiento:],"no dato",0,1)</f>
        <v>#VALUE!</v>
      </c>
      <c r="L200" s="81">
        <f>COUNTIF(hijos!B:B,C200)</f>
        <v>0</v>
      </c>
      <c r="M200" s="83">
        <f>COUNTIFS(hijos!B:B,C200,hijos!I:I,1)</f>
        <v>0</v>
      </c>
      <c r="N200" s="84">
        <f>COUNTIFS(hijos!B:B,C200,hijos!J:J,1)</f>
        <v>0</v>
      </c>
      <c r="O200" s="84">
        <f>COUNTIFS(hijos!B:B,C200,hijos!K:K,1)</f>
        <v>0</v>
      </c>
      <c r="P200" s="84">
        <f>COUNTIFS(hijos!B:B,C200,hijos!L:L,1)</f>
        <v>0</v>
      </c>
      <c r="Q200" s="84">
        <f t="shared" si="1"/>
        <v>0</v>
      </c>
      <c r="R200" s="85" t="str">
        <f t="array" ref="R200">XLOOKUP(C200,datos_personales[id:],datos_personales[Tel. Contacto:],"no dato",0,1)</f>
        <v>#VALUE!</v>
      </c>
      <c r="S200" s="81" t="str">
        <f t="array" ref="S200">XLOOKUP(C200,datos_personales[id:],datos_personales[E-Mail:],"no dato",0,1)</f>
        <v>#VALUE!</v>
      </c>
      <c r="T200" s="81" t="str">
        <f t="array" ref="T200">XLOOKUP(R200,telefonos_afiliados[numeros_loys],telefonos_afiliados[esta],"no esta",0,1)</f>
        <v>#VALUE!</v>
      </c>
      <c r="U200" s="81" t="str">
        <f t="array" ref="U200">XLOOKUP(C200,datos_laborales[id:],datos_laborales[renuncio],"no dato",0,1)</f>
        <v>#VALUE!</v>
      </c>
      <c r="V200" s="100" t="s">
        <v>1169</v>
      </c>
      <c r="W200" s="78"/>
    </row>
    <row r="201" ht="15.75" hidden="1" customHeight="1">
      <c r="A201" s="79"/>
      <c r="B201" s="80"/>
      <c r="C201" s="88" t="str">
        <f>datos_personales[id:]</f>
        <v>#VALUE!</v>
      </c>
      <c r="D201" s="88" t="str">
        <f t="array" ref="D201">XLOOKUP(C201,datos_laborales[clave_foranea],datos_laborales[Relacion de Dependencia],"dato no encontrado",0,1)</f>
        <v>#VALUE!</v>
      </c>
      <c r="E201" s="88" t="str">
        <f t="array" ref="E201">XLOOKUP(C201,datos_delegados[clave_foranea:],datos_delegados[En Actividad]," ",0,1)</f>
        <v>#VALUE!</v>
      </c>
      <c r="F201" s="88" t="str">
        <f t="array" ref="F201">CONCATENATE(XLOOKUP(C201,datos_personales[id:],datos_personales[Apellido:],"no dato",0,1),", ",XLOOKUP(C201,datos_personales[id:],datos_personales[Nombre],"no dato",0,1))</f>
        <v>#VALUE!</v>
      </c>
      <c r="G201" s="88" t="str">
        <f t="array" ref="G201">XLOOKUP(C201,datos_laborales[clave_foranea],datos_laborales[N° De Legajo],"no dato",0,1)</f>
        <v>#VALUE!</v>
      </c>
      <c r="H201" s="109" t="str">
        <f t="array" ref="H201">XLOOKUP(C201,datos_laborales[clave_foranea], datos_laborales[Inicio Actividad:],"no dato",0,1)</f>
        <v>#VALUE!</v>
      </c>
      <c r="I201" s="88" t="str">
        <f t="array" ref="I201">XLOOKUP(C201,datos_laborales[clave_foranea],datos_laborales[Años en Actividad:],"no dato",0,1)</f>
        <v>#VALUE!</v>
      </c>
      <c r="J201" s="88" t="str">
        <f t="array" ref="J201">XLOOKUP(C201,datos_personales[id:],datos_personales[D.n.i:],"no dato",0,1)</f>
        <v>#VALUE!</v>
      </c>
      <c r="K201" s="109" t="str">
        <f t="array" ref="K201">XLOOKUP(C201,datos_personales[id:],datos_personales[Fecha Nacimiento:],"no dato",0,1)</f>
        <v>#VALUE!</v>
      </c>
      <c r="L201" s="88">
        <f>COUNTIF(hijos!B:B,C201)</f>
        <v>0</v>
      </c>
      <c r="M201" s="90">
        <f>COUNTIFS(hijos!B:B,C201,hijos!I:I,1)</f>
        <v>0</v>
      </c>
      <c r="N201" s="91">
        <f>COUNTIFS(hijos!B:B,C201,hijos!J:J,1)</f>
        <v>0</v>
      </c>
      <c r="O201" s="91">
        <f>COUNTIFS(hijos!B:B,C201,hijos!K:K,1)</f>
        <v>0</v>
      </c>
      <c r="P201" s="91">
        <f>COUNTIFS(hijos!B:B,C201,hijos!L:L,1)</f>
        <v>0</v>
      </c>
      <c r="Q201" s="91">
        <f t="shared" si="1"/>
        <v>0</v>
      </c>
      <c r="R201" s="103" t="str">
        <f t="array" ref="R201">XLOOKUP(C201,datos_personales[id:],datos_personales[Tel. Contacto:],"no dato",0,1)</f>
        <v>#VALUE!</v>
      </c>
      <c r="S201" s="88" t="str">
        <f t="array" ref="S201">XLOOKUP(C201,datos_personales[id:],datos_personales[E-Mail:],"no dato",0,1)</f>
        <v>#VALUE!</v>
      </c>
      <c r="T201" s="88" t="str">
        <f t="array" ref="T201">XLOOKUP(R201,telefonos_afiliados[numeros_loys],telefonos_afiliados[esta],"no esta",0,1)</f>
        <v>#VALUE!</v>
      </c>
      <c r="U201" s="88" t="str">
        <f t="array" ref="U201">XLOOKUP(C201,datos_personales[id:],datos_laborales[renuncio],"no dato",0,1)</f>
        <v>#VALUE!</v>
      </c>
      <c r="V201" s="93" t="str">
        <f t="array" ref="V201">XLOOKUP(C201,datos_laborales[clave_foranea],datos_laborales[tiene_ficha_pdf],"no tiene ficha pdf",0,1)</f>
        <v>#VALUE!</v>
      </c>
      <c r="W201" s="78"/>
    </row>
    <row r="202" ht="15.75" hidden="1" customHeight="1">
      <c r="A202" s="79"/>
      <c r="B202" s="80"/>
      <c r="C202" s="81" t="str">
        <f>datos_personales[id:]</f>
        <v>#VALUE!</v>
      </c>
      <c r="D202" s="81" t="str">
        <f t="array" ref="D202">XLOOKUP(C202,datos_laborales[clave_foranea],datos_laborales[Relacion de Dependencia],"dato no encontrado",0,1)</f>
        <v>#VALUE!</v>
      </c>
      <c r="E202" s="81" t="str">
        <f t="array" ref="E202">XLOOKUP(C202,datos_delegados[clave_foranea:],datos_delegados[En Actividad]," ",0,1)</f>
        <v>#VALUE!</v>
      </c>
      <c r="F202" s="81" t="str">
        <f t="array" ref="F202">CONCATENATE(XLOOKUP(C202,datos_personales[id:],datos_personales[Apellido:],"no dato",0,1),", ",XLOOKUP(C202,datos_personales[id:],datos_personales[Nombre],"no dato",0,1))</f>
        <v>#VALUE!</v>
      </c>
      <c r="G202" s="81" t="str">
        <f t="array" ref="G202">XLOOKUP(C202,datos_laborales[clave_foranea],datos_laborales[N° De Legajo],"no dato",0,1)</f>
        <v>#VALUE!</v>
      </c>
      <c r="H202" s="108" t="str">
        <f t="array" ref="H202">XLOOKUP(C202,datos_laborales[clave_foranea], datos_laborales[Inicio Actividad:],"no dato",0,1)</f>
        <v>#VALUE!</v>
      </c>
      <c r="I202" s="81" t="str">
        <f t="array" ref="I202">XLOOKUP(C202,datos_laborales[clave_foranea],datos_laborales[Años en Actividad:],"no dato",0,1)</f>
        <v>#VALUE!</v>
      </c>
      <c r="J202" s="81" t="str">
        <f t="array" ref="J202">XLOOKUP(C202,datos_personales[id:],datos_personales[D.n.i:],"no dato",0,1)</f>
        <v>#VALUE!</v>
      </c>
      <c r="K202" s="108" t="str">
        <f t="array" ref="K202">XLOOKUP(C202,datos_personales[id:],datos_personales[Fecha Nacimiento:],"no dato",0,1)</f>
        <v>#VALUE!</v>
      </c>
      <c r="L202" s="81">
        <f>COUNTIF(hijos!B:B,C202)</f>
        <v>0</v>
      </c>
      <c r="M202" s="83">
        <f>COUNTIFS(hijos!B:B,C202,hijos!I:I,1)</f>
        <v>0</v>
      </c>
      <c r="N202" s="84">
        <f>COUNTIFS(hijos!B:B,C202,hijos!J:J,1)</f>
        <v>0</v>
      </c>
      <c r="O202" s="84">
        <f>COUNTIFS(hijos!B:B,C202,hijos!K:K,1)</f>
        <v>0</v>
      </c>
      <c r="P202" s="84">
        <f>COUNTIFS(hijos!B:B,C202,hijos!L:L,1)</f>
        <v>0</v>
      </c>
      <c r="Q202" s="84">
        <f t="shared" si="1"/>
        <v>0</v>
      </c>
      <c r="R202" s="81" t="str">
        <f t="array" ref="R202">XLOOKUP(C202,datos_personales[id:],datos_personales[Tel. Contacto:],"no dato",0,1)</f>
        <v>#VALUE!</v>
      </c>
      <c r="S202" s="81" t="str">
        <f t="array" ref="S202">XLOOKUP(C202,datos_personales[id:],datos_personales[E-Mail:],"no dato",0,1)</f>
        <v>#VALUE!</v>
      </c>
      <c r="T202" s="81" t="str">
        <f t="array" ref="T202">XLOOKUP(R202,telefonos_afiliados[numeros_loys],telefonos_afiliados[esta],"no esta",0,1)</f>
        <v>#VALUE!</v>
      </c>
      <c r="U202" s="80"/>
      <c r="V202" s="104"/>
      <c r="W202" s="78"/>
    </row>
    <row r="203" ht="15.75" hidden="1" customHeight="1">
      <c r="A203" s="79"/>
      <c r="B203" s="80"/>
      <c r="C203" s="88" t="str">
        <f>datos_personales[id:]</f>
        <v>#VALUE!</v>
      </c>
      <c r="D203" s="88" t="str">
        <f t="array" ref="D203">XLOOKUP(C203,datos_laborales[clave_foranea],datos_laborales[Relacion de Dependencia],"dato no encontrado",0,1)</f>
        <v>#VALUE!</v>
      </c>
      <c r="E203" s="88" t="str">
        <f t="array" ref="E203">XLOOKUP(C203,datos_delegados[clave_foranea:],datos_delegados[En Actividad]," ",0,1)</f>
        <v>#VALUE!</v>
      </c>
      <c r="F203" s="88" t="str">
        <f t="array" ref="F203">CONCATENATE(XLOOKUP(C203,datos_personales[id:],datos_personales[Apellido:],"no dato",0,1),", ",XLOOKUP(C203,datos_personales[id:],datos_personales[Nombre],"no dato",0,1))</f>
        <v>#VALUE!</v>
      </c>
      <c r="G203" s="88" t="str">
        <f t="array" ref="G203">XLOOKUP(C203,datos_laborales[clave_foranea],datos_laborales[N° De Legajo],"no dato",0,1)</f>
        <v>#VALUE!</v>
      </c>
      <c r="H203" s="109" t="str">
        <f t="array" ref="H203">XLOOKUP(C203,datos_laborales[clave_foranea], datos_laborales[Inicio Actividad:],"no dato",0,1)</f>
        <v>#VALUE!</v>
      </c>
      <c r="I203" s="88" t="str">
        <f t="array" ref="I203">XLOOKUP(C203,datos_laborales[clave_foranea],datos_laborales[Años en Actividad:],"no dato",0,1)</f>
        <v>#VALUE!</v>
      </c>
      <c r="J203" s="88" t="str">
        <f t="array" ref="J203">XLOOKUP(C203,datos_personales[id:],datos_personales[D.n.i:],"no dato",0,1)</f>
        <v>#VALUE!</v>
      </c>
      <c r="K203" s="109" t="str">
        <f t="array" ref="K203">XLOOKUP(C203,datos_personales[id:],datos_personales[Fecha Nacimiento:],"no dato",0,1)</f>
        <v>#VALUE!</v>
      </c>
      <c r="L203" s="88">
        <f>COUNTIF(hijos!B:B,C203)</f>
        <v>0</v>
      </c>
      <c r="M203" s="90">
        <f>COUNTIFS(hijos!B:B,C203,hijos!I:I,1)</f>
        <v>0</v>
      </c>
      <c r="N203" s="91">
        <f>COUNTIFS(hijos!B:B,C203,hijos!J:J,1)</f>
        <v>0</v>
      </c>
      <c r="O203" s="91">
        <f>COUNTIFS(hijos!B:B,C203,hijos!K:K,1)</f>
        <v>0</v>
      </c>
      <c r="P203" s="91">
        <f>COUNTIFS(hijos!B:B,C203,hijos!L:L,1)</f>
        <v>0</v>
      </c>
      <c r="Q203" s="91">
        <f t="shared" si="1"/>
        <v>0</v>
      </c>
      <c r="R203" s="88" t="str">
        <f t="array" ref="R203">XLOOKUP(C203,datos_personales[id:],datos_personales[Tel. Contacto:],"no dato",0,1)</f>
        <v>#VALUE!</v>
      </c>
      <c r="S203" s="88" t="str">
        <f t="array" ref="S203">XLOOKUP(C203,datos_personales[id:],datos_personales[E-Mail:],"no dato",0,1)</f>
        <v>#VALUE!</v>
      </c>
      <c r="T203" s="88" t="str">
        <f t="array" ref="T203">XLOOKUP(R203,telefonos_afiliados[numeros_loys],telefonos_afiliados[esta],"no esta",0,1)</f>
        <v>#VALUE!</v>
      </c>
      <c r="U203" s="88" t="str">
        <f t="array" ref="U203">XLOOKUP(C203,datos_laborales[id:],datos_laborales[renuncio],"no dato",0,1)</f>
        <v>#VALUE!</v>
      </c>
      <c r="V203" s="104"/>
      <c r="W203" s="78"/>
    </row>
    <row r="204" ht="15.75" hidden="1" customHeight="1">
      <c r="A204" s="79"/>
      <c r="B204" s="80"/>
      <c r="C204" s="81" t="str">
        <f>datos_personales[id:]</f>
        <v>#VALUE!</v>
      </c>
      <c r="D204" s="81" t="str">
        <f t="array" ref="D204">XLOOKUP(C204,datos_laborales[clave_foranea],datos_laborales[Relacion de Dependencia],"dato no encontrado",0,1)</f>
        <v>#VALUE!</v>
      </c>
      <c r="E204" s="81" t="str">
        <f t="array" ref="E204">XLOOKUP(C204,datos_delegados[clave_foranea:],datos_delegados[En Actividad]," ",0,1)</f>
        <v>#VALUE!</v>
      </c>
      <c r="F204" s="81" t="str">
        <f t="array" ref="F204">CONCATENATE(XLOOKUP(C204,datos_personales[id:],datos_personales[Apellido:],"no dato",0,1),", ",XLOOKUP(C204,datos_personales[id:],datos_personales[Nombre],"no dato",0,1))</f>
        <v>#VALUE!</v>
      </c>
      <c r="G204" s="81" t="str">
        <f t="array" ref="G204">XLOOKUP(C204,datos_laborales[clave_foranea],datos_laborales[N° De Legajo],"no dato",0,1)</f>
        <v>#VALUE!</v>
      </c>
      <c r="H204" s="108" t="str">
        <f t="array" ref="H204">XLOOKUP(C204,datos_laborales[clave_foranea], datos_laborales[Inicio Actividad:],"no dato",0,1)</f>
        <v>#VALUE!</v>
      </c>
      <c r="I204" s="81" t="str">
        <f t="array" ref="I204">XLOOKUP(C204,datos_laborales[clave_foranea],datos_laborales[Años en Actividad:],"no dato",0,1)</f>
        <v>#VALUE!</v>
      </c>
      <c r="J204" s="81" t="str">
        <f t="array" ref="J204">XLOOKUP(C204,datos_personales[id:],datos_personales[D.n.i:],"no dato",0,1)</f>
        <v>#VALUE!</v>
      </c>
      <c r="K204" s="108" t="str">
        <f t="array" ref="K204">XLOOKUP(C204,datos_personales[id:],datos_personales[Fecha Nacimiento:],"no dato",0,1)</f>
        <v>#VALUE!</v>
      </c>
      <c r="L204" s="81">
        <f>COUNTIF(hijos!B:B,C204)</f>
        <v>0</v>
      </c>
      <c r="M204" s="83">
        <f>COUNTIFS(hijos!B:B,C204,hijos!I:I,1)</f>
        <v>0</v>
      </c>
      <c r="N204" s="84">
        <f>COUNTIFS(hijos!B:B,C204,hijos!J:J,1)</f>
        <v>0</v>
      </c>
      <c r="O204" s="84">
        <f>COUNTIFS(hijos!B:B,C204,hijos!K:K,1)</f>
        <v>0</v>
      </c>
      <c r="P204" s="84">
        <f>COUNTIFS(hijos!B:B,C204,hijos!L:L,1)</f>
        <v>0</v>
      </c>
      <c r="Q204" s="84">
        <f t="shared" si="1"/>
        <v>0</v>
      </c>
      <c r="R204" s="81" t="str">
        <f t="array" ref="R204">XLOOKUP(C204,datos_personales[id:],datos_personales[Tel. Contacto:],"no dato",0,1)</f>
        <v>#VALUE!</v>
      </c>
      <c r="S204" s="81" t="str">
        <f t="array" ref="S204">XLOOKUP(C204,datos_personales[id:],datos_personales[E-Mail:],"no dato",0,1)</f>
        <v>#VALUE!</v>
      </c>
      <c r="T204" s="81" t="str">
        <f t="array" ref="T204">XLOOKUP(R204,telefonos_afiliados[numeros_loys],telefonos_afiliados[esta],"no esta",0,1)</f>
        <v>#VALUE!</v>
      </c>
      <c r="U204" s="81" t="str">
        <f t="array" ref="U204">XLOOKUP(C204,datos_laborales[id:],datos_laborales[renuncio],"no dato",0,1)</f>
        <v>#VALUE!</v>
      </c>
      <c r="V204" s="104"/>
      <c r="W204" s="78"/>
    </row>
    <row r="205" ht="15.75" hidden="1" customHeight="1">
      <c r="A205" s="79"/>
      <c r="B205" s="80"/>
      <c r="C205" s="88" t="str">
        <f>datos_personales[id:]</f>
        <v>#VALUE!</v>
      </c>
      <c r="D205" s="88" t="str">
        <f t="array" ref="D205">XLOOKUP(C205,datos_laborales[clave_foranea],datos_laborales[Relacion de Dependencia],"dato no encontrado",0,1)</f>
        <v>#VALUE!</v>
      </c>
      <c r="E205" s="88" t="str">
        <f t="array" ref="E205">XLOOKUP(C205,datos_delegados[clave_foranea:],datos_delegados[En Actividad]," ",0,1)</f>
        <v>#VALUE!</v>
      </c>
      <c r="F205" s="88" t="str">
        <f t="array" ref="F205">CONCATENATE(XLOOKUP(C205,datos_personales[id:],datos_personales[Apellido:],"no dato",0,1),", ",XLOOKUP(C205,datos_personales[id:],datos_personales[Nombre],"no dato",0,1))</f>
        <v>#VALUE!</v>
      </c>
      <c r="G205" s="88" t="str">
        <f t="array" ref="G205">XLOOKUP(C205,datos_laborales[clave_foranea],datos_laborales[N° De Legajo],"no dato",0,1)</f>
        <v>#VALUE!</v>
      </c>
      <c r="H205" s="109" t="str">
        <f t="array" ref="H205">XLOOKUP(C205,datos_laborales[clave_foranea], datos_laborales[Inicio Actividad:],"no dato",0,1)</f>
        <v>#VALUE!</v>
      </c>
      <c r="I205" s="88" t="str">
        <f t="array" ref="I205">XLOOKUP(C205,datos_laborales[clave_foranea],datos_laborales[Años en Actividad:],"no dato",0,1)</f>
        <v>#VALUE!</v>
      </c>
      <c r="J205" s="88" t="str">
        <f t="array" ref="J205">XLOOKUP(C205,datos_personales[id:],datos_personales[D.n.i:],"no dato",0,1)</f>
        <v>#VALUE!</v>
      </c>
      <c r="K205" s="109" t="str">
        <f t="array" ref="K205">XLOOKUP(C205,datos_personales[id:],datos_personales[Fecha Nacimiento:],"no dato",0,1)</f>
        <v>#VALUE!</v>
      </c>
      <c r="L205" s="88">
        <f>COUNTIF(hijos!B:B,C205)</f>
        <v>0</v>
      </c>
      <c r="M205" s="90">
        <f>COUNTIFS(hijos!B:B,C205,hijos!I:I,1)</f>
        <v>0</v>
      </c>
      <c r="N205" s="91">
        <f>COUNTIFS(hijos!B:B,C205,hijos!J:J,1)</f>
        <v>0</v>
      </c>
      <c r="O205" s="91">
        <f>COUNTIFS(hijos!B:B,C205,hijos!K:K,1)</f>
        <v>0</v>
      </c>
      <c r="P205" s="91">
        <f>COUNTIFS(hijos!B:B,C205,hijos!L:L,1)</f>
        <v>0</v>
      </c>
      <c r="Q205" s="91">
        <f t="shared" si="1"/>
        <v>0</v>
      </c>
      <c r="R205" s="88" t="str">
        <f t="array" ref="R205">XLOOKUP(C205,datos_personales[id:],datos_personales[Tel. Contacto:],"no dato",0,1)</f>
        <v>#VALUE!</v>
      </c>
      <c r="S205" s="88" t="str">
        <f t="array" ref="S205">XLOOKUP(C205,datos_personales[id:],datos_personales[E-Mail:],"no dato",0,1)</f>
        <v>#VALUE!</v>
      </c>
      <c r="T205" s="88" t="str">
        <f t="array" ref="T205">XLOOKUP(R205,telefonos_afiliados[numeros_loys],telefonos_afiliados[esta],"no esta",0,1)</f>
        <v>#VALUE!</v>
      </c>
      <c r="U205" s="88" t="str">
        <f t="array" ref="U205">XLOOKUP(C205,datos_laborales[id:],datos_laborales[renuncio],"no dato",0,1)</f>
        <v>#VALUE!</v>
      </c>
      <c r="V205" s="104"/>
      <c r="W205" s="78"/>
    </row>
    <row r="206" ht="15.75" hidden="1" customHeight="1">
      <c r="A206" s="79"/>
      <c r="B206" s="80"/>
      <c r="C206" s="81" t="str">
        <f>datos_personales[id:]</f>
        <v>#VALUE!</v>
      </c>
      <c r="D206" s="81" t="str">
        <f t="array" ref="D206">XLOOKUP(C206,datos_laborales[clave_foranea],datos_laborales[Relacion de Dependencia],"dato no encontrado",0,1)</f>
        <v>#VALUE!</v>
      </c>
      <c r="E206" s="81" t="str">
        <f t="array" ref="E206">XLOOKUP(C206,datos_delegados[clave_foranea:],datos_delegados[En Actividad]," ",0,1)</f>
        <v>#VALUE!</v>
      </c>
      <c r="F206" s="81" t="str">
        <f t="array" ref="F206">CONCATENATE(XLOOKUP(C206,datos_personales[id:],datos_personales[Apellido:],"no dato",0,1),", ",XLOOKUP(C206,datos_personales[id:],datos_personales[Nombre],"no dato",0,1))</f>
        <v>#VALUE!</v>
      </c>
      <c r="G206" s="81" t="str">
        <f t="array" ref="G206">XLOOKUP(C206,datos_laborales[clave_foranea],datos_laborales[N° De Legajo],"no dato",0,1)</f>
        <v>#VALUE!</v>
      </c>
      <c r="H206" s="108" t="str">
        <f t="array" ref="H206">XLOOKUP(C206,datos_laborales[clave_foranea], datos_laborales[Inicio Actividad:],"no dato",0,1)</f>
        <v>#VALUE!</v>
      </c>
      <c r="I206" s="81" t="str">
        <f t="array" ref="I206">XLOOKUP(C206,datos_laborales[clave_foranea],datos_laborales[Años en Actividad:],"no dato",0,1)</f>
        <v>#VALUE!</v>
      </c>
      <c r="J206" s="81" t="str">
        <f t="array" ref="J206">XLOOKUP(C206,datos_personales[id:],datos_personales[D.n.i:],"no dato",0,1)</f>
        <v>#VALUE!</v>
      </c>
      <c r="K206" s="108" t="str">
        <f t="array" ref="K206">XLOOKUP(C206,datos_personales[id:],datos_personales[Fecha Nacimiento:],"no dato",0,1)</f>
        <v>#VALUE!</v>
      </c>
      <c r="L206" s="81">
        <f>COUNTIF(hijos!B:B,C206)</f>
        <v>0</v>
      </c>
      <c r="M206" s="83">
        <f>COUNTIFS(hijos!B:B,C206,hijos!I:I,1)</f>
        <v>0</v>
      </c>
      <c r="N206" s="84">
        <f>COUNTIFS(hijos!B:B,C206,hijos!J:J,1)</f>
        <v>0</v>
      </c>
      <c r="O206" s="84">
        <f>COUNTIFS(hijos!B:B,C206,hijos!K:K,1)</f>
        <v>0</v>
      </c>
      <c r="P206" s="84">
        <f>COUNTIFS(hijos!B:B,C206,hijos!L:L,1)</f>
        <v>0</v>
      </c>
      <c r="Q206" s="84">
        <f t="shared" si="1"/>
        <v>0</v>
      </c>
      <c r="R206" s="85" t="str">
        <f t="array" ref="R206">XLOOKUP(C206,datos_personales[id:],datos_personales[Tel. Contacto:],"no dato",0,1)</f>
        <v>#VALUE!</v>
      </c>
      <c r="S206" s="81" t="str">
        <f t="array" ref="S206">XLOOKUP(C206,datos_personales[id:],datos_personales[E-Mail:],"no dato",0,1)</f>
        <v>#VALUE!</v>
      </c>
      <c r="T206" s="81" t="str">
        <f t="array" ref="T206">XLOOKUP(R206,telefonos_afiliados[numeros_loys],telefonos_afiliados[esta],"no esta",0,1)</f>
        <v>#VALUE!</v>
      </c>
      <c r="U206" s="81" t="str">
        <f t="array" ref="U206">XLOOKUP(C206,datos_laborales[id:],datos_laborales[renuncio],"no dato",0,1)</f>
        <v>#VALUE!</v>
      </c>
      <c r="V206" s="87" t="str">
        <f t="array" ref="V206">XLOOKUP(C206,datos_laborales[clave_foranea],datos_laborales[tiene_ficha_pdf],"no tiene ficha pdf",0,1)</f>
        <v>#VALUE!</v>
      </c>
      <c r="W206" s="78"/>
    </row>
    <row r="207" ht="15.75" hidden="1" customHeight="1">
      <c r="A207" s="79"/>
      <c r="B207" s="80"/>
      <c r="C207" s="88" t="str">
        <f>datos_personales[id:]</f>
        <v>#VALUE!</v>
      </c>
      <c r="D207" s="88" t="str">
        <f t="array" ref="D207">XLOOKUP(C207,datos_laborales[clave_foranea],datos_laborales[Relacion de Dependencia],"dato no encontrado",0,1)</f>
        <v>#VALUE!</v>
      </c>
      <c r="E207" s="88" t="str">
        <f t="array" ref="E207">XLOOKUP(C207,datos_delegados[clave_foranea:],datos_delegados[En Actividad]," ",0,1)</f>
        <v>#VALUE!</v>
      </c>
      <c r="F207" s="88" t="str">
        <f t="array" ref="F207">CONCATENATE(XLOOKUP(C207,datos_personales[id:],datos_personales[Apellido:],"no dato",0,1),", ",XLOOKUP(C207,datos_personales[id:],datos_personales[Nombre],"no dato",0,1))</f>
        <v>#VALUE!</v>
      </c>
      <c r="G207" s="88" t="str">
        <f t="array" ref="G207">XLOOKUP(C207,datos_laborales[clave_foranea],datos_laborales[N° De Legajo],"no dato",0,1)</f>
        <v>#VALUE!</v>
      </c>
      <c r="H207" s="109" t="str">
        <f t="array" ref="H207">XLOOKUP(C207,datos_laborales[clave_foranea], datos_laborales[Inicio Actividad:],"no dato",0,1)</f>
        <v>#VALUE!</v>
      </c>
      <c r="I207" s="88" t="str">
        <f t="array" ref="I207">XLOOKUP(C207,datos_laborales[clave_foranea],datos_laborales[Años en Actividad:],"no dato",0,1)</f>
        <v>#VALUE!</v>
      </c>
      <c r="J207" s="88" t="str">
        <f t="array" ref="J207">XLOOKUP(C207,datos_personales[id:],datos_personales[D.n.i:],"no dato",0,1)</f>
        <v>#VALUE!</v>
      </c>
      <c r="K207" s="109" t="str">
        <f t="array" ref="K207">XLOOKUP(C207,datos_personales[id:],datos_personales[Fecha Nacimiento:],"no dato",0,1)</f>
        <v>#VALUE!</v>
      </c>
      <c r="L207" s="88">
        <f>COUNTIF(hijos!B:B,C207)</f>
        <v>0</v>
      </c>
      <c r="M207" s="90">
        <f>COUNTIFS(hijos!B:B,C207,hijos!I:I,1)</f>
        <v>0</v>
      </c>
      <c r="N207" s="91">
        <f>COUNTIFS(hijos!B:B,C207,hijos!J:J,1)</f>
        <v>0</v>
      </c>
      <c r="O207" s="91">
        <f>COUNTIFS(hijos!B:B,C207,hijos!K:K,1)</f>
        <v>0</v>
      </c>
      <c r="P207" s="91">
        <f>COUNTIFS(hijos!B:B,C207,hijos!L:L,1)</f>
        <v>0</v>
      </c>
      <c r="Q207" s="91">
        <f t="shared" si="1"/>
        <v>0</v>
      </c>
      <c r="R207" s="88" t="str">
        <f t="array" ref="R207">XLOOKUP(C207,datos_personales[id:],datos_personales[Tel. Contacto:],"no dato",0,1)</f>
        <v>#VALUE!</v>
      </c>
      <c r="S207" s="88" t="str">
        <f t="array" ref="S207">XLOOKUP(C207,datos_personales[id:],datos_personales[E-Mail:],"no dato",0,1)</f>
        <v>#VALUE!</v>
      </c>
      <c r="T207" s="88" t="str">
        <f t="array" ref="T207">XLOOKUP(R207,telefonos_afiliados[numeros_loys],telefonos_afiliados[esta],"no esta",0,1)</f>
        <v>#VALUE!</v>
      </c>
      <c r="U207" s="88" t="str">
        <f t="array" ref="U207">XLOOKUP(C207,datos_laborales[id:],datos_laborales[renuncio],"no dato",0,1)</f>
        <v>#VALUE!</v>
      </c>
      <c r="V207" s="104"/>
      <c r="W207" s="78"/>
    </row>
    <row r="208" ht="15.75" hidden="1" customHeight="1">
      <c r="A208" s="79"/>
      <c r="B208" s="80"/>
      <c r="C208" s="81" t="str">
        <f>datos_personales[id:]</f>
        <v>#VALUE!</v>
      </c>
      <c r="D208" s="81" t="str">
        <f t="array" ref="D208">XLOOKUP(C208,datos_laborales[clave_foranea],datos_laborales[Relacion de Dependencia],"dato no encontrado",0,1)</f>
        <v>#VALUE!</v>
      </c>
      <c r="E208" s="81" t="str">
        <f t="array" ref="E208">XLOOKUP(C208,datos_delegados[clave_foranea:],datos_delegados[En Actividad]," ",0,1)</f>
        <v>#VALUE!</v>
      </c>
      <c r="F208" s="81" t="str">
        <f t="array" ref="F208">CONCATENATE(XLOOKUP(C208,datos_personales[id:],datos_personales[Apellido:],"no dato",0,1),", ",XLOOKUP(C208,datos_personales[id:],datos_personales[Nombre],"no dato",0,1))</f>
        <v>#VALUE!</v>
      </c>
      <c r="G208" s="81" t="str">
        <f t="array" ref="G208">XLOOKUP(C208,datos_laborales[clave_foranea],datos_laborales[N° De Legajo],"no dato",0,1)</f>
        <v>#VALUE!</v>
      </c>
      <c r="H208" s="108" t="str">
        <f t="array" ref="H208">XLOOKUP(C208,datos_laborales[clave_foranea], datos_laborales[Inicio Actividad:],"no dato",0,1)</f>
        <v>#VALUE!</v>
      </c>
      <c r="I208" s="81" t="str">
        <f t="array" ref="I208">XLOOKUP(C208,datos_laborales[clave_foranea],datos_laborales[Años en Actividad:],"no dato",0,1)</f>
        <v>#VALUE!</v>
      </c>
      <c r="J208" s="81" t="str">
        <f t="array" ref="J208">XLOOKUP(C208,datos_personales[id:],datos_personales[D.n.i:],"no dato",0,1)</f>
        <v>#VALUE!</v>
      </c>
      <c r="K208" s="108" t="str">
        <f t="array" ref="K208">XLOOKUP(C208,datos_personales[id:],datos_personales[Fecha Nacimiento:],"no dato",0,1)</f>
        <v>#VALUE!</v>
      </c>
      <c r="L208" s="81">
        <f>COUNTIF(hijos!B:B,C208)</f>
        <v>0</v>
      </c>
      <c r="M208" s="83">
        <f>COUNTIFS(hijos!B:B,C208,hijos!I:I,1)</f>
        <v>0</v>
      </c>
      <c r="N208" s="84">
        <f>COUNTIFS(hijos!B:B,C208,hijos!J:J,1)</f>
        <v>0</v>
      </c>
      <c r="O208" s="84">
        <f>COUNTIFS(hijos!B:B,C208,hijos!K:K,1)</f>
        <v>0</v>
      </c>
      <c r="P208" s="84">
        <f>COUNTIFS(hijos!B:B,C208,hijos!L:L,1)</f>
        <v>0</v>
      </c>
      <c r="Q208" s="84">
        <f t="shared" si="1"/>
        <v>0</v>
      </c>
      <c r="R208" s="81" t="str">
        <f t="array" ref="R208">XLOOKUP(C208,datos_personales[id:],datos_personales[Tel. Contacto:],"no dato",0,1)</f>
        <v>#VALUE!</v>
      </c>
      <c r="S208" s="81" t="str">
        <f t="array" ref="S208">XLOOKUP(C208,datos_personales[id:],datos_personales[E-Mail:],"no dato",0,1)</f>
        <v>#VALUE!</v>
      </c>
      <c r="T208" s="81" t="str">
        <f t="array" ref="T208">XLOOKUP(R208,telefonos_afiliados[numeros_loys],telefonos_afiliados[esta],"no esta",0,1)</f>
        <v>#VALUE!</v>
      </c>
      <c r="U208" s="81" t="str">
        <f t="array" ref="U208">XLOOKUP(C208,datos_laborales[id:],datos_laborales[renuncio],"no dato",0,1)</f>
        <v>#VALUE!</v>
      </c>
      <c r="V208" s="104"/>
      <c r="W208" s="78"/>
    </row>
    <row r="209" ht="15.75" hidden="1" customHeight="1">
      <c r="A209" s="79"/>
      <c r="B209" s="80"/>
      <c r="C209" s="88" t="str">
        <f>datos_personales[id:]</f>
        <v>#VALUE!</v>
      </c>
      <c r="D209" s="88" t="str">
        <f t="array" ref="D209">XLOOKUP(C209,datos_laborales[clave_foranea],datos_laborales[Relacion de Dependencia],"dato no encontrado",0,1)</f>
        <v>#VALUE!</v>
      </c>
      <c r="E209" s="88" t="str">
        <f t="array" ref="E209">XLOOKUP(C209,datos_delegados[clave_foranea:],datos_delegados[En Actividad]," ",0,1)</f>
        <v>#VALUE!</v>
      </c>
      <c r="F209" s="88" t="str">
        <f t="array" ref="F209">CONCATENATE(XLOOKUP(C209,datos_personales[id:],datos_personales[Apellido:],"no dato",0,1),", ",XLOOKUP(C209,datos_personales[id:],datos_personales[Nombre],"no dato",0,1))</f>
        <v>#VALUE!</v>
      </c>
      <c r="G209" s="88" t="str">
        <f t="array" ref="G209">XLOOKUP(C209,datos_laborales[clave_foranea],datos_laborales[N° De Legajo],"no dato",0,1)</f>
        <v>#VALUE!</v>
      </c>
      <c r="H209" s="109" t="str">
        <f t="array" ref="H209">XLOOKUP(C209,datos_laborales[clave_foranea], datos_laborales[Inicio Actividad:],"no dato",0,1)</f>
        <v>#VALUE!</v>
      </c>
      <c r="I209" s="88" t="str">
        <f t="array" ref="I209">XLOOKUP(C209,datos_laborales[clave_foranea],datos_laborales[Años en Actividad:],"no dato",0,1)</f>
        <v>#VALUE!</v>
      </c>
      <c r="J209" s="88" t="str">
        <f t="array" ref="J209">XLOOKUP(C209,datos_personales[id:],datos_personales[D.n.i:],"no dato",0,1)</f>
        <v>#VALUE!</v>
      </c>
      <c r="K209" s="109" t="str">
        <f t="array" ref="K209">XLOOKUP(C209,datos_personales[id:],datos_personales[Fecha Nacimiento:],"no dato",0,1)</f>
        <v>#VALUE!</v>
      </c>
      <c r="L209" s="88">
        <f>COUNTIF(hijos!B:B,C209)</f>
        <v>0</v>
      </c>
      <c r="M209" s="90">
        <f>COUNTIFS(hijos!B:B,C209,hijos!I:I,1)</f>
        <v>0</v>
      </c>
      <c r="N209" s="91">
        <f>COUNTIFS(hijos!B:B,C209,hijos!J:J,1)</f>
        <v>0</v>
      </c>
      <c r="O209" s="91">
        <f>COUNTIFS(hijos!B:B,C209,hijos!K:K,1)</f>
        <v>0</v>
      </c>
      <c r="P209" s="91">
        <f>COUNTIFS(hijos!B:B,C209,hijos!L:L,1)</f>
        <v>0</v>
      </c>
      <c r="Q209" s="91">
        <f t="shared" si="1"/>
        <v>0</v>
      </c>
      <c r="R209" s="88" t="str">
        <f t="array" ref="R209">XLOOKUP(C209,datos_personales[id:],datos_personales[Tel. Contacto:],"no dato",0,1)</f>
        <v>#VALUE!</v>
      </c>
      <c r="S209" s="88" t="str">
        <f t="array" ref="S209">XLOOKUP(C209,datos_personales[id:],datos_personales[E-Mail:],"no dato",0,1)</f>
        <v>#VALUE!</v>
      </c>
      <c r="T209" s="88" t="str">
        <f t="array" ref="T209">XLOOKUP(R209,telefonos_afiliados[numeros_loys],telefonos_afiliados[esta],"no esta",0,1)</f>
        <v>#VALUE!</v>
      </c>
      <c r="U209" s="80"/>
      <c r="V209" s="104"/>
      <c r="W209" s="78"/>
    </row>
    <row r="210" ht="15.75" hidden="1" customHeight="1">
      <c r="A210" s="79"/>
      <c r="B210" s="80"/>
      <c r="C210" s="81" t="str">
        <f>datos_personales[id:]</f>
        <v>#VALUE!</v>
      </c>
      <c r="D210" s="81" t="str">
        <f t="array" ref="D210">XLOOKUP(C210,datos_laborales[clave_foranea],datos_laborales[Relacion de Dependencia],"dato no encontrado",0,1)</f>
        <v>#VALUE!</v>
      </c>
      <c r="E210" s="81" t="str">
        <f t="array" ref="E210">XLOOKUP(C210,datos_delegados[clave_foranea:],datos_delegados[En Actividad]," ",0,1)</f>
        <v>#VALUE!</v>
      </c>
      <c r="F210" s="81" t="str">
        <f t="array" ref="F210">CONCATENATE(XLOOKUP(C210,datos_personales[id:],datos_personales[Apellido:],"no dato",0,1),", ",XLOOKUP(C210,datos_personales[id:],datos_personales[Nombre],"no dato",0,1))</f>
        <v>#VALUE!</v>
      </c>
      <c r="G210" s="81" t="str">
        <f t="array" ref="G210">XLOOKUP(C210,datos_laborales[clave_foranea],datos_laborales[N° De Legajo],"no dato",0,1)</f>
        <v>#VALUE!</v>
      </c>
      <c r="H210" s="108" t="str">
        <f t="array" ref="H210">XLOOKUP(C210,datos_laborales[clave_foranea], datos_laborales[Inicio Actividad:],"no dato",0,1)</f>
        <v>#VALUE!</v>
      </c>
      <c r="I210" s="81" t="str">
        <f t="array" ref="I210">XLOOKUP(C210,datos_laborales[clave_foranea],datos_laborales[Años en Actividad:],"no dato",0,1)</f>
        <v>#VALUE!</v>
      </c>
      <c r="J210" s="81" t="str">
        <f t="array" ref="J210">XLOOKUP(C210,datos_personales[id:],datos_personales[D.n.i:],"no dato",0,1)</f>
        <v>#VALUE!</v>
      </c>
      <c r="K210" s="108" t="str">
        <f t="array" ref="K210">XLOOKUP(C210,datos_personales[id:],datos_personales[Fecha Nacimiento:],"no dato",0,1)</f>
        <v>#VALUE!</v>
      </c>
      <c r="L210" s="81">
        <f>COUNTIF(hijos!B:B,C210)</f>
        <v>0</v>
      </c>
      <c r="M210" s="83">
        <f>COUNTIFS(hijos!B:B,C210,hijos!I:I,1)</f>
        <v>0</v>
      </c>
      <c r="N210" s="84">
        <f>COUNTIFS(hijos!B:B,C210,hijos!J:J,1)</f>
        <v>0</v>
      </c>
      <c r="O210" s="84">
        <f>COUNTIFS(hijos!B:B,C210,hijos!K:K,1)</f>
        <v>0</v>
      </c>
      <c r="P210" s="84">
        <f>COUNTIFS(hijos!B:B,C210,hijos!L:L,1)</f>
        <v>0</v>
      </c>
      <c r="Q210" s="84">
        <f t="shared" si="1"/>
        <v>0</v>
      </c>
      <c r="R210" s="81" t="str">
        <f t="array" ref="R210">XLOOKUP(C210,datos_personales[id:],datos_personales[Tel. Contacto:],"no dato",0,1)</f>
        <v>#VALUE!</v>
      </c>
      <c r="S210" s="81" t="str">
        <f t="array" ref="S210">XLOOKUP(C210,datos_personales[id:],datos_personales[E-Mail:],"no dato",0,1)</f>
        <v>#VALUE!</v>
      </c>
      <c r="T210" s="81" t="str">
        <f t="array" ref="T210">XLOOKUP(R210,telefonos_afiliados[numeros_loys],telefonos_afiliados[esta],"no esta",0,1)</f>
        <v>#VALUE!</v>
      </c>
      <c r="U210" s="80"/>
      <c r="V210" s="104"/>
      <c r="W210" s="78"/>
    </row>
    <row r="211" ht="15.75" hidden="1" customHeight="1">
      <c r="A211" s="79"/>
      <c r="B211" s="80"/>
      <c r="C211" s="88" t="str">
        <f>datos_personales[id:]</f>
        <v>#VALUE!</v>
      </c>
      <c r="D211" s="88" t="str">
        <f t="array" ref="D211">XLOOKUP(C211,datos_laborales[clave_foranea],datos_laborales[Relacion de Dependencia],"dato no encontrado",0,1)</f>
        <v>#VALUE!</v>
      </c>
      <c r="E211" s="88" t="str">
        <f t="array" ref="E211">XLOOKUP(C211,datos_delegados[clave_foranea:],datos_delegados[En Actividad]," ",0,1)</f>
        <v>#VALUE!</v>
      </c>
      <c r="F211" s="88" t="str">
        <f t="array" ref="F211">CONCATENATE(XLOOKUP(C211,datos_personales[id:],datos_personales[Apellido:],"no dato",0,1),", ",XLOOKUP(C211,datos_personales[id:],datos_personales[Nombre],"no dato",0,1))</f>
        <v>#VALUE!</v>
      </c>
      <c r="G211" s="88" t="str">
        <f t="array" ref="G211">XLOOKUP(C211,datos_laborales[clave_foranea],datos_laborales[N° De Legajo],"no dato",0,1)</f>
        <v>#VALUE!</v>
      </c>
      <c r="H211" s="109" t="str">
        <f t="array" ref="H211">XLOOKUP(C211,datos_laborales[clave_foranea], datos_laborales[Inicio Actividad:],"no dato",0,1)</f>
        <v>#VALUE!</v>
      </c>
      <c r="I211" s="88" t="str">
        <f t="array" ref="I211">XLOOKUP(C211,datos_laborales[clave_foranea],datos_laborales[Años en Actividad:],"no dato",0,1)</f>
        <v>#VALUE!</v>
      </c>
      <c r="J211" s="88" t="str">
        <f t="array" ref="J211">XLOOKUP(C211,datos_personales[id:],datos_personales[D.n.i:],"no dato",0,1)</f>
        <v>#VALUE!</v>
      </c>
      <c r="K211" s="109" t="str">
        <f t="array" ref="K211">XLOOKUP(C211,datos_personales[id:],datos_personales[Fecha Nacimiento:],"no dato",0,1)</f>
        <v>#VALUE!</v>
      </c>
      <c r="L211" s="88">
        <f>COUNTIF(hijos!B:B,C211)</f>
        <v>0</v>
      </c>
      <c r="M211" s="90">
        <f>COUNTIFS(hijos!B:B,C211,hijos!I:I,1)</f>
        <v>0</v>
      </c>
      <c r="N211" s="91">
        <f>COUNTIFS(hijos!B:B,C211,hijos!J:J,1)</f>
        <v>0</v>
      </c>
      <c r="O211" s="91">
        <f>COUNTIFS(hijos!B:B,C211,hijos!K:K,1)</f>
        <v>0</v>
      </c>
      <c r="P211" s="91">
        <f>COUNTIFS(hijos!B:B,C211,hijos!L:L,1)</f>
        <v>0</v>
      </c>
      <c r="Q211" s="91">
        <f t="shared" si="1"/>
        <v>0</v>
      </c>
      <c r="R211" s="88" t="str">
        <f t="array" ref="R211">XLOOKUP(C211,datos_personales[id:],datos_personales[Tel. Contacto:],"no dato",0,1)</f>
        <v>#VALUE!</v>
      </c>
      <c r="S211" s="88" t="str">
        <f t="array" ref="S211">XLOOKUP(C211,datos_personales[id:],datos_personales[E-Mail:],"no dato",0,1)</f>
        <v>#VALUE!</v>
      </c>
      <c r="T211" s="88" t="str">
        <f t="array" ref="T211">XLOOKUP(R211,telefonos_afiliados[numeros_loys],telefonos_afiliados[esta],"no esta",0,1)</f>
        <v>#VALUE!</v>
      </c>
      <c r="U211" s="80"/>
      <c r="V211" s="104"/>
      <c r="W211" s="78"/>
    </row>
    <row r="212" ht="15.75" hidden="1" customHeight="1">
      <c r="A212" s="79"/>
      <c r="B212" s="80"/>
      <c r="C212" s="81" t="str">
        <f>datos_personales[id:]</f>
        <v>#VALUE!</v>
      </c>
      <c r="D212" s="81" t="str">
        <f t="array" ref="D212">XLOOKUP(C212,datos_laborales[clave_foranea],datos_laborales[Relacion de Dependencia],"dato no encontrado",0,1)</f>
        <v>#VALUE!</v>
      </c>
      <c r="E212" s="81" t="str">
        <f t="array" ref="E212">XLOOKUP(C212,datos_delegados[clave_foranea:],datos_delegados[En Actividad]," ",0,1)</f>
        <v>#VALUE!</v>
      </c>
      <c r="F212" s="81" t="str">
        <f t="array" ref="F212">CONCATENATE(XLOOKUP(C212,datos_personales[id:],datos_personales[Apellido:],"no dato",0,1),", ",XLOOKUP(C212,datos_personales[id:],datos_personales[Nombre],"no dato",0,1))</f>
        <v>#VALUE!</v>
      </c>
      <c r="G212" s="81" t="str">
        <f t="array" ref="G212">XLOOKUP(C212,datos_laborales[clave_foranea],datos_laborales[N° De Legajo],"no dato",0,1)</f>
        <v>#VALUE!</v>
      </c>
      <c r="H212" s="108" t="str">
        <f t="array" ref="H212">XLOOKUP(C212,datos_laborales[clave_foranea], datos_laborales[Inicio Actividad:],"no dato",0,1)</f>
        <v>#VALUE!</v>
      </c>
      <c r="I212" s="81" t="str">
        <f t="array" ref="I212">XLOOKUP(C212,datos_laborales[clave_foranea],datos_laborales[Años en Actividad:],"no dato",0,1)</f>
        <v>#VALUE!</v>
      </c>
      <c r="J212" s="81" t="str">
        <f t="array" ref="J212">XLOOKUP(C212,datos_personales[id:],datos_personales[D.n.i:],"no dato",0,1)</f>
        <v>#VALUE!</v>
      </c>
      <c r="K212" s="108" t="str">
        <f t="array" ref="K212">XLOOKUP(C212,datos_personales[id:],datos_personales[Fecha Nacimiento:],"no dato",0,1)</f>
        <v>#VALUE!</v>
      </c>
      <c r="L212" s="81">
        <f>COUNTIF(hijos!B:B,C212)</f>
        <v>0</v>
      </c>
      <c r="M212" s="83">
        <f>COUNTIFS(hijos!B:B,C212,hijos!I:I,1)</f>
        <v>0</v>
      </c>
      <c r="N212" s="84">
        <f>COUNTIFS(hijos!B:B,C212,hijos!J:J,1)</f>
        <v>0</v>
      </c>
      <c r="O212" s="84">
        <f>COUNTIFS(hijos!B:B,C212,hijos!K:K,1)</f>
        <v>0</v>
      </c>
      <c r="P212" s="84">
        <f>COUNTIFS(hijos!B:B,C212,hijos!L:L,1)</f>
        <v>0</v>
      </c>
      <c r="Q212" s="84">
        <f t="shared" si="1"/>
        <v>0</v>
      </c>
      <c r="R212" s="81" t="str">
        <f t="array" ref="R212">XLOOKUP(C212,datos_personales[id:],datos_personales[Tel. Contacto:],"no dato",0,1)</f>
        <v>#VALUE!</v>
      </c>
      <c r="S212" s="81" t="str">
        <f t="array" ref="S212">XLOOKUP(C212,datos_personales[id:],datos_personales[E-Mail:],"no dato",0,1)</f>
        <v>#VALUE!</v>
      </c>
      <c r="T212" s="81" t="str">
        <f t="array" ref="T212">XLOOKUP(R212,telefonos_afiliados[numeros_loys],telefonos_afiliados[esta],"no esta",0,1)</f>
        <v>#VALUE!</v>
      </c>
      <c r="U212" s="81" t="str">
        <f t="array" ref="U212">XLOOKUP(C212,datos_laborales[id:],datos_laborales[renuncio],"no dato",0,1)</f>
        <v>#VALUE!</v>
      </c>
      <c r="V212" s="104"/>
      <c r="W212" s="78"/>
    </row>
    <row r="213" ht="15.75" hidden="1" customHeight="1">
      <c r="A213" s="79"/>
      <c r="B213" s="80"/>
      <c r="C213" s="88" t="str">
        <f>datos_personales[id:]</f>
        <v>#VALUE!</v>
      </c>
      <c r="D213" s="88" t="str">
        <f t="array" ref="D213">XLOOKUP(C213,datos_laborales[clave_foranea],datos_laborales[Relacion de Dependencia],"dato no encontrado",0,1)</f>
        <v>#VALUE!</v>
      </c>
      <c r="E213" s="88" t="str">
        <f t="array" ref="E213">XLOOKUP(C213,datos_delegados[clave_foranea:],datos_delegados[En Actividad]," ",0,1)</f>
        <v>#VALUE!</v>
      </c>
      <c r="F213" s="88" t="str">
        <f t="array" ref="F213">CONCATENATE(XLOOKUP(C213,datos_personales[id:],datos_personales[Apellido:],"no dato",0,1),", ",XLOOKUP(C213,datos_personales[id:],datos_personales[Nombre],"no dato",0,1))</f>
        <v>#VALUE!</v>
      </c>
      <c r="G213" s="88" t="str">
        <f t="array" ref="G213">XLOOKUP(C213,datos_laborales[clave_foranea],datos_laborales[N° De Legajo],"no dato",0,1)</f>
        <v>#VALUE!</v>
      </c>
      <c r="H213" s="109" t="str">
        <f t="array" ref="H213">XLOOKUP(C213,datos_laborales[clave_foranea], datos_laborales[Inicio Actividad:],"no dato",0,1)</f>
        <v>#VALUE!</v>
      </c>
      <c r="I213" s="88" t="str">
        <f t="array" ref="I213">XLOOKUP(C213,datos_laborales[clave_foranea],datos_laborales[Años en Actividad:],"no dato",0,1)</f>
        <v>#VALUE!</v>
      </c>
      <c r="J213" s="88" t="str">
        <f t="array" ref="J213">XLOOKUP(C213,datos_personales[id:],datos_personales[D.n.i:],"no dato",0,1)</f>
        <v>#VALUE!</v>
      </c>
      <c r="K213" s="109" t="str">
        <f t="array" ref="K213">XLOOKUP(C213,datos_personales[id:],datos_personales[Fecha Nacimiento:],"no dato",0,1)</f>
        <v>#VALUE!</v>
      </c>
      <c r="L213" s="88">
        <f>COUNTIF(hijos!B:B,C213)</f>
        <v>0</v>
      </c>
      <c r="M213" s="90">
        <f>COUNTIFS(hijos!B:B,C213,hijos!I:I,1)</f>
        <v>0</v>
      </c>
      <c r="N213" s="91">
        <f>COUNTIFS(hijos!B:B,C213,hijos!J:J,1)</f>
        <v>0</v>
      </c>
      <c r="O213" s="91">
        <f>COUNTIFS(hijos!B:B,C213,hijos!K:K,1)</f>
        <v>0</v>
      </c>
      <c r="P213" s="91">
        <f>COUNTIFS(hijos!B:B,C213,hijos!L:L,1)</f>
        <v>0</v>
      </c>
      <c r="Q213" s="91">
        <f t="shared" si="1"/>
        <v>0</v>
      </c>
      <c r="R213" s="88" t="str">
        <f t="array" ref="R213">XLOOKUP(C213,datos_personales[id:],datos_personales[Tel. Contacto:],"no dato",0,1)</f>
        <v>#VALUE!</v>
      </c>
      <c r="S213" s="88" t="str">
        <f t="array" ref="S213">XLOOKUP(C213,datos_personales[id:],datos_personales[E-Mail:],"no dato",0,1)</f>
        <v>#VALUE!</v>
      </c>
      <c r="T213" s="88" t="str">
        <f t="array" ref="T213">XLOOKUP(R213,telefonos_afiliados[numeros_loys],telefonos_afiliados[esta],"no esta",0,1)</f>
        <v>#VALUE!</v>
      </c>
      <c r="U213" s="88" t="str">
        <f t="array" ref="U213">XLOOKUP(C213,datos_laborales[id:],datos_laborales[renuncio],"no dato",0,1)</f>
        <v>#VALUE!</v>
      </c>
      <c r="V213" s="104"/>
      <c r="W213" s="78"/>
    </row>
    <row r="214" ht="15.75" hidden="1" customHeight="1">
      <c r="A214" s="79"/>
      <c r="B214" s="80"/>
      <c r="C214" s="81" t="str">
        <f>datos_personales[id:]</f>
        <v>#VALUE!</v>
      </c>
      <c r="D214" s="81" t="str">
        <f t="array" ref="D214">XLOOKUP(C214,datos_laborales[clave_foranea],datos_laborales[Relacion de Dependencia],"dato no encontrado",0,1)</f>
        <v>#VALUE!</v>
      </c>
      <c r="E214" s="81" t="str">
        <f t="array" ref="E214">XLOOKUP(C214,datos_delegados[clave_foranea:],datos_delegados[En Actividad]," ",0,1)</f>
        <v>#VALUE!</v>
      </c>
      <c r="F214" s="81" t="str">
        <f t="array" ref="F214">CONCATENATE(XLOOKUP(C214,datos_personales[id:],datos_personales[Apellido:],"no dato",0,1),", ",XLOOKUP(C214,datos_personales[id:],datos_personales[Nombre],"no dato",0,1))</f>
        <v>#VALUE!</v>
      </c>
      <c r="G214" s="81" t="str">
        <f t="array" ref="G214">XLOOKUP(C214,datos_laborales[clave_foranea],datos_laborales[N° De Legajo],"no dato",0,1)</f>
        <v>#VALUE!</v>
      </c>
      <c r="H214" s="108" t="str">
        <f t="array" ref="H214">XLOOKUP(C214,datos_laborales[clave_foranea], datos_laborales[Inicio Actividad:],"no dato",0,1)</f>
        <v>#VALUE!</v>
      </c>
      <c r="I214" s="81" t="str">
        <f t="array" ref="I214">XLOOKUP(C214,datos_laborales[clave_foranea],datos_laborales[Años en Actividad:],"no dato",0,1)</f>
        <v>#VALUE!</v>
      </c>
      <c r="J214" s="81" t="str">
        <f t="array" ref="J214">XLOOKUP(C214,datos_personales[id:],datos_personales[D.n.i:],"no dato",0,1)</f>
        <v>#VALUE!</v>
      </c>
      <c r="K214" s="108" t="str">
        <f t="array" ref="K214">XLOOKUP(C214,datos_personales[id:],datos_personales[Fecha Nacimiento:],"no dato",0,1)</f>
        <v>#VALUE!</v>
      </c>
      <c r="L214" s="81">
        <f>COUNTIF(hijos!B:B,C214)</f>
        <v>0</v>
      </c>
      <c r="M214" s="83">
        <f>COUNTIFS(hijos!B:B,C214,hijos!I:I,1)</f>
        <v>0</v>
      </c>
      <c r="N214" s="84">
        <f>COUNTIFS(hijos!B:B,C214,hijos!J:J,1)</f>
        <v>0</v>
      </c>
      <c r="O214" s="84">
        <f>COUNTIFS(hijos!B:B,C214,hijos!K:K,1)</f>
        <v>0</v>
      </c>
      <c r="P214" s="84">
        <f>COUNTIFS(hijos!B:B,C214,hijos!L:L,1)</f>
        <v>0</v>
      </c>
      <c r="Q214" s="84">
        <f t="shared" si="1"/>
        <v>0</v>
      </c>
      <c r="R214" s="81" t="str">
        <f t="array" ref="R214">XLOOKUP(C214,datos_personales[id:],datos_personales[Tel. Contacto:],"no dato",0,1)</f>
        <v>#VALUE!</v>
      </c>
      <c r="S214" s="81" t="str">
        <f t="array" ref="S214">XLOOKUP(C214,datos_personales[id:],datos_personales[E-Mail:],"no dato",0,1)</f>
        <v>#VALUE!</v>
      </c>
      <c r="T214" s="81" t="str">
        <f t="array" ref="T214">XLOOKUP(R214,telefonos_afiliados[numeros_loys],telefonos_afiliados[esta],"no esta",0,1)</f>
        <v>#VALUE!</v>
      </c>
      <c r="U214" s="81" t="str">
        <f t="array" ref="U214">XLOOKUP(C214,datos_laborales[id:],datos_laborales[renuncio],"no dato",0,1)</f>
        <v>#VALUE!</v>
      </c>
      <c r="V214" s="104"/>
      <c r="W214" s="78"/>
    </row>
    <row r="215" ht="15.75" hidden="1" customHeight="1">
      <c r="A215" s="79"/>
      <c r="B215" s="80"/>
      <c r="C215" s="88" t="str">
        <f>datos_personales[id:]</f>
        <v>#VALUE!</v>
      </c>
      <c r="D215" s="88" t="str">
        <f t="array" ref="D215">XLOOKUP(C215,datos_laborales[clave_foranea],datos_laborales[Relacion de Dependencia],"dato no encontrado",0,1)</f>
        <v>#VALUE!</v>
      </c>
      <c r="E215" s="88" t="str">
        <f t="array" ref="E215">XLOOKUP(C215,datos_delegados[clave_foranea:],datos_delegados[En Actividad]," ",0,1)</f>
        <v>#VALUE!</v>
      </c>
      <c r="F215" s="88" t="str">
        <f t="array" ref="F215">CONCATENATE(XLOOKUP(C215,datos_personales[id:],datos_personales[Apellido:],"no dato",0,1),", ",XLOOKUP(C215,datos_personales[id:],datos_personales[Nombre],"no dato",0,1))</f>
        <v>#VALUE!</v>
      </c>
      <c r="G215" s="88" t="str">
        <f t="array" ref="G215">XLOOKUP(C215,datos_laborales[clave_foranea],datos_laborales[N° De Legajo],"no dato",0,1)</f>
        <v>#VALUE!</v>
      </c>
      <c r="H215" s="109" t="str">
        <f t="array" ref="H215">XLOOKUP(C215,datos_laborales[clave_foranea], datos_laborales[Inicio Actividad:],"no dato",0,1)</f>
        <v>#VALUE!</v>
      </c>
      <c r="I215" s="88" t="str">
        <f t="array" ref="I215">XLOOKUP(C215,datos_laborales[clave_foranea],datos_laborales[Años en Actividad:],"no dato",0,1)</f>
        <v>#VALUE!</v>
      </c>
      <c r="J215" s="88" t="str">
        <f t="array" ref="J215">XLOOKUP(C215,datos_personales[id:],datos_personales[D.n.i:],"no dato",0,1)</f>
        <v>#VALUE!</v>
      </c>
      <c r="K215" s="109" t="str">
        <f t="array" ref="K215">XLOOKUP(C215,datos_personales[id:],datos_personales[Fecha Nacimiento:],"no dato",0,1)</f>
        <v>#VALUE!</v>
      </c>
      <c r="L215" s="88">
        <f>COUNTIF(hijos!B:B,C215)</f>
        <v>0</v>
      </c>
      <c r="M215" s="90">
        <f>COUNTIFS(hijos!B:B,C215,hijos!I:I,1)</f>
        <v>0</v>
      </c>
      <c r="N215" s="91">
        <f>COUNTIFS(hijos!B:B,C215,hijos!J:J,1)</f>
        <v>0</v>
      </c>
      <c r="O215" s="91">
        <f>COUNTIFS(hijos!B:B,C215,hijos!K:K,1)</f>
        <v>0</v>
      </c>
      <c r="P215" s="91">
        <f>COUNTIFS(hijos!B:B,C215,hijos!L:L,1)</f>
        <v>0</v>
      </c>
      <c r="Q215" s="91">
        <f t="shared" si="1"/>
        <v>0</v>
      </c>
      <c r="R215" s="88" t="str">
        <f t="array" ref="R215">XLOOKUP(C215,datos_personales[id:],datos_personales[Tel. Contacto:],"no dato",0,1)</f>
        <v>#VALUE!</v>
      </c>
      <c r="S215" s="88" t="str">
        <f t="array" ref="S215">XLOOKUP(C215,datos_personales[id:],datos_personales[E-Mail:],"no dato",0,1)</f>
        <v>#VALUE!</v>
      </c>
      <c r="T215" s="88" t="str">
        <f t="array" ref="T215">XLOOKUP(R215,telefonos_afiliados[numeros_loys],telefonos_afiliados[esta],"no esta",0,1)</f>
        <v>#VALUE!</v>
      </c>
      <c r="U215" s="88" t="str">
        <f t="array" ref="U215">XLOOKUP(C215,datos_laborales[id:],datos_laborales[renuncio],"no dato",0,1)</f>
        <v>#VALUE!</v>
      </c>
      <c r="V215" s="104"/>
      <c r="W215" s="78"/>
    </row>
    <row r="216" ht="15.75" hidden="1" customHeight="1">
      <c r="A216" s="79"/>
      <c r="B216" s="80"/>
      <c r="C216" s="81" t="str">
        <f>datos_personales[id:]</f>
        <v>#VALUE!</v>
      </c>
      <c r="D216" s="81" t="str">
        <f t="array" ref="D216">XLOOKUP(C216,datos_laborales[clave_foranea],datos_laborales[Relacion de Dependencia],"dato no encontrado",0,1)</f>
        <v>#VALUE!</v>
      </c>
      <c r="E216" s="81" t="str">
        <f t="array" ref="E216">XLOOKUP(C216,datos_delegados[clave_foranea:],datos_delegados[En Actividad]," ",0,1)</f>
        <v>#VALUE!</v>
      </c>
      <c r="F216" s="81" t="str">
        <f t="array" ref="F216">CONCATENATE(XLOOKUP(C216,datos_personales[id:],datos_personales[Apellido:],"no dato",0,1),", ",XLOOKUP(C216,datos_personales[id:],datos_personales[Nombre],"no dato",0,1))</f>
        <v>#VALUE!</v>
      </c>
      <c r="G216" s="81" t="str">
        <f t="array" ref="G216">XLOOKUP(C216,datos_laborales[clave_foranea],datos_laborales[N° De Legajo],"no dato",0,1)</f>
        <v>#VALUE!</v>
      </c>
      <c r="H216" s="108" t="str">
        <f t="array" ref="H216">XLOOKUP(C216,datos_laborales[clave_foranea], datos_laborales[Inicio Actividad:],"no dato",0,1)</f>
        <v>#VALUE!</v>
      </c>
      <c r="I216" s="81" t="str">
        <f t="array" ref="I216">XLOOKUP(C216,datos_laborales[clave_foranea],datos_laborales[Años en Actividad:],"no dato",0,1)</f>
        <v>#VALUE!</v>
      </c>
      <c r="J216" s="81" t="str">
        <f t="array" ref="J216">XLOOKUP(C216,datos_personales[id:],datos_personales[D.n.i:],"no dato",0,1)</f>
        <v>#VALUE!</v>
      </c>
      <c r="K216" s="108" t="str">
        <f t="array" ref="K216">XLOOKUP(C216,datos_personales[id:],datos_personales[Fecha Nacimiento:],"no dato",0,1)</f>
        <v>#VALUE!</v>
      </c>
      <c r="L216" s="81">
        <f>COUNTIF(hijos!B:B,C216)</f>
        <v>0</v>
      </c>
      <c r="M216" s="83">
        <f>COUNTIFS(hijos!B:B,C216,hijos!I:I,1)</f>
        <v>0</v>
      </c>
      <c r="N216" s="84">
        <f>COUNTIFS(hijos!B:B,C216,hijos!J:J,1)</f>
        <v>0</v>
      </c>
      <c r="O216" s="84">
        <f>COUNTIFS(hijos!B:B,C216,hijos!K:K,1)</f>
        <v>0</v>
      </c>
      <c r="P216" s="84">
        <f>COUNTIFS(hijos!B:B,C216,hijos!L:L,1)</f>
        <v>0</v>
      </c>
      <c r="Q216" s="84">
        <f t="shared" si="1"/>
        <v>0</v>
      </c>
      <c r="R216" s="81" t="str">
        <f t="array" ref="R216">XLOOKUP(C216,datos_personales[id:],datos_personales[Tel. Contacto:],"no dato",0,1)</f>
        <v>#VALUE!</v>
      </c>
      <c r="S216" s="81" t="str">
        <f t="array" ref="S216">XLOOKUP(C216,datos_personales[id:],datos_personales[E-Mail:],"no dato",0,1)</f>
        <v>#VALUE!</v>
      </c>
      <c r="T216" s="81" t="str">
        <f t="array" ref="T216">XLOOKUP(R216,telefonos_afiliados[numeros_loys],telefonos_afiliados[esta],"no esta",0,1)</f>
        <v>#VALUE!</v>
      </c>
      <c r="U216" s="81" t="str">
        <f t="array" ref="U216">XLOOKUP(C216,datos_laborales[id:],datos_laborales[renuncio],"no dato",0,1)</f>
        <v>#VALUE!</v>
      </c>
      <c r="V216" s="104"/>
      <c r="W216" s="78"/>
    </row>
    <row r="217" ht="15.75" hidden="1" customHeight="1">
      <c r="A217" s="79"/>
      <c r="B217" s="80"/>
      <c r="C217" s="88" t="str">
        <f>datos_personales[id:]</f>
        <v>#VALUE!</v>
      </c>
      <c r="D217" s="88" t="str">
        <f t="array" ref="D217">XLOOKUP(C217,datos_laborales[clave_foranea],datos_laborales[Relacion de Dependencia],"dato no encontrado",0,1)</f>
        <v>#VALUE!</v>
      </c>
      <c r="E217" s="88" t="str">
        <f t="array" ref="E217">XLOOKUP(C217,datos_delegados[clave_foranea:],datos_delegados[En Actividad]," ",0,1)</f>
        <v>#VALUE!</v>
      </c>
      <c r="F217" s="88" t="str">
        <f t="array" ref="F217">CONCATENATE(XLOOKUP(C217,datos_personales[id:],datos_personales[Apellido:],"no dato",0,1),", ",XLOOKUP(C217,datos_personales[id:],datos_personales[Nombre],"no dato",0,1))</f>
        <v>#VALUE!</v>
      </c>
      <c r="G217" s="88" t="str">
        <f t="array" ref="G217">XLOOKUP(C217,datos_laborales[clave_foranea],datos_laborales[N° De Legajo],"no dato",0,1)</f>
        <v>#VALUE!</v>
      </c>
      <c r="H217" s="109" t="str">
        <f t="array" ref="H217">XLOOKUP(C217,datos_laborales[clave_foranea], datos_laborales[Inicio Actividad:],"no dato",0,1)</f>
        <v>#VALUE!</v>
      </c>
      <c r="I217" s="88" t="str">
        <f t="array" ref="I217">XLOOKUP(C217,datos_laborales[clave_foranea],datos_laborales[Años en Actividad:],"no dato",0,1)</f>
        <v>#VALUE!</v>
      </c>
      <c r="J217" s="88" t="str">
        <f t="array" ref="J217">XLOOKUP(C217,datos_personales[id:],datos_personales[D.n.i:],"no dato",0,1)</f>
        <v>#VALUE!</v>
      </c>
      <c r="K217" s="109" t="str">
        <f t="array" ref="K217">XLOOKUP(C217,datos_personales[id:],datos_personales[Fecha Nacimiento:],"no dato",0,1)</f>
        <v>#VALUE!</v>
      </c>
      <c r="L217" s="88">
        <f>COUNTIF(hijos!B:B,C217)</f>
        <v>0</v>
      </c>
      <c r="M217" s="90">
        <f>COUNTIFS(hijos!B:B,C217,hijos!I:I,1)</f>
        <v>0</v>
      </c>
      <c r="N217" s="91">
        <f>COUNTIFS(hijos!B:B,C217,hijos!J:J,1)</f>
        <v>0</v>
      </c>
      <c r="O217" s="91">
        <f>COUNTIFS(hijos!B:B,C217,hijos!K:K,1)</f>
        <v>0</v>
      </c>
      <c r="P217" s="91">
        <f>COUNTIFS(hijos!B:B,C217,hijos!L:L,1)</f>
        <v>0</v>
      </c>
      <c r="Q217" s="91">
        <f t="shared" si="1"/>
        <v>0</v>
      </c>
      <c r="R217" s="88" t="str">
        <f t="array" ref="R217">XLOOKUP(C217,datos_personales[id:],datos_personales[Tel. Contacto:],"no dato",0,1)</f>
        <v>#VALUE!</v>
      </c>
      <c r="S217" s="88" t="str">
        <f t="array" ref="S217">XLOOKUP(C217,datos_personales[id:],datos_personales[E-Mail:],"no dato",0,1)</f>
        <v>#VALUE!</v>
      </c>
      <c r="T217" s="88" t="str">
        <f t="array" ref="T217">XLOOKUP(R217,telefonos_afiliados[numeros_loys],telefonos_afiliados[esta],"no esta",0,1)</f>
        <v>#VALUE!</v>
      </c>
      <c r="U217" s="80"/>
      <c r="V217" s="104"/>
      <c r="W217" s="78"/>
    </row>
    <row r="218" ht="15.75" hidden="1" customHeight="1">
      <c r="A218" s="79"/>
      <c r="B218" s="80"/>
      <c r="C218" s="81" t="str">
        <f>datos_personales[id:]</f>
        <v>#VALUE!</v>
      </c>
      <c r="D218" s="81" t="str">
        <f t="array" ref="D218">XLOOKUP(C218,datos_laborales[clave_foranea],datos_laborales[Relacion de Dependencia],"dato no encontrado",0,1)</f>
        <v>#VALUE!</v>
      </c>
      <c r="E218" s="81" t="str">
        <f t="array" ref="E218">XLOOKUP(C218,datos_delegados[clave_foranea:],datos_delegados[En Actividad]," ",0,1)</f>
        <v>#VALUE!</v>
      </c>
      <c r="F218" s="81" t="str">
        <f t="array" ref="F218">CONCATENATE(XLOOKUP(C218,datos_personales[id:],datos_personales[Apellido:],"no dato",0,1),", ",XLOOKUP(C218,datos_personales[id:],datos_personales[Nombre],"no dato",0,1))</f>
        <v>#VALUE!</v>
      </c>
      <c r="G218" s="81" t="str">
        <f t="array" ref="G218">XLOOKUP(C218,datos_laborales[clave_foranea],datos_laborales[N° De Legajo],"no dato",0,1)</f>
        <v>#VALUE!</v>
      </c>
      <c r="H218" s="108" t="str">
        <f t="array" ref="H218">XLOOKUP(C218,datos_laborales[clave_foranea], datos_laborales[Inicio Actividad:],"no dato",0,1)</f>
        <v>#VALUE!</v>
      </c>
      <c r="I218" s="81" t="str">
        <f t="array" ref="I218">XLOOKUP(C218,datos_laborales[clave_foranea],datos_laborales[Años en Actividad:],"no dato",0,1)</f>
        <v>#VALUE!</v>
      </c>
      <c r="J218" s="81" t="str">
        <f t="array" ref="J218">XLOOKUP(C218,datos_personales[id:],datos_personales[D.n.i:],"no dato",0,1)</f>
        <v>#VALUE!</v>
      </c>
      <c r="K218" s="108" t="str">
        <f t="array" ref="K218">XLOOKUP(C218,datos_personales[id:],datos_personales[Fecha Nacimiento:],"no dato",0,1)</f>
        <v>#VALUE!</v>
      </c>
      <c r="L218" s="81">
        <f>COUNTIF(hijos!B:B,C218)</f>
        <v>0</v>
      </c>
      <c r="M218" s="83">
        <f>COUNTIFS(hijos!B:B,C218,hijos!I:I,1)</f>
        <v>0</v>
      </c>
      <c r="N218" s="84">
        <f>COUNTIFS(hijos!B:B,C218,hijos!J:J,1)</f>
        <v>0</v>
      </c>
      <c r="O218" s="84">
        <f>COUNTIFS(hijos!B:B,C218,hijos!K:K,1)</f>
        <v>0</v>
      </c>
      <c r="P218" s="84">
        <f>COUNTIFS(hijos!B:B,C218,hijos!L:L,1)</f>
        <v>0</v>
      </c>
      <c r="Q218" s="84">
        <f t="shared" si="1"/>
        <v>0</v>
      </c>
      <c r="R218" s="81" t="str">
        <f t="array" ref="R218">XLOOKUP(C218,datos_personales[id:],datos_personales[Tel. Contacto:],"no dato",0,1)</f>
        <v>#VALUE!</v>
      </c>
      <c r="S218" s="81" t="str">
        <f t="array" ref="S218">XLOOKUP(C218,datos_personales[id:],datos_personales[E-Mail:],"no dato",0,1)</f>
        <v>#VALUE!</v>
      </c>
      <c r="T218" s="81" t="str">
        <f t="array" ref="T218">XLOOKUP(R218,telefonos_afiliados[numeros_loys],telefonos_afiliados[esta],"no esta",0,1)</f>
        <v>#VALUE!</v>
      </c>
      <c r="U218" s="80"/>
      <c r="V218" s="104"/>
      <c r="W218" s="78"/>
    </row>
    <row r="219" ht="15.75" hidden="1" customHeight="1">
      <c r="A219" s="79"/>
      <c r="B219" s="80"/>
      <c r="C219" s="88" t="str">
        <f>datos_personales[id:]</f>
        <v>#VALUE!</v>
      </c>
      <c r="D219" s="88" t="str">
        <f t="array" ref="D219">XLOOKUP(C219,datos_laborales[clave_foranea],datos_laborales[Relacion de Dependencia],"dato no encontrado",0,1)</f>
        <v>#VALUE!</v>
      </c>
      <c r="E219" s="88" t="str">
        <f t="array" ref="E219">XLOOKUP(C219,datos_delegados[clave_foranea:],datos_delegados[En Actividad]," ",0,1)</f>
        <v>#VALUE!</v>
      </c>
      <c r="F219" s="88" t="str">
        <f t="array" ref="F219">CONCATENATE(XLOOKUP(C219,datos_personales[id:],datos_personales[Apellido:],"no dato",0,1),", ",XLOOKUP(C219,datos_personales[id:],datos_personales[Nombre],"no dato",0,1))</f>
        <v>#VALUE!</v>
      </c>
      <c r="G219" s="88" t="str">
        <f t="array" ref="G219">XLOOKUP(C219,datos_laborales[clave_foranea],datos_laborales[N° De Legajo],"no dato",0,1)</f>
        <v>#VALUE!</v>
      </c>
      <c r="H219" s="109" t="str">
        <f t="array" ref="H219">XLOOKUP(C219,datos_laborales[clave_foranea], datos_laborales[Inicio Actividad:],"no dato",0,1)</f>
        <v>#VALUE!</v>
      </c>
      <c r="I219" s="88" t="str">
        <f t="array" ref="I219">XLOOKUP(C219,datos_laborales[clave_foranea],datos_laborales[Años en Actividad:],"no dato",0,1)</f>
        <v>#VALUE!</v>
      </c>
      <c r="J219" s="88" t="str">
        <f t="array" ref="J219">XLOOKUP(C219,datos_personales[id:],datos_personales[D.n.i:],"no dato",0,1)</f>
        <v>#VALUE!</v>
      </c>
      <c r="K219" s="109" t="str">
        <f t="array" ref="K219">XLOOKUP(C219,datos_personales[id:],datos_personales[Fecha Nacimiento:],"no dato",0,1)</f>
        <v>#VALUE!</v>
      </c>
      <c r="L219" s="88">
        <f>COUNTIF(hijos!B:B,C219)</f>
        <v>0</v>
      </c>
      <c r="M219" s="90">
        <f>COUNTIFS(hijos!B:B,C219,hijos!I:I,1)</f>
        <v>0</v>
      </c>
      <c r="N219" s="91">
        <f>COUNTIFS(hijos!B:B,C219,hijos!J:J,1)</f>
        <v>0</v>
      </c>
      <c r="O219" s="91">
        <f>COUNTIFS(hijos!B:B,C219,hijos!K:K,1)</f>
        <v>0</v>
      </c>
      <c r="P219" s="91">
        <f>COUNTIFS(hijos!B:B,C219,hijos!L:L,1)</f>
        <v>0</v>
      </c>
      <c r="Q219" s="91">
        <f t="shared" si="1"/>
        <v>0</v>
      </c>
      <c r="R219" s="88" t="str">
        <f t="array" ref="R219">XLOOKUP(C219,datos_personales[id:],datos_personales[Tel. Contacto:],"no dato",0,1)</f>
        <v>#VALUE!</v>
      </c>
      <c r="S219" s="88" t="str">
        <f t="array" ref="S219">XLOOKUP(C219,datos_personales[id:],datos_personales[E-Mail:],"no dato",0,1)</f>
        <v>#VALUE!</v>
      </c>
      <c r="T219" s="88" t="str">
        <f t="array" ref="T219">XLOOKUP(R219,telefonos_afiliados[numeros_loys],telefonos_afiliados[esta],"no esta",0,1)</f>
        <v>#VALUE!</v>
      </c>
      <c r="U219" s="80"/>
      <c r="V219" s="104"/>
      <c r="W219" s="78"/>
    </row>
    <row r="220" ht="15.75" hidden="1" customHeight="1">
      <c r="A220" s="79"/>
      <c r="B220" s="80"/>
      <c r="C220" s="81" t="str">
        <f>datos_personales[id:]</f>
        <v>#VALUE!</v>
      </c>
      <c r="D220" s="81" t="str">
        <f t="array" ref="D220">XLOOKUP(C220,datos_laborales[clave_foranea],datos_laborales[Relacion de Dependencia],"dato no encontrado",0,1)</f>
        <v>#VALUE!</v>
      </c>
      <c r="E220" s="81" t="str">
        <f t="array" ref="E220">XLOOKUP(C220,datos_delegados[clave_foranea:],datos_delegados[En Actividad]," ",0,1)</f>
        <v>#VALUE!</v>
      </c>
      <c r="F220" s="81" t="str">
        <f t="array" ref="F220">CONCATENATE(XLOOKUP(C220,datos_personales[id:],datos_personales[Apellido:],"no dato",0,1),", ",XLOOKUP(C220,datos_personales[id:],datos_personales[Nombre],"no dato",0,1))</f>
        <v>#VALUE!</v>
      </c>
      <c r="G220" s="81" t="str">
        <f t="array" ref="G220">XLOOKUP(C220,datos_laborales[clave_foranea],datos_laborales[N° De Legajo],"no dato",0,1)</f>
        <v>#VALUE!</v>
      </c>
      <c r="H220" s="108" t="str">
        <f t="array" ref="H220">XLOOKUP(C220,datos_laborales[clave_foranea], datos_laborales[Inicio Actividad:],"no dato",0,1)</f>
        <v>#VALUE!</v>
      </c>
      <c r="I220" s="81" t="str">
        <f t="array" ref="I220">XLOOKUP(C220,datos_laborales[clave_foranea],datos_laborales[Años en Actividad:],"no dato",0,1)</f>
        <v>#VALUE!</v>
      </c>
      <c r="J220" s="81" t="str">
        <f t="array" ref="J220">XLOOKUP(C220,datos_personales[id:],datos_personales[D.n.i:],"no dato",0,1)</f>
        <v>#VALUE!</v>
      </c>
      <c r="K220" s="108" t="str">
        <f t="array" ref="K220">XLOOKUP(C220,datos_personales[id:],datos_personales[Fecha Nacimiento:],"no dato",0,1)</f>
        <v>#VALUE!</v>
      </c>
      <c r="L220" s="81">
        <f>COUNTIF(hijos!B:B,C220)</f>
        <v>0</v>
      </c>
      <c r="M220" s="83">
        <f>COUNTIFS(hijos!B:B,C220,hijos!I:I,1)</f>
        <v>0</v>
      </c>
      <c r="N220" s="84">
        <f>COUNTIFS(hijos!B:B,C220,hijos!J:J,1)</f>
        <v>0</v>
      </c>
      <c r="O220" s="84">
        <f>COUNTIFS(hijos!B:B,C220,hijos!K:K,1)</f>
        <v>0</v>
      </c>
      <c r="P220" s="84">
        <f>COUNTIFS(hijos!B:B,C220,hijos!L:L,1)</f>
        <v>0</v>
      </c>
      <c r="Q220" s="84">
        <f t="shared" si="1"/>
        <v>0</v>
      </c>
      <c r="R220" s="85" t="str">
        <f t="array" ref="R220">XLOOKUP(C220,datos_personales[id:],datos_personales[Tel. Contacto:],"no dato",0,1)</f>
        <v>#VALUE!</v>
      </c>
      <c r="S220" s="81" t="str">
        <f t="array" ref="S220">XLOOKUP(C220,datos_personales[id:],datos_personales[E-Mail:],"no dato",0,1)</f>
        <v>#VALUE!</v>
      </c>
      <c r="T220" s="81" t="str">
        <f t="array" ref="T220">XLOOKUP(R220,telefonos_afiliados[numeros_loys],telefonos_afiliados[esta],"no esta",0,1)</f>
        <v>#VALUE!</v>
      </c>
      <c r="U220" s="81" t="str">
        <f t="array" ref="U220">XLOOKUP(C220,datos_personales[id:],datos_laborales[renuncio],"no dato",0,1)</f>
        <v>#VALUE!</v>
      </c>
      <c r="V220" s="87" t="str">
        <f t="array" ref="V220">XLOOKUP(C220,datos_laborales[clave_foranea],datos_laborales[tiene_ficha_pdf],"no tiene ficha pdf",0,1)</f>
        <v>#VALUE!</v>
      </c>
      <c r="W220" s="78"/>
    </row>
    <row r="221" ht="15.75" hidden="1" customHeight="1">
      <c r="A221" s="79"/>
      <c r="B221" s="80"/>
      <c r="C221" s="88" t="str">
        <f>datos_personales[id:]</f>
        <v>#VALUE!</v>
      </c>
      <c r="D221" s="88" t="str">
        <f t="array" ref="D221">XLOOKUP(C221,datos_laborales[clave_foranea],datos_laborales[Relacion de Dependencia],"dato no encontrado",0,1)</f>
        <v>#VALUE!</v>
      </c>
      <c r="E221" s="88" t="str">
        <f t="array" ref="E221">XLOOKUP(C221,datos_delegados[clave_foranea:],datos_delegados[En Actividad]," ",0,1)</f>
        <v>#VALUE!</v>
      </c>
      <c r="F221" s="88" t="str">
        <f t="array" ref="F221">CONCATENATE(XLOOKUP(C221,datos_personales[id:],datos_personales[Apellido:],"no dato",0,1),", ",XLOOKUP(C221,datos_personales[id:],datos_personales[Nombre],"no dato",0,1))</f>
        <v>#VALUE!</v>
      </c>
      <c r="G221" s="88" t="str">
        <f t="array" ref="G221">XLOOKUP(C221,datos_laborales[clave_foranea],datos_laborales[N° De Legajo],"no dato",0,1)</f>
        <v>#VALUE!</v>
      </c>
      <c r="H221" s="109" t="str">
        <f t="array" ref="H221">XLOOKUP(C221,datos_laborales[clave_foranea], datos_laborales[Inicio Actividad:],"no dato",0,1)</f>
        <v>#VALUE!</v>
      </c>
      <c r="I221" s="88" t="str">
        <f t="array" ref="I221">XLOOKUP(C221,datos_laborales[clave_foranea],datos_laborales[Años en Actividad:],"no dato",0,1)</f>
        <v>#VALUE!</v>
      </c>
      <c r="J221" s="88" t="str">
        <f t="array" ref="J221">XLOOKUP(C221,datos_personales[id:],datos_personales[D.n.i:],"no dato",0,1)</f>
        <v>#VALUE!</v>
      </c>
      <c r="K221" s="109" t="str">
        <f t="array" ref="K221">XLOOKUP(C221,datos_personales[id:],datos_personales[Fecha Nacimiento:],"no dato",0,1)</f>
        <v>#VALUE!</v>
      </c>
      <c r="L221" s="88">
        <f>COUNTIF(hijos!B:B,C221)</f>
        <v>0</v>
      </c>
      <c r="M221" s="90">
        <f>COUNTIFS(hijos!B:B,C221,hijos!I:I,1)</f>
        <v>0</v>
      </c>
      <c r="N221" s="91">
        <f>COUNTIFS(hijos!B:B,C221,hijos!J:J,1)</f>
        <v>0</v>
      </c>
      <c r="O221" s="91">
        <f>COUNTIFS(hijos!B:B,C221,hijos!K:K,1)</f>
        <v>0</v>
      </c>
      <c r="P221" s="91">
        <f>COUNTIFS(hijos!B:B,C221,hijos!L:L,1)</f>
        <v>0</v>
      </c>
      <c r="Q221" s="91">
        <f t="shared" si="1"/>
        <v>0</v>
      </c>
      <c r="R221" s="88" t="str">
        <f t="array" ref="R221">XLOOKUP(C221,datos_personales[id:],datos_personales[Tel. Contacto:],"no dato",0,1)</f>
        <v>#VALUE!</v>
      </c>
      <c r="S221" s="88" t="str">
        <f t="array" ref="S221">XLOOKUP(C221,datos_personales[id:],datos_personales[E-Mail:],"no dato",0,1)</f>
        <v>#VALUE!</v>
      </c>
      <c r="T221" s="88" t="str">
        <f t="array" ref="T221">XLOOKUP(R221,telefonos_afiliados[numeros_loys],telefonos_afiliados[esta],"no esta",0,1)</f>
        <v>#VALUE!</v>
      </c>
      <c r="U221" s="88" t="str">
        <f t="array" ref="U221">XLOOKUP(C221,datos_laborales[id:],datos_laborales[renuncio],"no dato",0,1)</f>
        <v>#VALUE!</v>
      </c>
      <c r="V221" s="104"/>
      <c r="W221" s="78"/>
    </row>
    <row r="222" ht="15.75" hidden="1" customHeight="1">
      <c r="A222" s="79"/>
      <c r="B222" s="80"/>
      <c r="C222" s="81" t="str">
        <f>datos_personales[id:]</f>
        <v>#VALUE!</v>
      </c>
      <c r="D222" s="81" t="str">
        <f t="array" ref="D222">XLOOKUP(C222,datos_laborales[clave_foranea],datos_laborales[Relacion de Dependencia],"dato no encontrado",0,1)</f>
        <v>#VALUE!</v>
      </c>
      <c r="E222" s="81" t="str">
        <f t="array" ref="E222">XLOOKUP(C222,datos_delegados[clave_foranea:],datos_delegados[En Actividad]," ",0,1)</f>
        <v>#VALUE!</v>
      </c>
      <c r="F222" s="81" t="str">
        <f t="array" ref="F222">CONCATENATE(XLOOKUP(C222,datos_personales[id:],datos_personales[Apellido:],"no dato",0,1),", ",XLOOKUP(C222,datos_personales[id:],datos_personales[Nombre],"no dato",0,1))</f>
        <v>#VALUE!</v>
      </c>
      <c r="G222" s="81" t="str">
        <f t="array" ref="G222">XLOOKUP(C222,datos_laborales[clave_foranea],datos_laborales[N° De Legajo],"no dato",0,1)</f>
        <v>#VALUE!</v>
      </c>
      <c r="H222" s="108" t="str">
        <f t="array" ref="H222">XLOOKUP(C222,datos_laborales[clave_foranea], datos_laborales[Inicio Actividad:],"no dato",0,1)</f>
        <v>#VALUE!</v>
      </c>
      <c r="I222" s="81" t="str">
        <f t="array" ref="I222">XLOOKUP(C222,datos_laborales[clave_foranea],datos_laborales[Años en Actividad:],"no dato",0,1)</f>
        <v>#VALUE!</v>
      </c>
      <c r="J222" s="81" t="str">
        <f t="array" ref="J222">XLOOKUP(C222,datos_personales[id:],datos_personales[D.n.i:],"no dato",0,1)</f>
        <v>#VALUE!</v>
      </c>
      <c r="K222" s="108" t="str">
        <f t="array" ref="K222">XLOOKUP(C222,datos_personales[id:],datos_personales[Fecha Nacimiento:],"no dato",0,1)</f>
        <v>#VALUE!</v>
      </c>
      <c r="L222" s="81">
        <f>COUNTIF(hijos!B:B,C222)</f>
        <v>0</v>
      </c>
      <c r="M222" s="83">
        <f>COUNTIFS(hijos!B:B,C222,hijos!I:I,1)</f>
        <v>0</v>
      </c>
      <c r="N222" s="84">
        <f>COUNTIFS(hijos!B:B,C222,hijos!J:J,1)</f>
        <v>0</v>
      </c>
      <c r="O222" s="84">
        <f>COUNTIFS(hijos!B:B,C222,hijos!K:K,1)</f>
        <v>0</v>
      </c>
      <c r="P222" s="84">
        <f>COUNTIFS(hijos!B:B,C222,hijos!L:L,1)</f>
        <v>0</v>
      </c>
      <c r="Q222" s="84">
        <f t="shared" si="1"/>
        <v>0</v>
      </c>
      <c r="R222" s="81" t="str">
        <f t="array" ref="R222">XLOOKUP(C222,datos_personales[id:],datos_personales[Tel. Contacto:],"no dato",0,1)</f>
        <v>#VALUE!</v>
      </c>
      <c r="S222" s="81" t="str">
        <f t="array" ref="S222">XLOOKUP(C222,datos_personales[id:],datos_personales[E-Mail:],"no dato",0,1)</f>
        <v>#VALUE!</v>
      </c>
      <c r="T222" s="81" t="str">
        <f t="array" ref="T222">XLOOKUP(R222,telefonos_afiliados[numeros_loys],telefonos_afiliados[esta],"no esta",0,1)</f>
        <v>#VALUE!</v>
      </c>
      <c r="U222" s="81" t="str">
        <f t="array" ref="U222">XLOOKUP(C222,datos_laborales[id:],datos_laborales[renuncio],"no dato",0,1)</f>
        <v>#VALUE!</v>
      </c>
      <c r="V222" s="104"/>
      <c r="W222" s="78"/>
    </row>
    <row r="223" ht="15.75" hidden="1" customHeight="1">
      <c r="A223" s="79"/>
      <c r="B223" s="80"/>
      <c r="C223" s="88" t="str">
        <f>datos_personales[id:]</f>
        <v>#VALUE!</v>
      </c>
      <c r="D223" s="88" t="str">
        <f t="array" ref="D223">XLOOKUP(C223,datos_laborales[clave_foranea],datos_laborales[Relacion de Dependencia],"dato no encontrado",0,1)</f>
        <v>#VALUE!</v>
      </c>
      <c r="E223" s="88" t="str">
        <f t="array" ref="E223">XLOOKUP(C223,datos_delegados[clave_foranea:],datos_delegados[En Actividad]," ",0,1)</f>
        <v>#VALUE!</v>
      </c>
      <c r="F223" s="88" t="str">
        <f t="array" ref="F223">CONCATENATE(XLOOKUP(C223,datos_personales[id:],datos_personales[Apellido:],"no dato",0,1),", ",XLOOKUP(C223,datos_personales[id:],datos_personales[Nombre],"no dato",0,1))</f>
        <v>#VALUE!</v>
      </c>
      <c r="G223" s="88" t="str">
        <f t="array" ref="G223">XLOOKUP(C223,datos_laborales[clave_foranea],datos_laborales[N° De Legajo],"no dato",0,1)</f>
        <v>#VALUE!</v>
      </c>
      <c r="H223" s="109" t="str">
        <f t="array" ref="H223">XLOOKUP(C223,datos_laborales[clave_foranea], datos_laborales[Inicio Actividad:],"no dato",0,1)</f>
        <v>#VALUE!</v>
      </c>
      <c r="I223" s="88" t="str">
        <f t="array" ref="I223">XLOOKUP(C223,datos_laborales[clave_foranea],datos_laborales[Años en Actividad:],"no dato",0,1)</f>
        <v>#VALUE!</v>
      </c>
      <c r="J223" s="88" t="str">
        <f t="array" ref="J223">XLOOKUP(C223,datos_personales[id:],datos_personales[D.n.i:],"no dato",0,1)</f>
        <v>#VALUE!</v>
      </c>
      <c r="K223" s="109" t="str">
        <f t="array" ref="K223">XLOOKUP(C223,datos_personales[id:],datos_personales[Fecha Nacimiento:],"no dato",0,1)</f>
        <v>#VALUE!</v>
      </c>
      <c r="L223" s="88">
        <f>COUNTIF(hijos!B:B,C223)</f>
        <v>0</v>
      </c>
      <c r="M223" s="91">
        <f>COUNTIFS(hijos!B:B,C223,hijos!I:I,1)</f>
        <v>0</v>
      </c>
      <c r="N223" s="91">
        <f>COUNTIFS(hijos!B:B,C223,hijos!J:J,1)</f>
        <v>0</v>
      </c>
      <c r="O223" s="91">
        <f>COUNTIFS(hijos!B:B,C223,hijos!K:K,1)</f>
        <v>0</v>
      </c>
      <c r="P223" s="91">
        <f>COUNTIFS(hijos!B:B,C223,hijos!L:L,1)</f>
        <v>0</v>
      </c>
      <c r="Q223" s="91">
        <f t="shared" si="1"/>
        <v>0</v>
      </c>
      <c r="R223" s="88" t="str">
        <f t="array" ref="R223">XLOOKUP(C223,datos_personales[id:],datos_personales[Tel. Contacto:],"no dato",0,1)</f>
        <v>#VALUE!</v>
      </c>
      <c r="S223" s="88" t="str">
        <f t="array" ref="S223">XLOOKUP(C223,datos_personales[id:],datos_personales[E-Mail:],"no dato",0,1)</f>
        <v>#VALUE!</v>
      </c>
      <c r="T223" s="88" t="str">
        <f t="array" ref="T223">XLOOKUP(R223,telefonos_afiliados[numeros_loys],telefonos_afiliados[esta],"no esta",0,1)</f>
        <v>#VALUE!</v>
      </c>
      <c r="U223" s="88" t="str">
        <f t="array" ref="U223">XLOOKUP(C223,datos_laborales[id:],datos_laborales[renuncio],"no dato",0,1)</f>
        <v>#VALUE!</v>
      </c>
      <c r="V223" s="93" t="str">
        <f t="array" ref="V223">XLOOKUP(C223,datos_laborales[clave_foranea],datos_laborales[tiene_ficha_pdf],"no tiene ficha pdf",0,1)</f>
        <v>#VALUE!</v>
      </c>
      <c r="W223" s="78"/>
    </row>
    <row r="224" ht="15.75" hidden="1" customHeight="1">
      <c r="A224" s="79"/>
      <c r="B224" s="80"/>
      <c r="C224" s="81" t="str">
        <f>datos_personales[id:]</f>
        <v>#VALUE!</v>
      </c>
      <c r="D224" s="81" t="str">
        <f t="array" ref="D224">XLOOKUP(C224,datos_laborales[clave_foranea],datos_laborales[Relacion de Dependencia],"dato no encontrado",0,1)</f>
        <v>#VALUE!</v>
      </c>
      <c r="E224" s="81" t="str">
        <f t="array" ref="E224">XLOOKUP(C224,datos_delegados[clave_foranea:],datos_delegados[En Actividad]," ",0,1)</f>
        <v>#VALUE!</v>
      </c>
      <c r="F224" s="81" t="str">
        <f t="array" ref="F224">CONCATENATE(XLOOKUP(C224,datos_personales[id:],datos_personales[Apellido:],"no dato",0,1),", ",XLOOKUP(C224,datos_personales[id:],datos_personales[Nombre],"no dato",0,1))</f>
        <v>#VALUE!</v>
      </c>
      <c r="G224" s="81" t="str">
        <f t="array" ref="G224">XLOOKUP(C224,datos_laborales[clave_foranea],datos_laborales[N° De Legajo],"no dato",0,1)</f>
        <v>#VALUE!</v>
      </c>
      <c r="H224" s="108" t="str">
        <f t="array" ref="H224">XLOOKUP(C224,datos_laborales[clave_foranea], datos_laborales[Inicio Actividad:],"no dato",0,1)</f>
        <v>#VALUE!</v>
      </c>
      <c r="I224" s="81" t="str">
        <f t="array" ref="I224">XLOOKUP(C224,datos_laborales[clave_foranea],datos_laborales[Años en Actividad:],"no dato",0,1)</f>
        <v>#VALUE!</v>
      </c>
      <c r="J224" s="81" t="str">
        <f t="array" ref="J224">XLOOKUP(C224,datos_personales[id:],datos_personales[D.n.i:],"no dato",0,1)</f>
        <v>#VALUE!</v>
      </c>
      <c r="K224" s="108" t="str">
        <f t="array" ref="K224">XLOOKUP(C224,datos_personales[id:],datos_personales[Fecha Nacimiento:],"no dato",0,1)</f>
        <v>#VALUE!</v>
      </c>
      <c r="L224" s="81">
        <f>COUNTIF(hijos!B:B,C224)</f>
        <v>0</v>
      </c>
      <c r="M224" s="84">
        <f>COUNTIFS(hijos!B:B,C224,hijos!I:I,1)</f>
        <v>0</v>
      </c>
      <c r="N224" s="84">
        <f>COUNTIFS(hijos!B:B,C224,hijos!J:J,1)</f>
        <v>0</v>
      </c>
      <c r="O224" s="84">
        <f>COUNTIFS(hijos!B:B,C224,hijos!K:K,1)</f>
        <v>0</v>
      </c>
      <c r="P224" s="84">
        <f>COUNTIFS(hijos!B:B,C224,hijos!L:L,1)</f>
        <v>0</v>
      </c>
      <c r="Q224" s="84">
        <f t="shared" si="1"/>
        <v>0</v>
      </c>
      <c r="R224" s="81" t="str">
        <f t="array" ref="R224">XLOOKUP(C224,datos_personales[id:],datos_personales[Tel. Contacto:],"no dato",0,1)</f>
        <v>#VALUE!</v>
      </c>
      <c r="S224" s="81" t="str">
        <f t="array" ref="S224">XLOOKUP(C224,datos_personales[id:],datos_personales[E-Mail:],"no dato",0,1)</f>
        <v>#VALUE!</v>
      </c>
      <c r="T224" s="81" t="str">
        <f t="array" ref="T224">XLOOKUP(R224,telefonos_afiliados[numeros_loys],telefonos_afiliados[esta],"no esta",0,1)</f>
        <v>#VALUE!</v>
      </c>
      <c r="U224" s="81" t="str">
        <f t="array" ref="U224">XLOOKUP(C224,datos_laborales[id:],datos_laborales[renuncio],"no dato",0,1)</f>
        <v>#VALUE!</v>
      </c>
      <c r="V224" s="87" t="str">
        <f t="array" ref="V224">XLOOKUP(C224,datos_laborales[clave_foranea],datos_laborales[tiene_ficha_pdf],"no tiene ficha pdf",0,1)</f>
        <v>#VALUE!</v>
      </c>
      <c r="W224" s="78"/>
    </row>
    <row r="225" ht="15.75" hidden="1" customHeight="1">
      <c r="A225" s="79"/>
      <c r="B225" s="80"/>
      <c r="C225" s="88" t="str">
        <f>datos_personales[id:]</f>
        <v>#VALUE!</v>
      </c>
      <c r="D225" s="88" t="str">
        <f t="array" ref="D225">XLOOKUP(C225,datos_laborales[clave_foranea],datos_laborales[Relacion de Dependencia],"dato no encontrado",0,1)</f>
        <v>#VALUE!</v>
      </c>
      <c r="E225" s="88" t="str">
        <f t="array" ref="E225">XLOOKUP(C225,datos_delegados[clave_foranea:],datos_delegados[En Actividad]," ",0,1)</f>
        <v>#VALUE!</v>
      </c>
      <c r="F225" s="88" t="str">
        <f t="array" ref="F225">CONCATENATE(XLOOKUP(C225,datos_personales[id:],datos_personales[Apellido:],"no dato",0,1),", ",XLOOKUP(C225,datos_personales[id:],datos_personales[Nombre],"no dato",0,1))</f>
        <v>#VALUE!</v>
      </c>
      <c r="G225" s="88" t="str">
        <f t="array" ref="G225">XLOOKUP(C225,datos_laborales[clave_foranea],datos_laborales[N° De Legajo],"no dato",0,1)</f>
        <v>#VALUE!</v>
      </c>
      <c r="H225" s="109" t="str">
        <f t="array" ref="H225">XLOOKUP(C225,datos_laborales[clave_foranea], datos_laborales[Inicio Actividad:],"no dato",0,1)</f>
        <v>#VALUE!</v>
      </c>
      <c r="I225" s="88" t="str">
        <f t="array" ref="I225">XLOOKUP(C225,datos_laborales[clave_foranea],datos_laborales[Años en Actividad:],"no dato",0,1)</f>
        <v>#VALUE!</v>
      </c>
      <c r="J225" s="88" t="str">
        <f t="array" ref="J225">XLOOKUP(C225,datos_personales[id:],datos_personales[D.n.i:],"no dato",0,1)</f>
        <v>#VALUE!</v>
      </c>
      <c r="K225" s="109" t="str">
        <f t="array" ref="K225">XLOOKUP(C225,datos_personales[id:],datos_personales[Fecha Nacimiento:],"no dato",0,1)</f>
        <v>#VALUE!</v>
      </c>
      <c r="L225" s="88">
        <f>COUNTIF(hijos!B:B,C225)</f>
        <v>0</v>
      </c>
      <c r="M225" s="91">
        <f>COUNTIFS(hijos!B:B,C225,hijos!I:I,1)</f>
        <v>0</v>
      </c>
      <c r="N225" s="91">
        <f>COUNTIFS(hijos!B:B,C225,hijos!J:J,1)</f>
        <v>0</v>
      </c>
      <c r="O225" s="91">
        <f>COUNTIFS(hijos!B:B,C225,hijos!K:K,1)</f>
        <v>0</v>
      </c>
      <c r="P225" s="91">
        <f>COUNTIFS(hijos!B:B,C225,hijos!L:L,1)</f>
        <v>0</v>
      </c>
      <c r="Q225" s="91">
        <f t="shared" si="1"/>
        <v>0</v>
      </c>
      <c r="R225" s="88" t="str">
        <f t="array" ref="R225">XLOOKUP(C225,datos_personales[id:],datos_personales[Tel. Contacto:],"no dato",0,1)</f>
        <v>#VALUE!</v>
      </c>
      <c r="S225" s="88" t="str">
        <f t="array" ref="S225">XLOOKUP(C225,datos_personales[id:],datos_personales[E-Mail:],"no dato",0,1)</f>
        <v>#VALUE!</v>
      </c>
      <c r="T225" s="88" t="str">
        <f t="array" ref="T225">XLOOKUP(R225,telefonos_afiliados[numeros_loys],telefonos_afiliados[esta],"no esta",0,1)</f>
        <v>#VALUE!</v>
      </c>
      <c r="U225" s="88" t="str">
        <f t="array" ref="U225">XLOOKUP(C225,datos_laborales[id:],datos_laborales[renuncio],"no dato",0,1)</f>
        <v>#VALUE!</v>
      </c>
      <c r="V225" s="93" t="str">
        <f t="array" ref="V225">XLOOKUP(C225,datos_laborales[clave_foranea],datos_laborales[tiene_ficha_pdf],"no tiene ficha pdf",0,1)</f>
        <v>#VALUE!</v>
      </c>
      <c r="W225" s="78"/>
    </row>
    <row r="226" ht="15.75" hidden="1" customHeight="1">
      <c r="A226" s="79"/>
      <c r="B226" s="80"/>
      <c r="C226" s="81" t="str">
        <f>datos_personales[id:]</f>
        <v>#VALUE!</v>
      </c>
      <c r="D226" s="81" t="str">
        <f t="array" ref="D226">XLOOKUP(C226,datos_laborales[clave_foranea],datos_laborales[Relacion de Dependencia],"dato no encontrado",0,1)</f>
        <v>#VALUE!</v>
      </c>
      <c r="E226" s="81" t="str">
        <f t="array" ref="E226">XLOOKUP(C226,datos_delegados[clave_foranea:],datos_delegados[En Actividad]," ",0,1)</f>
        <v>#VALUE!</v>
      </c>
      <c r="F226" s="81" t="str">
        <f t="array" ref="F226">CONCATENATE(XLOOKUP(C226,datos_personales[id:],datos_personales[Apellido:],"no dato",0,1),", ",XLOOKUP(C226,datos_personales[id:],datos_personales[Nombre],"no dato",0,1))</f>
        <v>#VALUE!</v>
      </c>
      <c r="G226" s="81" t="str">
        <f t="array" ref="G226">XLOOKUP(C226,datos_laborales[clave_foranea],datos_laborales[N° De Legajo],"no dato",0,1)</f>
        <v>#VALUE!</v>
      </c>
      <c r="H226" s="108" t="str">
        <f t="array" ref="H226">XLOOKUP(C226,datos_laborales[clave_foranea], datos_laborales[Inicio Actividad:],"no dato",0,1)</f>
        <v>#VALUE!</v>
      </c>
      <c r="I226" s="81" t="str">
        <f t="array" ref="I226">XLOOKUP(C226,datos_laborales[clave_foranea],datos_laborales[Años en Actividad:],"no dato",0,1)</f>
        <v>#VALUE!</v>
      </c>
      <c r="J226" s="81" t="str">
        <f t="array" ref="J226">XLOOKUP(C226,datos_personales[id:],datos_personales[D.n.i:],"no dato",0,1)</f>
        <v>#VALUE!</v>
      </c>
      <c r="K226" s="108" t="str">
        <f t="array" ref="K226">XLOOKUP(C226,datos_personales[id:],datos_personales[Fecha Nacimiento:],"no dato",0,1)</f>
        <v>#VALUE!</v>
      </c>
      <c r="L226" s="81">
        <f>COUNTIF(hijos!B:B,C226)</f>
        <v>0</v>
      </c>
      <c r="M226" s="84">
        <f>COUNTIFS(hijos!B:B,C226,hijos!I:I,1)</f>
        <v>0</v>
      </c>
      <c r="N226" s="84">
        <f>COUNTIFS(hijos!B:B,C226,hijos!J:J,1)</f>
        <v>0</v>
      </c>
      <c r="O226" s="84">
        <f>COUNTIFS(hijos!B:B,C226,hijos!K:K,1)</f>
        <v>0</v>
      </c>
      <c r="P226" s="84">
        <f>COUNTIFS(hijos!B:B,C226,hijos!L:L,1)</f>
        <v>0</v>
      </c>
      <c r="Q226" s="84">
        <f t="shared" si="1"/>
        <v>0</v>
      </c>
      <c r="R226" s="81" t="str">
        <f t="array" ref="R226">XLOOKUP(C226,datos_personales[id:],datos_personales[Tel. Contacto:],"no dato",0,1)</f>
        <v>#VALUE!</v>
      </c>
      <c r="S226" s="81" t="str">
        <f t="array" ref="S226">XLOOKUP(C226,datos_personales[id:],datos_personales[E-Mail:],"no dato",0,1)</f>
        <v>#VALUE!</v>
      </c>
      <c r="T226" s="81" t="str">
        <f t="array" ref="T226">XLOOKUP(R226,telefonos_afiliados[numeros_loys],telefonos_afiliados[esta],"no esta",0,1)</f>
        <v>#VALUE!</v>
      </c>
      <c r="U226" s="81" t="str">
        <f t="array" ref="U226">XLOOKUP(C226,datos_laborales[id:],datos_laborales[renuncio],"no dato",0,1)</f>
        <v>#VALUE!</v>
      </c>
      <c r="V226" s="87" t="str">
        <f t="array" ref="V226">XLOOKUP(C226,datos_laborales[clave_foranea],datos_laborales[tiene_ficha_pdf],"no tiene ficha pdf",0,1)</f>
        <v>#VALUE!</v>
      </c>
      <c r="W226" s="78"/>
    </row>
    <row r="227" ht="15.75" hidden="1" customHeight="1">
      <c r="A227" s="110"/>
      <c r="B227" s="111"/>
      <c r="C227" s="112" t="str">
        <f>datos_personales[id:]</f>
        <v>#VALUE!</v>
      </c>
      <c r="D227" s="112" t="str">
        <f t="array" ref="D227">XLOOKUP(C227,datos_laborales[clave_foranea],datos_laborales[Relacion de Dependencia],"dato no encontrado",0,1)</f>
        <v>#VALUE!</v>
      </c>
      <c r="E227" s="112" t="str">
        <f t="array" ref="E227">XLOOKUP(C227,datos_delegados[clave_foranea:],datos_delegados[En Actividad]," ",0,1)</f>
        <v>#VALUE!</v>
      </c>
      <c r="F227" s="112" t="str">
        <f t="array" ref="F227">CONCATENATE(XLOOKUP(C227,datos_personales[id:],datos_personales[Apellido:],"no dato",0,1),", ",XLOOKUP(C227,datos_personales[id:],datos_personales[Nombre],"no dato",0,1))</f>
        <v>#VALUE!</v>
      </c>
      <c r="G227" s="112" t="str">
        <f t="array" ref="G227">XLOOKUP(C227,datos_laborales[clave_foranea],datos_laborales[N° De Legajo],"no dato",0,1)</f>
        <v>#VALUE!</v>
      </c>
      <c r="H227" s="113" t="str">
        <f t="array" ref="H227">XLOOKUP(C227,datos_laborales[clave_foranea], datos_laborales[Inicio Actividad:],"no dato",0,1)</f>
        <v>#VALUE!</v>
      </c>
      <c r="I227" s="112" t="str">
        <f t="array" ref="I227">XLOOKUP(C227,datos_laborales[clave_foranea],datos_laborales[Años en Actividad:],"no dato",0,1)</f>
        <v>#VALUE!</v>
      </c>
      <c r="J227" s="112" t="str">
        <f t="array" ref="J227">XLOOKUP(C227,datos_personales[id:],datos_personales[D.n.i:],"no dato",0,1)</f>
        <v>#VALUE!</v>
      </c>
      <c r="K227" s="113" t="str">
        <f t="array" ref="K227">XLOOKUP(C227,datos_personales[id:],datos_personales[Fecha Nacimiento:],"no dato",0,1)</f>
        <v>#VALUE!</v>
      </c>
      <c r="L227" s="112">
        <f>COUNTIF(hijos!B:B,C227)</f>
        <v>0</v>
      </c>
      <c r="M227" s="114">
        <f>COUNTIFS(hijos!B:B,C227,hijos!I:I,1)</f>
        <v>0</v>
      </c>
      <c r="N227" s="114">
        <f>COUNTIFS(hijos!B:B,C227,hijos!J:J,1)</f>
        <v>0</v>
      </c>
      <c r="O227" s="114">
        <f>COUNTIFS(hijos!B:B,C227,hijos!K:K,1)</f>
        <v>0</v>
      </c>
      <c r="P227" s="114">
        <f>COUNTIFS(hijos!B:B,C227,hijos!L:L,1)</f>
        <v>0</v>
      </c>
      <c r="Q227" s="114">
        <f t="shared" si="1"/>
        <v>0</v>
      </c>
      <c r="R227" s="112" t="str">
        <f t="array" ref="R227">XLOOKUP(C227,datos_personales[id:],datos_personales[Tel. Contacto:],"no dato",0,1)</f>
        <v>#VALUE!</v>
      </c>
      <c r="S227" s="112" t="str">
        <f t="array" ref="S227">XLOOKUP(C227,datos_personales[id:],datos_personales[E-Mail:],"no dato",0,1)</f>
        <v>#VALUE!</v>
      </c>
      <c r="T227" s="112" t="str">
        <f t="array" ref="T227">XLOOKUP(R227,telefonos_afiliados[numeros_loys],telefonos_afiliados[esta],"no esta",0,1)</f>
        <v>#VALUE!</v>
      </c>
      <c r="U227" s="112" t="str">
        <f t="array" ref="U227">XLOOKUP(C227,datos_laborales[id:],datos_laborales[renuncio],"no dato",0,1)</f>
        <v>#VALUE!</v>
      </c>
      <c r="V227" s="115" t="str">
        <f t="array" ref="V227">XLOOKUP(C227,datos_laborales[clave_foranea],datos_laborales[tiene_ficha_pdf],"no tiene ficha pdf",0,1)</f>
        <v>#VALUE!</v>
      </c>
      <c r="W227" s="78"/>
    </row>
    <row r="228" ht="15.75" customHeight="1">
      <c r="A228" s="78"/>
      <c r="B228" s="78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7"/>
      <c r="N228" s="118"/>
      <c r="O228" s="118"/>
      <c r="P228" s="118"/>
      <c r="Q228" s="116"/>
      <c r="R228" s="119"/>
      <c r="S228" s="116"/>
      <c r="T228" s="78"/>
      <c r="U228" s="78"/>
      <c r="V228" s="78"/>
      <c r="W228" s="78"/>
    </row>
    <row r="229" ht="15.75" customHeight="1">
      <c r="A229" s="78"/>
      <c r="B229" s="78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7"/>
      <c r="N229" s="118"/>
      <c r="O229" s="118"/>
      <c r="P229" s="118"/>
      <c r="Q229" s="116"/>
      <c r="R229" s="116"/>
      <c r="S229" s="116"/>
      <c r="T229" s="78"/>
      <c r="U229" s="78"/>
      <c r="V229" s="78"/>
      <c r="W229" s="78"/>
    </row>
    <row r="230" ht="15.75" customHeight="1">
      <c r="A230" s="78"/>
      <c r="B230" s="78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7"/>
      <c r="N230" s="118"/>
      <c r="O230" s="118"/>
      <c r="P230" s="118"/>
      <c r="Q230" s="116"/>
      <c r="R230" s="116"/>
      <c r="S230" s="116"/>
      <c r="T230" s="78"/>
      <c r="U230" s="78"/>
      <c r="V230" s="78"/>
      <c r="W230" s="78"/>
    </row>
    <row r="231" ht="15.75" customHeight="1">
      <c r="A231" s="78"/>
      <c r="B231" s="78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7"/>
      <c r="N231" s="118"/>
      <c r="O231" s="118"/>
      <c r="P231" s="118"/>
      <c r="Q231" s="116"/>
      <c r="R231" s="116"/>
      <c r="S231" s="116"/>
      <c r="T231" s="78"/>
      <c r="U231" s="78"/>
      <c r="V231" s="78"/>
      <c r="W231" s="78"/>
    </row>
    <row r="232" ht="15.75" customHeight="1">
      <c r="A232" s="78"/>
      <c r="B232" s="78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7"/>
      <c r="N232" s="118"/>
      <c r="O232" s="118"/>
      <c r="P232" s="118"/>
      <c r="Q232" s="116"/>
      <c r="R232" s="116"/>
      <c r="S232" s="116"/>
      <c r="T232" s="78"/>
      <c r="U232" s="78"/>
      <c r="V232" s="78"/>
      <c r="W232" s="78"/>
    </row>
    <row r="233" ht="15.75" customHeight="1">
      <c r="A233" s="78"/>
      <c r="B233" s="78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7"/>
      <c r="N233" s="118"/>
      <c r="O233" s="118"/>
      <c r="P233" s="118"/>
      <c r="Q233" s="116"/>
      <c r="R233" s="116"/>
      <c r="S233" s="116"/>
      <c r="T233" s="78"/>
      <c r="U233" s="78"/>
      <c r="V233" s="78"/>
      <c r="W233" s="78"/>
    </row>
    <row r="234" ht="15.75" customHeight="1">
      <c r="A234" s="78"/>
      <c r="B234" s="78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7"/>
      <c r="N234" s="118"/>
      <c r="O234" s="118"/>
      <c r="P234" s="118"/>
      <c r="Q234" s="116"/>
      <c r="R234" s="116"/>
      <c r="S234" s="116"/>
      <c r="T234" s="78"/>
      <c r="U234" s="78"/>
      <c r="V234" s="78"/>
      <c r="W234" s="78"/>
    </row>
    <row r="235" ht="15.75" customHeight="1">
      <c r="A235" s="78"/>
      <c r="B235" s="78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7"/>
      <c r="N235" s="118"/>
      <c r="O235" s="118"/>
      <c r="P235" s="118"/>
      <c r="Q235" s="116"/>
      <c r="R235" s="116"/>
      <c r="S235" s="116"/>
      <c r="T235" s="78"/>
      <c r="U235" s="78"/>
      <c r="V235" s="78"/>
      <c r="W235" s="78"/>
    </row>
    <row r="236" ht="15.75" customHeight="1">
      <c r="A236" s="78"/>
      <c r="B236" s="78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7"/>
      <c r="N236" s="118"/>
      <c r="O236" s="118"/>
      <c r="P236" s="118"/>
      <c r="Q236" s="116"/>
      <c r="R236" s="116"/>
      <c r="S236" s="116"/>
      <c r="T236" s="78"/>
      <c r="U236" s="78"/>
      <c r="V236" s="78"/>
      <c r="W236" s="78"/>
    </row>
    <row r="237" ht="15.75" customHeight="1">
      <c r="A237" s="78"/>
      <c r="B237" s="78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7"/>
      <c r="N237" s="118"/>
      <c r="O237" s="118"/>
      <c r="P237" s="118"/>
      <c r="Q237" s="116"/>
      <c r="R237" s="116"/>
      <c r="S237" s="116"/>
      <c r="T237" s="78"/>
      <c r="U237" s="78"/>
      <c r="V237" s="78"/>
      <c r="W237" s="78"/>
    </row>
    <row r="238" ht="15.75" customHeight="1">
      <c r="A238" s="78"/>
      <c r="B238" s="78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7"/>
      <c r="N238" s="118"/>
      <c r="O238" s="118"/>
      <c r="P238" s="118"/>
      <c r="Q238" s="116"/>
      <c r="R238" s="116"/>
      <c r="S238" s="116"/>
      <c r="T238" s="78"/>
      <c r="U238" s="78"/>
      <c r="V238" s="78"/>
      <c r="W238" s="78"/>
    </row>
    <row r="239" ht="15.75" customHeight="1">
      <c r="A239" s="78"/>
      <c r="B239" s="78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7"/>
      <c r="N239" s="118"/>
      <c r="O239" s="118"/>
      <c r="P239" s="118"/>
      <c r="Q239" s="116"/>
      <c r="R239" s="116"/>
      <c r="S239" s="116"/>
      <c r="T239" s="78"/>
      <c r="U239" s="78"/>
      <c r="V239" s="78"/>
      <c r="W239" s="78"/>
    </row>
    <row r="240" ht="15.75" customHeight="1">
      <c r="A240" s="78"/>
      <c r="B240" s="78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7"/>
      <c r="N240" s="118"/>
      <c r="O240" s="118"/>
      <c r="P240" s="118"/>
      <c r="Q240" s="116"/>
      <c r="R240" s="116"/>
      <c r="S240" s="116"/>
      <c r="T240" s="78"/>
      <c r="U240" s="78"/>
      <c r="V240" s="78"/>
      <c r="W240" s="78"/>
    </row>
    <row r="241" ht="15.75" customHeight="1">
      <c r="A241" s="78"/>
      <c r="B241" s="78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7"/>
      <c r="N241" s="118"/>
      <c r="O241" s="118"/>
      <c r="P241" s="118"/>
      <c r="Q241" s="116"/>
      <c r="R241" s="116"/>
      <c r="S241" s="116"/>
      <c r="T241" s="78"/>
      <c r="U241" s="78"/>
      <c r="V241" s="78"/>
      <c r="W241" s="78"/>
    </row>
    <row r="242" ht="15.75" customHeight="1">
      <c r="A242" s="78"/>
      <c r="B242" s="78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7"/>
      <c r="N242" s="118"/>
      <c r="O242" s="118"/>
      <c r="P242" s="118"/>
      <c r="Q242" s="116"/>
      <c r="R242" s="116"/>
      <c r="S242" s="116"/>
      <c r="T242" s="78"/>
      <c r="U242" s="78"/>
      <c r="V242" s="78"/>
      <c r="W242" s="78"/>
    </row>
    <row r="243" ht="15.75" customHeight="1">
      <c r="A243" s="78"/>
      <c r="B243" s="78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7"/>
      <c r="N243" s="118"/>
      <c r="O243" s="118"/>
      <c r="P243" s="118"/>
      <c r="Q243" s="116"/>
      <c r="R243" s="116"/>
      <c r="S243" s="116"/>
      <c r="T243" s="78"/>
      <c r="U243" s="78"/>
      <c r="V243" s="78"/>
      <c r="W243" s="78"/>
    </row>
    <row r="244" ht="15.75" customHeight="1">
      <c r="A244" s="78"/>
      <c r="B244" s="78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7"/>
      <c r="N244" s="118"/>
      <c r="O244" s="118"/>
      <c r="P244" s="118"/>
      <c r="Q244" s="116"/>
      <c r="R244" s="116"/>
      <c r="S244" s="116"/>
      <c r="T244" s="78"/>
      <c r="U244" s="78"/>
      <c r="V244" s="78"/>
      <c r="W244" s="78"/>
    </row>
    <row r="245" ht="15.75" customHeight="1">
      <c r="A245" s="78"/>
      <c r="B245" s="78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7"/>
      <c r="N245" s="118"/>
      <c r="O245" s="118"/>
      <c r="P245" s="118"/>
      <c r="Q245" s="116"/>
      <c r="R245" s="116"/>
      <c r="S245" s="116"/>
      <c r="T245" s="78"/>
      <c r="U245" s="78"/>
      <c r="V245" s="78"/>
      <c r="W245" s="78"/>
    </row>
    <row r="246" ht="15.75" customHeight="1">
      <c r="A246" s="78"/>
      <c r="B246" s="78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7"/>
      <c r="N246" s="118"/>
      <c r="O246" s="118"/>
      <c r="P246" s="118"/>
      <c r="Q246" s="116"/>
      <c r="R246" s="116"/>
      <c r="S246" s="116"/>
      <c r="T246" s="78"/>
      <c r="U246" s="78"/>
      <c r="V246" s="78"/>
      <c r="W246" s="78"/>
    </row>
    <row r="247" ht="15.75" customHeight="1">
      <c r="A247" s="78"/>
      <c r="B247" s="78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7"/>
      <c r="N247" s="118"/>
      <c r="O247" s="118"/>
      <c r="P247" s="118"/>
      <c r="Q247" s="116"/>
      <c r="R247" s="116"/>
      <c r="S247" s="116"/>
      <c r="T247" s="78"/>
      <c r="U247" s="78"/>
      <c r="V247" s="78"/>
      <c r="W247" s="78"/>
    </row>
    <row r="248" ht="15.75" customHeight="1">
      <c r="A248" s="78"/>
      <c r="B248" s="78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7"/>
      <c r="N248" s="118"/>
      <c r="O248" s="118"/>
      <c r="P248" s="118"/>
      <c r="Q248" s="116"/>
      <c r="R248" s="116"/>
      <c r="S248" s="116"/>
      <c r="T248" s="78"/>
      <c r="U248" s="78"/>
      <c r="V248" s="78"/>
      <c r="W248" s="78"/>
    </row>
    <row r="249" ht="15.75" customHeight="1">
      <c r="A249" s="78"/>
      <c r="B249" s="78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7"/>
      <c r="N249" s="118"/>
      <c r="O249" s="118"/>
      <c r="P249" s="118"/>
      <c r="Q249" s="116"/>
      <c r="R249" s="116"/>
      <c r="S249" s="116"/>
      <c r="T249" s="78"/>
      <c r="U249" s="78"/>
      <c r="V249" s="78"/>
      <c r="W249" s="78"/>
    </row>
    <row r="250" ht="15.75" customHeight="1">
      <c r="A250" s="78"/>
      <c r="B250" s="78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7"/>
      <c r="N250" s="118"/>
      <c r="O250" s="118"/>
      <c r="P250" s="118"/>
      <c r="Q250" s="116"/>
      <c r="R250" s="116"/>
      <c r="S250" s="116"/>
      <c r="T250" s="78"/>
      <c r="U250" s="78"/>
      <c r="V250" s="78"/>
      <c r="W250" s="78"/>
    </row>
    <row r="251" ht="15.75" customHeight="1">
      <c r="A251" s="78"/>
      <c r="B251" s="78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7"/>
      <c r="N251" s="118"/>
      <c r="O251" s="118"/>
      <c r="P251" s="118"/>
      <c r="Q251" s="116"/>
      <c r="R251" s="116"/>
      <c r="S251" s="116"/>
      <c r="T251" s="78"/>
      <c r="U251" s="78"/>
      <c r="V251" s="78"/>
      <c r="W251" s="78"/>
    </row>
    <row r="252" ht="15.75" customHeight="1">
      <c r="A252" s="78"/>
      <c r="B252" s="78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7"/>
      <c r="N252" s="118"/>
      <c r="O252" s="118"/>
      <c r="P252" s="118"/>
      <c r="Q252" s="116"/>
      <c r="R252" s="116"/>
      <c r="S252" s="116"/>
      <c r="T252" s="78"/>
      <c r="U252" s="78"/>
      <c r="V252" s="78"/>
      <c r="W252" s="78"/>
    </row>
    <row r="253" ht="15.75" customHeight="1">
      <c r="A253" s="78"/>
      <c r="B253" s="78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7"/>
      <c r="N253" s="118"/>
      <c r="O253" s="118"/>
      <c r="P253" s="118"/>
      <c r="Q253" s="116"/>
      <c r="R253" s="116"/>
      <c r="S253" s="116"/>
      <c r="T253" s="78"/>
      <c r="U253" s="78"/>
      <c r="V253" s="78"/>
      <c r="W253" s="78"/>
    </row>
    <row r="254" ht="15.75" customHeight="1">
      <c r="A254" s="78"/>
      <c r="B254" s="78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7"/>
      <c r="N254" s="118"/>
      <c r="O254" s="118"/>
      <c r="P254" s="118"/>
      <c r="Q254" s="116"/>
      <c r="R254" s="116"/>
      <c r="S254" s="116"/>
      <c r="T254" s="78"/>
      <c r="U254" s="78"/>
      <c r="V254" s="78"/>
      <c r="W254" s="78"/>
    </row>
    <row r="255" ht="15.75" customHeight="1">
      <c r="A255" s="78"/>
      <c r="B255" s="78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7"/>
      <c r="N255" s="118"/>
      <c r="O255" s="118"/>
      <c r="P255" s="118"/>
      <c r="Q255" s="116"/>
      <c r="R255" s="116"/>
      <c r="S255" s="116"/>
      <c r="T255" s="78"/>
      <c r="U255" s="78"/>
      <c r="V255" s="78"/>
      <c r="W255" s="78"/>
    </row>
    <row r="256" ht="15.75" customHeight="1">
      <c r="A256" s="78"/>
      <c r="B256" s="78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7"/>
      <c r="N256" s="118"/>
      <c r="O256" s="118"/>
      <c r="P256" s="118"/>
      <c r="Q256" s="116"/>
      <c r="R256" s="116"/>
      <c r="S256" s="116"/>
      <c r="T256" s="78"/>
      <c r="U256" s="78"/>
      <c r="V256" s="78"/>
      <c r="W256" s="78"/>
    </row>
    <row r="257" ht="15.75" customHeight="1">
      <c r="A257" s="78"/>
      <c r="B257" s="78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7"/>
      <c r="N257" s="118"/>
      <c r="O257" s="118"/>
      <c r="P257" s="118"/>
      <c r="Q257" s="116"/>
      <c r="R257" s="116"/>
      <c r="S257" s="116"/>
      <c r="T257" s="78"/>
      <c r="U257" s="78"/>
      <c r="V257" s="78"/>
      <c r="W257" s="78"/>
    </row>
    <row r="258" ht="15.75" customHeight="1">
      <c r="A258" s="78"/>
      <c r="B258" s="78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7"/>
      <c r="N258" s="118"/>
      <c r="O258" s="118"/>
      <c r="P258" s="118"/>
      <c r="Q258" s="116"/>
      <c r="R258" s="116"/>
      <c r="S258" s="116"/>
      <c r="T258" s="78"/>
      <c r="U258" s="78"/>
      <c r="V258" s="78"/>
      <c r="W258" s="78"/>
    </row>
    <row r="259" ht="15.75" customHeight="1">
      <c r="A259" s="78"/>
      <c r="B259" s="78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7"/>
      <c r="N259" s="118"/>
      <c r="O259" s="118"/>
      <c r="P259" s="118"/>
      <c r="Q259" s="116"/>
      <c r="R259" s="116"/>
      <c r="S259" s="116"/>
      <c r="T259" s="78"/>
      <c r="U259" s="78"/>
      <c r="V259" s="78"/>
      <c r="W259" s="78"/>
    </row>
    <row r="260" ht="15.75" customHeight="1">
      <c r="A260" s="78"/>
      <c r="B260" s="78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7"/>
      <c r="N260" s="118"/>
      <c r="O260" s="118"/>
      <c r="P260" s="118"/>
      <c r="Q260" s="116"/>
      <c r="R260" s="116"/>
      <c r="S260" s="116"/>
      <c r="T260" s="78"/>
      <c r="U260" s="78"/>
      <c r="V260" s="78"/>
      <c r="W260" s="78"/>
    </row>
    <row r="261" ht="15.75" customHeight="1">
      <c r="A261" s="78"/>
      <c r="B261" s="78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7"/>
      <c r="N261" s="118"/>
      <c r="O261" s="118"/>
      <c r="P261" s="118"/>
      <c r="Q261" s="116"/>
      <c r="R261" s="116"/>
      <c r="S261" s="116"/>
      <c r="T261" s="78"/>
      <c r="U261" s="78"/>
      <c r="V261" s="78"/>
      <c r="W261" s="78"/>
    </row>
    <row r="262" ht="15.75" customHeight="1">
      <c r="A262" s="78"/>
      <c r="B262" s="78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7"/>
      <c r="N262" s="118"/>
      <c r="O262" s="118"/>
      <c r="P262" s="118"/>
      <c r="Q262" s="116"/>
      <c r="R262" s="116"/>
      <c r="S262" s="116"/>
      <c r="T262" s="78"/>
      <c r="U262" s="78"/>
      <c r="V262" s="78"/>
      <c r="W262" s="78"/>
    </row>
    <row r="263" ht="15.75" customHeight="1">
      <c r="A263" s="78"/>
      <c r="B263" s="78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7"/>
      <c r="N263" s="118"/>
      <c r="O263" s="118"/>
      <c r="P263" s="118"/>
      <c r="Q263" s="116"/>
      <c r="R263" s="116"/>
      <c r="S263" s="116"/>
      <c r="T263" s="78"/>
      <c r="U263" s="78"/>
      <c r="V263" s="78"/>
      <c r="W263" s="78"/>
    </row>
    <row r="264" ht="15.75" customHeight="1">
      <c r="A264" s="78"/>
      <c r="B264" s="78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7"/>
      <c r="N264" s="118"/>
      <c r="O264" s="118"/>
      <c r="P264" s="118"/>
      <c r="Q264" s="116"/>
      <c r="R264" s="116"/>
      <c r="S264" s="116"/>
      <c r="T264" s="78"/>
      <c r="U264" s="78"/>
      <c r="V264" s="78"/>
      <c r="W264" s="78"/>
    </row>
    <row r="265" ht="15.75" customHeight="1">
      <c r="A265" s="78"/>
      <c r="B265" s="78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7"/>
      <c r="N265" s="118"/>
      <c r="O265" s="118"/>
      <c r="P265" s="118"/>
      <c r="Q265" s="116"/>
      <c r="R265" s="116"/>
      <c r="S265" s="116"/>
      <c r="T265" s="78"/>
      <c r="U265" s="78"/>
      <c r="V265" s="78"/>
      <c r="W265" s="78"/>
    </row>
    <row r="266" ht="15.75" customHeight="1">
      <c r="A266" s="78"/>
      <c r="B266" s="78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7"/>
      <c r="N266" s="118"/>
      <c r="O266" s="118"/>
      <c r="P266" s="118"/>
      <c r="Q266" s="116"/>
      <c r="R266" s="116"/>
      <c r="S266" s="116"/>
      <c r="T266" s="78"/>
      <c r="U266" s="78"/>
      <c r="V266" s="78"/>
      <c r="W266" s="78"/>
    </row>
    <row r="267" ht="15.75" customHeight="1">
      <c r="A267" s="78"/>
      <c r="B267" s="78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7"/>
      <c r="N267" s="118"/>
      <c r="O267" s="118"/>
      <c r="P267" s="118"/>
      <c r="Q267" s="116"/>
      <c r="R267" s="116"/>
      <c r="S267" s="116"/>
      <c r="T267" s="78"/>
      <c r="U267" s="78"/>
      <c r="V267" s="78"/>
      <c r="W267" s="78"/>
    </row>
    <row r="268" ht="15.75" customHeight="1">
      <c r="A268" s="78"/>
      <c r="B268" s="78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7"/>
      <c r="N268" s="118"/>
      <c r="O268" s="118"/>
      <c r="P268" s="118"/>
      <c r="Q268" s="116"/>
      <c r="R268" s="116"/>
      <c r="S268" s="116"/>
      <c r="T268" s="78"/>
      <c r="U268" s="78"/>
      <c r="V268" s="78"/>
      <c r="W268" s="78"/>
    </row>
    <row r="269" ht="15.75" customHeight="1">
      <c r="A269" s="78"/>
      <c r="B269" s="78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7"/>
      <c r="N269" s="118"/>
      <c r="O269" s="118"/>
      <c r="P269" s="118"/>
      <c r="Q269" s="116"/>
      <c r="R269" s="116"/>
      <c r="S269" s="116"/>
      <c r="T269" s="78"/>
      <c r="U269" s="78"/>
      <c r="V269" s="78"/>
      <c r="W269" s="78"/>
    </row>
    <row r="270" ht="15.75" customHeight="1">
      <c r="A270" s="78"/>
      <c r="B270" s="78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7"/>
      <c r="N270" s="118"/>
      <c r="O270" s="118"/>
      <c r="P270" s="118"/>
      <c r="Q270" s="116"/>
      <c r="R270" s="116"/>
      <c r="S270" s="116"/>
      <c r="T270" s="78"/>
      <c r="U270" s="78"/>
      <c r="V270" s="78"/>
      <c r="W270" s="78"/>
    </row>
    <row r="271" ht="15.75" customHeight="1">
      <c r="A271" s="78"/>
      <c r="B271" s="78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7"/>
      <c r="N271" s="118"/>
      <c r="O271" s="118"/>
      <c r="P271" s="118"/>
      <c r="Q271" s="116"/>
      <c r="R271" s="116"/>
      <c r="S271" s="116"/>
      <c r="T271" s="78"/>
      <c r="U271" s="78"/>
      <c r="V271" s="78"/>
      <c r="W271" s="78"/>
    </row>
    <row r="272" ht="15.75" customHeight="1">
      <c r="A272" s="78"/>
      <c r="B272" s="78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7"/>
      <c r="N272" s="118"/>
      <c r="O272" s="118"/>
      <c r="P272" s="118"/>
      <c r="Q272" s="116"/>
      <c r="R272" s="116"/>
      <c r="S272" s="116"/>
      <c r="T272" s="78"/>
      <c r="U272" s="78"/>
      <c r="V272" s="78"/>
      <c r="W272" s="78"/>
    </row>
    <row r="273" ht="15.75" customHeight="1">
      <c r="A273" s="78"/>
      <c r="B273" s="78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7"/>
      <c r="N273" s="118"/>
      <c r="O273" s="118"/>
      <c r="P273" s="118"/>
      <c r="Q273" s="116"/>
      <c r="R273" s="116"/>
      <c r="S273" s="116"/>
      <c r="T273" s="78"/>
      <c r="U273" s="78"/>
      <c r="V273" s="78"/>
      <c r="W273" s="78"/>
    </row>
    <row r="274" ht="15.75" customHeight="1">
      <c r="A274" s="78"/>
      <c r="B274" s="78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7"/>
      <c r="N274" s="118"/>
      <c r="O274" s="118"/>
      <c r="P274" s="118"/>
      <c r="Q274" s="116"/>
      <c r="R274" s="116"/>
      <c r="S274" s="116"/>
      <c r="T274" s="78"/>
      <c r="U274" s="78"/>
      <c r="V274" s="78"/>
      <c r="W274" s="78"/>
    </row>
    <row r="275" ht="15.75" customHeight="1">
      <c r="A275" s="78"/>
      <c r="B275" s="78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7"/>
      <c r="N275" s="118"/>
      <c r="O275" s="118"/>
      <c r="P275" s="118"/>
      <c r="Q275" s="116"/>
      <c r="R275" s="116"/>
      <c r="S275" s="116"/>
      <c r="T275" s="78"/>
      <c r="U275" s="78"/>
      <c r="V275" s="78"/>
      <c r="W275" s="78"/>
    </row>
    <row r="276" ht="15.75" customHeight="1">
      <c r="A276" s="78"/>
      <c r="B276" s="78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7"/>
      <c r="N276" s="118"/>
      <c r="O276" s="118"/>
      <c r="P276" s="118"/>
      <c r="Q276" s="116"/>
      <c r="R276" s="116"/>
      <c r="S276" s="116"/>
      <c r="T276" s="78"/>
      <c r="U276" s="78"/>
      <c r="V276" s="78"/>
      <c r="W276" s="78"/>
    </row>
    <row r="277" ht="15.75" customHeight="1">
      <c r="A277" s="78"/>
      <c r="B277" s="78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7"/>
      <c r="N277" s="118"/>
      <c r="O277" s="118"/>
      <c r="P277" s="118"/>
      <c r="Q277" s="116"/>
      <c r="R277" s="116"/>
      <c r="S277" s="116"/>
      <c r="T277" s="78"/>
      <c r="U277" s="78"/>
      <c r="V277" s="78"/>
      <c r="W277" s="78"/>
    </row>
    <row r="278" ht="15.75" customHeight="1">
      <c r="A278" s="78"/>
      <c r="B278" s="78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7"/>
      <c r="N278" s="118"/>
      <c r="O278" s="118"/>
      <c r="P278" s="118"/>
      <c r="Q278" s="116"/>
      <c r="R278" s="116"/>
      <c r="S278" s="116"/>
      <c r="T278" s="78"/>
      <c r="U278" s="78"/>
      <c r="V278" s="78"/>
      <c r="W278" s="78"/>
    </row>
    <row r="279" ht="15.75" customHeight="1">
      <c r="A279" s="78"/>
      <c r="B279" s="78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7"/>
      <c r="N279" s="118"/>
      <c r="O279" s="118"/>
      <c r="P279" s="118"/>
      <c r="Q279" s="116"/>
      <c r="R279" s="116"/>
      <c r="S279" s="116"/>
      <c r="T279" s="78"/>
      <c r="U279" s="78"/>
      <c r="V279" s="78"/>
      <c r="W279" s="78"/>
    </row>
    <row r="280" ht="15.75" customHeight="1">
      <c r="A280" s="78"/>
      <c r="B280" s="78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7"/>
      <c r="N280" s="118"/>
      <c r="O280" s="118"/>
      <c r="P280" s="118"/>
      <c r="Q280" s="116"/>
      <c r="R280" s="116"/>
      <c r="S280" s="116"/>
      <c r="T280" s="78"/>
      <c r="U280" s="78"/>
      <c r="V280" s="78"/>
      <c r="W280" s="78"/>
    </row>
    <row r="281" ht="15.75" customHeight="1">
      <c r="A281" s="78"/>
      <c r="B281" s="78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7"/>
      <c r="N281" s="118"/>
      <c r="O281" s="118"/>
      <c r="P281" s="118"/>
      <c r="Q281" s="116"/>
      <c r="R281" s="116"/>
      <c r="S281" s="116"/>
      <c r="T281" s="78"/>
      <c r="U281" s="78"/>
      <c r="V281" s="78"/>
      <c r="W281" s="78"/>
    </row>
    <row r="282" ht="15.75" customHeight="1">
      <c r="A282" s="78"/>
      <c r="B282" s="78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7"/>
      <c r="N282" s="118"/>
      <c r="O282" s="118"/>
      <c r="P282" s="118"/>
      <c r="Q282" s="116"/>
      <c r="R282" s="116"/>
      <c r="S282" s="116"/>
      <c r="T282" s="78"/>
      <c r="U282" s="78"/>
      <c r="V282" s="78"/>
      <c r="W282" s="78"/>
    </row>
    <row r="283" ht="15.75" customHeight="1">
      <c r="A283" s="78"/>
      <c r="B283" s="78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7"/>
      <c r="N283" s="118"/>
      <c r="O283" s="118"/>
      <c r="P283" s="118"/>
      <c r="Q283" s="116"/>
      <c r="R283" s="116"/>
      <c r="S283" s="116"/>
      <c r="T283" s="78"/>
      <c r="U283" s="78"/>
      <c r="V283" s="78"/>
      <c r="W283" s="78"/>
    </row>
    <row r="284" ht="15.75" customHeight="1">
      <c r="A284" s="78"/>
      <c r="B284" s="78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7"/>
      <c r="N284" s="118"/>
      <c r="O284" s="118"/>
      <c r="P284" s="118"/>
      <c r="Q284" s="116"/>
      <c r="R284" s="116"/>
      <c r="S284" s="116"/>
      <c r="T284" s="78"/>
      <c r="U284" s="78"/>
      <c r="V284" s="78"/>
      <c r="W284" s="78"/>
    </row>
    <row r="285" ht="15.75" customHeight="1">
      <c r="A285" s="78"/>
      <c r="B285" s="78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7"/>
      <c r="N285" s="118"/>
      <c r="O285" s="118"/>
      <c r="P285" s="118"/>
      <c r="Q285" s="116"/>
      <c r="R285" s="116"/>
      <c r="S285" s="116"/>
      <c r="T285" s="78"/>
      <c r="U285" s="78"/>
      <c r="V285" s="78"/>
      <c r="W285" s="78"/>
    </row>
    <row r="286" ht="15.75" customHeight="1">
      <c r="A286" s="78"/>
      <c r="B286" s="78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7"/>
      <c r="N286" s="118"/>
      <c r="O286" s="118"/>
      <c r="P286" s="118"/>
      <c r="Q286" s="116"/>
      <c r="R286" s="116"/>
      <c r="S286" s="116"/>
      <c r="T286" s="78"/>
      <c r="U286" s="78"/>
      <c r="V286" s="78"/>
      <c r="W286" s="78"/>
    </row>
    <row r="287" ht="15.75" customHeight="1">
      <c r="A287" s="78"/>
      <c r="B287" s="78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7"/>
      <c r="N287" s="118"/>
      <c r="O287" s="118"/>
      <c r="P287" s="118"/>
      <c r="Q287" s="116"/>
      <c r="R287" s="116"/>
      <c r="S287" s="116"/>
      <c r="T287" s="78"/>
      <c r="U287" s="78"/>
      <c r="V287" s="78"/>
      <c r="W287" s="78"/>
    </row>
    <row r="288" ht="15.75" customHeight="1">
      <c r="A288" s="78"/>
      <c r="B288" s="78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7"/>
      <c r="N288" s="118"/>
      <c r="O288" s="118"/>
      <c r="P288" s="118"/>
      <c r="Q288" s="116"/>
      <c r="R288" s="116"/>
      <c r="S288" s="116"/>
      <c r="T288" s="78"/>
      <c r="U288" s="78"/>
      <c r="V288" s="78"/>
      <c r="W288" s="78"/>
    </row>
    <row r="289" ht="15.75" customHeight="1">
      <c r="A289" s="78"/>
      <c r="B289" s="78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7"/>
      <c r="N289" s="118"/>
      <c r="O289" s="118"/>
      <c r="P289" s="118"/>
      <c r="Q289" s="116"/>
      <c r="R289" s="116"/>
      <c r="S289" s="116"/>
      <c r="T289" s="78"/>
      <c r="U289" s="78"/>
      <c r="V289" s="78"/>
      <c r="W289" s="78"/>
    </row>
    <row r="290" ht="15.75" customHeight="1">
      <c r="A290" s="78"/>
      <c r="B290" s="78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7"/>
      <c r="N290" s="118"/>
      <c r="O290" s="118"/>
      <c r="P290" s="118"/>
      <c r="Q290" s="116"/>
      <c r="R290" s="116"/>
      <c r="S290" s="116"/>
      <c r="T290" s="78"/>
      <c r="U290" s="78"/>
      <c r="V290" s="78"/>
      <c r="W290" s="78"/>
    </row>
    <row r="291" ht="15.75" customHeight="1">
      <c r="A291" s="78"/>
      <c r="B291" s="78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7"/>
      <c r="N291" s="118"/>
      <c r="O291" s="118"/>
      <c r="P291" s="118"/>
      <c r="Q291" s="116"/>
      <c r="R291" s="116"/>
      <c r="S291" s="116"/>
      <c r="T291" s="78"/>
      <c r="U291" s="78"/>
      <c r="V291" s="78"/>
      <c r="W291" s="78"/>
    </row>
    <row r="292" ht="15.75" customHeight="1">
      <c r="A292" s="78"/>
      <c r="B292" s="78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7"/>
      <c r="N292" s="118"/>
      <c r="O292" s="118"/>
      <c r="P292" s="118"/>
      <c r="Q292" s="116"/>
      <c r="R292" s="116"/>
      <c r="S292" s="116"/>
      <c r="T292" s="78"/>
      <c r="U292" s="78"/>
      <c r="V292" s="78"/>
      <c r="W292" s="78"/>
    </row>
    <row r="293" ht="15.75" customHeight="1">
      <c r="A293" s="78"/>
      <c r="B293" s="78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7"/>
      <c r="N293" s="118"/>
      <c r="O293" s="118"/>
      <c r="P293" s="118"/>
      <c r="Q293" s="116"/>
      <c r="R293" s="116"/>
      <c r="S293" s="116"/>
      <c r="T293" s="78"/>
      <c r="U293" s="78"/>
      <c r="V293" s="78"/>
      <c r="W293" s="78"/>
    </row>
    <row r="294" ht="15.75" customHeight="1">
      <c r="A294" s="78"/>
      <c r="B294" s="78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7"/>
      <c r="N294" s="118"/>
      <c r="O294" s="118"/>
      <c r="P294" s="118"/>
      <c r="Q294" s="116"/>
      <c r="R294" s="116"/>
      <c r="S294" s="116"/>
      <c r="T294" s="78"/>
      <c r="U294" s="78"/>
      <c r="V294" s="78"/>
      <c r="W294" s="78"/>
    </row>
    <row r="295" ht="15.75" customHeight="1">
      <c r="A295" s="78"/>
      <c r="B295" s="78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7"/>
      <c r="N295" s="118"/>
      <c r="O295" s="118"/>
      <c r="P295" s="118"/>
      <c r="Q295" s="116"/>
      <c r="R295" s="116"/>
      <c r="S295" s="116"/>
      <c r="T295" s="78"/>
      <c r="U295" s="78"/>
      <c r="V295" s="78"/>
      <c r="W295" s="78"/>
    </row>
    <row r="296" ht="15.75" customHeight="1">
      <c r="A296" s="78"/>
      <c r="B296" s="78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7"/>
      <c r="N296" s="118"/>
      <c r="O296" s="118"/>
      <c r="P296" s="118"/>
      <c r="Q296" s="116"/>
      <c r="R296" s="116"/>
      <c r="S296" s="116"/>
      <c r="T296" s="78"/>
      <c r="U296" s="78"/>
      <c r="V296" s="78"/>
      <c r="W296" s="78"/>
    </row>
    <row r="297" ht="15.75" customHeight="1">
      <c r="A297" s="78"/>
      <c r="B297" s="78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7"/>
      <c r="N297" s="118"/>
      <c r="O297" s="118"/>
      <c r="P297" s="118"/>
      <c r="Q297" s="116"/>
      <c r="R297" s="116"/>
      <c r="S297" s="116"/>
      <c r="T297" s="78"/>
      <c r="U297" s="78"/>
      <c r="V297" s="78"/>
      <c r="W297" s="78"/>
    </row>
    <row r="298" ht="15.75" customHeight="1">
      <c r="A298" s="78"/>
      <c r="B298" s="78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7"/>
      <c r="N298" s="118"/>
      <c r="O298" s="118"/>
      <c r="P298" s="118"/>
      <c r="Q298" s="116"/>
      <c r="R298" s="116"/>
      <c r="S298" s="116"/>
      <c r="T298" s="78"/>
      <c r="U298" s="78"/>
      <c r="V298" s="78"/>
      <c r="W298" s="78"/>
    </row>
    <row r="299" ht="15.75" customHeight="1">
      <c r="A299" s="78"/>
      <c r="B299" s="78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7"/>
      <c r="N299" s="118"/>
      <c r="O299" s="118"/>
      <c r="P299" s="118"/>
      <c r="Q299" s="116"/>
      <c r="R299" s="116"/>
      <c r="S299" s="116"/>
      <c r="T299" s="78"/>
      <c r="U299" s="78"/>
      <c r="V299" s="78"/>
      <c r="W299" s="78"/>
    </row>
    <row r="300" ht="15.75" customHeight="1">
      <c r="A300" s="78"/>
      <c r="B300" s="78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7"/>
      <c r="N300" s="118"/>
      <c r="O300" s="118"/>
      <c r="P300" s="118"/>
      <c r="Q300" s="116"/>
      <c r="R300" s="116"/>
      <c r="S300" s="116"/>
      <c r="T300" s="78"/>
      <c r="U300" s="78"/>
      <c r="V300" s="78"/>
      <c r="W300" s="78"/>
    </row>
    <row r="301" ht="15.75" customHeight="1">
      <c r="A301" s="78"/>
      <c r="B301" s="78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7"/>
      <c r="N301" s="118"/>
      <c r="O301" s="118"/>
      <c r="P301" s="118"/>
      <c r="Q301" s="116"/>
      <c r="R301" s="116"/>
      <c r="S301" s="116"/>
      <c r="T301" s="78"/>
      <c r="U301" s="78"/>
      <c r="V301" s="78"/>
      <c r="W301" s="78"/>
    </row>
    <row r="302" ht="15.75" customHeight="1">
      <c r="A302" s="78"/>
      <c r="B302" s="78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7"/>
      <c r="N302" s="118"/>
      <c r="O302" s="118"/>
      <c r="P302" s="118"/>
      <c r="Q302" s="116"/>
      <c r="R302" s="116"/>
      <c r="S302" s="116"/>
      <c r="T302" s="78"/>
      <c r="U302" s="78"/>
      <c r="V302" s="78"/>
      <c r="W302" s="78"/>
    </row>
    <row r="303" ht="15.75" customHeight="1">
      <c r="A303" s="78"/>
      <c r="B303" s="78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7"/>
      <c r="N303" s="118"/>
      <c r="O303" s="118"/>
      <c r="P303" s="118"/>
      <c r="Q303" s="116"/>
      <c r="R303" s="116"/>
      <c r="S303" s="116"/>
      <c r="T303" s="78"/>
      <c r="U303" s="78"/>
      <c r="V303" s="78"/>
      <c r="W303" s="78"/>
    </row>
    <row r="304" ht="15.75" customHeight="1">
      <c r="A304" s="78"/>
      <c r="B304" s="78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7"/>
      <c r="N304" s="118"/>
      <c r="O304" s="118"/>
      <c r="P304" s="118"/>
      <c r="Q304" s="116"/>
      <c r="R304" s="116"/>
      <c r="S304" s="116"/>
      <c r="T304" s="78"/>
      <c r="U304" s="78"/>
      <c r="V304" s="78"/>
      <c r="W304" s="78"/>
    </row>
    <row r="305" ht="15.75" customHeight="1">
      <c r="A305" s="78"/>
      <c r="B305" s="78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7"/>
      <c r="N305" s="118"/>
      <c r="O305" s="118"/>
      <c r="P305" s="118"/>
      <c r="Q305" s="116"/>
      <c r="R305" s="116"/>
      <c r="S305" s="116"/>
      <c r="T305" s="78"/>
      <c r="U305" s="78"/>
      <c r="V305" s="78"/>
      <c r="W305" s="78"/>
    </row>
    <row r="306" ht="15.75" customHeight="1">
      <c r="A306" s="78"/>
      <c r="B306" s="78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7"/>
      <c r="N306" s="118"/>
      <c r="O306" s="118"/>
      <c r="P306" s="118"/>
      <c r="Q306" s="116"/>
      <c r="R306" s="116"/>
      <c r="S306" s="116"/>
      <c r="T306" s="78"/>
      <c r="U306" s="78"/>
      <c r="V306" s="78"/>
      <c r="W306" s="78"/>
    </row>
    <row r="307" ht="15.75" customHeight="1">
      <c r="A307" s="78"/>
      <c r="B307" s="78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7"/>
      <c r="N307" s="118"/>
      <c r="O307" s="118"/>
      <c r="P307" s="118"/>
      <c r="Q307" s="116"/>
      <c r="R307" s="116"/>
      <c r="S307" s="116"/>
      <c r="T307" s="78"/>
      <c r="U307" s="78"/>
      <c r="V307" s="78"/>
      <c r="W307" s="78"/>
    </row>
    <row r="308" ht="15.75" customHeight="1">
      <c r="A308" s="78"/>
      <c r="B308" s="78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7"/>
      <c r="N308" s="118"/>
      <c r="O308" s="118"/>
      <c r="P308" s="118"/>
      <c r="Q308" s="116"/>
      <c r="R308" s="116"/>
      <c r="S308" s="116"/>
      <c r="T308" s="78"/>
      <c r="U308" s="78"/>
      <c r="V308" s="78"/>
      <c r="W308" s="78"/>
    </row>
    <row r="309" ht="15.75" customHeight="1">
      <c r="A309" s="78"/>
      <c r="B309" s="78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7"/>
      <c r="N309" s="118"/>
      <c r="O309" s="118"/>
      <c r="P309" s="118"/>
      <c r="Q309" s="116"/>
      <c r="R309" s="116"/>
      <c r="S309" s="116"/>
      <c r="T309" s="78"/>
      <c r="U309" s="78"/>
      <c r="V309" s="78"/>
      <c r="W309" s="78"/>
    </row>
    <row r="310" ht="15.75" customHeight="1">
      <c r="A310" s="78"/>
      <c r="B310" s="78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7"/>
      <c r="N310" s="118"/>
      <c r="O310" s="118"/>
      <c r="P310" s="118"/>
      <c r="Q310" s="116"/>
      <c r="R310" s="116"/>
      <c r="S310" s="116"/>
      <c r="T310" s="78"/>
      <c r="U310" s="78"/>
      <c r="V310" s="78"/>
      <c r="W310" s="78"/>
    </row>
    <row r="311" ht="15.75" customHeight="1">
      <c r="A311" s="78"/>
      <c r="B311" s="78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7"/>
      <c r="N311" s="118"/>
      <c r="O311" s="118"/>
      <c r="P311" s="118"/>
      <c r="Q311" s="116"/>
      <c r="R311" s="116"/>
      <c r="S311" s="116"/>
      <c r="T311" s="78"/>
      <c r="U311" s="78"/>
      <c r="V311" s="78"/>
      <c r="W311" s="78"/>
    </row>
    <row r="312" ht="15.75" customHeight="1">
      <c r="A312" s="78"/>
      <c r="B312" s="78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7"/>
      <c r="N312" s="118"/>
      <c r="O312" s="118"/>
      <c r="P312" s="118"/>
      <c r="Q312" s="116"/>
      <c r="R312" s="116"/>
      <c r="S312" s="116"/>
      <c r="T312" s="78"/>
      <c r="U312" s="78"/>
      <c r="V312" s="78"/>
      <c r="W312" s="78"/>
    </row>
    <row r="313" ht="15.75" customHeight="1">
      <c r="A313" s="78"/>
      <c r="B313" s="78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7"/>
      <c r="N313" s="118"/>
      <c r="O313" s="118"/>
      <c r="P313" s="118"/>
      <c r="Q313" s="116"/>
      <c r="R313" s="116"/>
      <c r="S313" s="116"/>
      <c r="T313" s="78"/>
      <c r="U313" s="78"/>
      <c r="V313" s="78"/>
      <c r="W313" s="78"/>
    </row>
    <row r="314" ht="15.75" customHeight="1">
      <c r="A314" s="78"/>
      <c r="B314" s="78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7"/>
      <c r="N314" s="118"/>
      <c r="O314" s="118"/>
      <c r="P314" s="118"/>
      <c r="Q314" s="116"/>
      <c r="R314" s="116"/>
      <c r="S314" s="116"/>
      <c r="T314" s="78"/>
      <c r="U314" s="78"/>
      <c r="V314" s="78"/>
      <c r="W314" s="78"/>
    </row>
    <row r="315" ht="15.75" customHeight="1">
      <c r="A315" s="78"/>
      <c r="B315" s="78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7"/>
      <c r="N315" s="118"/>
      <c r="O315" s="118"/>
      <c r="P315" s="118"/>
      <c r="Q315" s="116"/>
      <c r="R315" s="116"/>
      <c r="S315" s="116"/>
      <c r="T315" s="78"/>
      <c r="U315" s="78"/>
      <c r="V315" s="78"/>
      <c r="W315" s="78"/>
    </row>
    <row r="316" ht="15.75" customHeight="1">
      <c r="A316" s="78"/>
      <c r="B316" s="78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7"/>
      <c r="N316" s="118"/>
      <c r="O316" s="118"/>
      <c r="P316" s="118"/>
      <c r="Q316" s="116"/>
      <c r="R316" s="116"/>
      <c r="S316" s="116"/>
      <c r="T316" s="78"/>
      <c r="U316" s="78"/>
      <c r="V316" s="78"/>
      <c r="W316" s="78"/>
    </row>
    <row r="317" ht="15.75" customHeight="1">
      <c r="A317" s="78"/>
      <c r="B317" s="78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7"/>
      <c r="N317" s="118"/>
      <c r="O317" s="118"/>
      <c r="P317" s="118"/>
      <c r="Q317" s="116"/>
      <c r="R317" s="116"/>
      <c r="S317" s="116"/>
      <c r="T317" s="78"/>
      <c r="U317" s="78"/>
      <c r="V317" s="78"/>
      <c r="W317" s="78"/>
    </row>
    <row r="318" ht="15.75" customHeight="1">
      <c r="A318" s="78"/>
      <c r="B318" s="78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7"/>
      <c r="N318" s="118"/>
      <c r="O318" s="118"/>
      <c r="P318" s="118"/>
      <c r="Q318" s="116"/>
      <c r="R318" s="116"/>
      <c r="S318" s="116"/>
      <c r="T318" s="78"/>
      <c r="U318" s="78"/>
      <c r="V318" s="78"/>
      <c r="W318" s="78"/>
    </row>
    <row r="319" ht="15.75" customHeight="1">
      <c r="A319" s="78"/>
      <c r="B319" s="78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7"/>
      <c r="N319" s="118"/>
      <c r="O319" s="118"/>
      <c r="P319" s="118"/>
      <c r="Q319" s="116"/>
      <c r="R319" s="116"/>
      <c r="S319" s="116"/>
      <c r="T319" s="78"/>
      <c r="U319" s="78"/>
      <c r="V319" s="78"/>
      <c r="W319" s="78"/>
    </row>
    <row r="320" ht="15.75" customHeight="1">
      <c r="A320" s="78"/>
      <c r="B320" s="78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7"/>
      <c r="N320" s="118"/>
      <c r="O320" s="118"/>
      <c r="P320" s="118"/>
      <c r="Q320" s="116"/>
      <c r="R320" s="116"/>
      <c r="S320" s="116"/>
      <c r="T320" s="78"/>
      <c r="U320" s="78"/>
      <c r="V320" s="78"/>
      <c r="W320" s="78"/>
    </row>
    <row r="321" ht="15.75" customHeight="1">
      <c r="A321" s="78"/>
      <c r="B321" s="78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7"/>
      <c r="N321" s="118"/>
      <c r="O321" s="118"/>
      <c r="P321" s="118"/>
      <c r="Q321" s="116"/>
      <c r="R321" s="116"/>
      <c r="S321" s="116"/>
      <c r="T321" s="78"/>
      <c r="U321" s="78"/>
      <c r="V321" s="78"/>
      <c r="W321" s="78"/>
    </row>
    <row r="322" ht="15.75" customHeight="1">
      <c r="A322" s="78"/>
      <c r="B322" s="78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7"/>
      <c r="N322" s="118"/>
      <c r="O322" s="118"/>
      <c r="P322" s="118"/>
      <c r="Q322" s="116"/>
      <c r="R322" s="116"/>
      <c r="S322" s="116"/>
      <c r="T322" s="78"/>
      <c r="U322" s="78"/>
      <c r="V322" s="78"/>
      <c r="W322" s="78"/>
    </row>
    <row r="323" ht="15.75" customHeight="1">
      <c r="A323" s="78"/>
      <c r="B323" s="78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7"/>
      <c r="N323" s="118"/>
      <c r="O323" s="118"/>
      <c r="P323" s="118"/>
      <c r="Q323" s="116"/>
      <c r="R323" s="116"/>
      <c r="S323" s="116"/>
      <c r="T323" s="78"/>
      <c r="U323" s="78"/>
      <c r="V323" s="78"/>
      <c r="W323" s="78"/>
    </row>
    <row r="324" ht="15.75" customHeight="1">
      <c r="A324" s="78"/>
      <c r="B324" s="78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7"/>
      <c r="N324" s="118"/>
      <c r="O324" s="118"/>
      <c r="P324" s="118"/>
      <c r="Q324" s="116"/>
      <c r="R324" s="116"/>
      <c r="S324" s="116"/>
      <c r="T324" s="78"/>
      <c r="U324" s="78"/>
      <c r="V324" s="78"/>
      <c r="W324" s="78"/>
    </row>
    <row r="325" ht="15.75" customHeight="1">
      <c r="A325" s="78"/>
      <c r="B325" s="78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7"/>
      <c r="N325" s="118"/>
      <c r="O325" s="118"/>
      <c r="P325" s="118"/>
      <c r="Q325" s="116"/>
      <c r="R325" s="116"/>
      <c r="S325" s="116"/>
      <c r="T325" s="78"/>
      <c r="U325" s="78"/>
      <c r="V325" s="78"/>
      <c r="W325" s="78"/>
    </row>
    <row r="326" ht="15.75" customHeight="1">
      <c r="A326" s="78"/>
      <c r="B326" s="78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7"/>
      <c r="N326" s="118"/>
      <c r="O326" s="118"/>
      <c r="P326" s="118"/>
      <c r="Q326" s="116"/>
      <c r="R326" s="116"/>
      <c r="S326" s="116"/>
      <c r="T326" s="78"/>
      <c r="U326" s="78"/>
      <c r="V326" s="78"/>
      <c r="W326" s="78"/>
    </row>
    <row r="327" ht="15.75" customHeight="1">
      <c r="A327" s="78"/>
      <c r="B327" s="78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7"/>
      <c r="N327" s="118"/>
      <c r="O327" s="118"/>
      <c r="P327" s="118"/>
      <c r="Q327" s="116"/>
      <c r="R327" s="116"/>
      <c r="S327" s="116"/>
      <c r="T327" s="78"/>
      <c r="U327" s="78"/>
      <c r="V327" s="78"/>
      <c r="W327" s="78"/>
    </row>
    <row r="328" ht="15.75" customHeight="1">
      <c r="A328" s="78"/>
      <c r="B328" s="78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7"/>
      <c r="N328" s="118"/>
      <c r="O328" s="118"/>
      <c r="P328" s="118"/>
      <c r="Q328" s="116"/>
      <c r="R328" s="116"/>
      <c r="S328" s="116"/>
      <c r="T328" s="78"/>
      <c r="U328" s="78"/>
      <c r="V328" s="78"/>
      <c r="W328" s="78"/>
    </row>
    <row r="329" ht="15.75" customHeight="1">
      <c r="A329" s="78"/>
      <c r="B329" s="78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7"/>
      <c r="N329" s="118"/>
      <c r="O329" s="118"/>
      <c r="P329" s="118"/>
      <c r="Q329" s="116"/>
      <c r="R329" s="116"/>
      <c r="S329" s="116"/>
      <c r="T329" s="78"/>
      <c r="U329" s="78"/>
      <c r="V329" s="78"/>
      <c r="W329" s="78"/>
    </row>
    <row r="330" ht="15.75" customHeight="1">
      <c r="A330" s="78"/>
      <c r="B330" s="78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7"/>
      <c r="N330" s="118"/>
      <c r="O330" s="118"/>
      <c r="P330" s="118"/>
      <c r="Q330" s="116"/>
      <c r="R330" s="116"/>
      <c r="S330" s="116"/>
      <c r="T330" s="78"/>
      <c r="U330" s="78"/>
      <c r="V330" s="78"/>
      <c r="W330" s="78"/>
    </row>
    <row r="331" ht="15.75" customHeight="1">
      <c r="A331" s="78"/>
      <c r="B331" s="78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7"/>
      <c r="N331" s="118"/>
      <c r="O331" s="118"/>
      <c r="P331" s="118"/>
      <c r="Q331" s="116"/>
      <c r="R331" s="116"/>
      <c r="S331" s="116"/>
      <c r="T331" s="78"/>
      <c r="U331" s="78"/>
      <c r="V331" s="78"/>
      <c r="W331" s="78"/>
    </row>
    <row r="332" ht="15.75" customHeight="1">
      <c r="A332" s="78"/>
      <c r="B332" s="78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7"/>
      <c r="N332" s="118"/>
      <c r="O332" s="118"/>
      <c r="P332" s="118"/>
      <c r="Q332" s="116"/>
      <c r="R332" s="116"/>
      <c r="S332" s="116"/>
      <c r="T332" s="78"/>
      <c r="U332" s="78"/>
      <c r="V332" s="78"/>
      <c r="W332" s="78"/>
    </row>
    <row r="333" ht="15.75" customHeight="1">
      <c r="A333" s="78"/>
      <c r="B333" s="78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7"/>
      <c r="N333" s="118"/>
      <c r="O333" s="118"/>
      <c r="P333" s="118"/>
      <c r="Q333" s="116"/>
      <c r="R333" s="116"/>
      <c r="S333" s="116"/>
      <c r="T333" s="78"/>
      <c r="U333" s="78"/>
      <c r="V333" s="78"/>
      <c r="W333" s="78"/>
    </row>
    <row r="334" ht="15.75" customHeight="1">
      <c r="A334" s="78"/>
      <c r="B334" s="78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7"/>
      <c r="N334" s="118"/>
      <c r="O334" s="118"/>
      <c r="P334" s="118"/>
      <c r="Q334" s="116"/>
      <c r="R334" s="116"/>
      <c r="S334" s="116"/>
      <c r="T334" s="78"/>
      <c r="U334" s="78"/>
      <c r="V334" s="78"/>
      <c r="W334" s="78"/>
    </row>
    <row r="335" ht="15.75" customHeight="1">
      <c r="A335" s="78"/>
      <c r="B335" s="78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7"/>
      <c r="N335" s="118"/>
      <c r="O335" s="118"/>
      <c r="P335" s="118"/>
      <c r="Q335" s="116"/>
      <c r="R335" s="116"/>
      <c r="S335" s="116"/>
      <c r="T335" s="78"/>
      <c r="U335" s="78"/>
      <c r="V335" s="78"/>
      <c r="W335" s="78"/>
    </row>
    <row r="336" ht="15.75" customHeight="1">
      <c r="A336" s="78"/>
      <c r="B336" s="78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7"/>
      <c r="N336" s="118"/>
      <c r="O336" s="118"/>
      <c r="P336" s="118"/>
      <c r="Q336" s="116"/>
      <c r="R336" s="116"/>
      <c r="S336" s="116"/>
      <c r="T336" s="78"/>
      <c r="U336" s="78"/>
      <c r="V336" s="78"/>
      <c r="W336" s="78"/>
    </row>
    <row r="337" ht="15.75" customHeight="1">
      <c r="A337" s="78"/>
      <c r="B337" s="78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7"/>
      <c r="N337" s="118"/>
      <c r="O337" s="118"/>
      <c r="P337" s="118"/>
      <c r="Q337" s="116"/>
      <c r="R337" s="116"/>
      <c r="S337" s="116"/>
      <c r="T337" s="78"/>
      <c r="U337" s="78"/>
      <c r="V337" s="78"/>
      <c r="W337" s="78"/>
    </row>
    <row r="338" ht="15.75" customHeight="1">
      <c r="A338" s="78"/>
      <c r="B338" s="78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7"/>
      <c r="N338" s="118"/>
      <c r="O338" s="118"/>
      <c r="P338" s="118"/>
      <c r="Q338" s="116"/>
      <c r="R338" s="116"/>
      <c r="S338" s="116"/>
      <c r="T338" s="78"/>
      <c r="U338" s="78"/>
      <c r="V338" s="78"/>
      <c r="W338" s="78"/>
    </row>
    <row r="339" ht="15.75" customHeight="1">
      <c r="A339" s="78"/>
      <c r="B339" s="78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7"/>
      <c r="N339" s="118"/>
      <c r="O339" s="118"/>
      <c r="P339" s="118"/>
      <c r="Q339" s="116"/>
      <c r="R339" s="116"/>
      <c r="S339" s="116"/>
      <c r="T339" s="78"/>
      <c r="U339" s="78"/>
      <c r="V339" s="78"/>
      <c r="W339" s="78"/>
    </row>
    <row r="340" ht="15.75" customHeight="1">
      <c r="A340" s="78"/>
      <c r="B340" s="78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7"/>
      <c r="N340" s="118"/>
      <c r="O340" s="118"/>
      <c r="P340" s="118"/>
      <c r="Q340" s="116"/>
      <c r="R340" s="116"/>
      <c r="S340" s="116"/>
      <c r="T340" s="78"/>
      <c r="U340" s="78"/>
      <c r="V340" s="78"/>
      <c r="W340" s="78"/>
    </row>
    <row r="341" ht="15.75" customHeight="1">
      <c r="A341" s="78"/>
      <c r="B341" s="78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7"/>
      <c r="N341" s="118"/>
      <c r="O341" s="118"/>
      <c r="P341" s="118"/>
      <c r="Q341" s="116"/>
      <c r="R341" s="116"/>
      <c r="S341" s="116"/>
      <c r="T341" s="78"/>
      <c r="U341" s="78"/>
      <c r="V341" s="78"/>
      <c r="W341" s="78"/>
    </row>
    <row r="342" ht="15.75" customHeight="1">
      <c r="A342" s="78"/>
      <c r="B342" s="78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7"/>
      <c r="N342" s="118"/>
      <c r="O342" s="118"/>
      <c r="P342" s="118"/>
      <c r="Q342" s="116"/>
      <c r="R342" s="116"/>
      <c r="S342" s="116"/>
      <c r="T342" s="78"/>
      <c r="U342" s="78"/>
      <c r="V342" s="78"/>
      <c r="W342" s="78"/>
    </row>
    <row r="343" ht="15.75" customHeight="1">
      <c r="A343" s="78"/>
      <c r="B343" s="78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7"/>
      <c r="N343" s="118"/>
      <c r="O343" s="118"/>
      <c r="P343" s="118"/>
      <c r="Q343" s="116"/>
      <c r="R343" s="116"/>
      <c r="S343" s="116"/>
      <c r="T343" s="78"/>
      <c r="U343" s="78"/>
      <c r="V343" s="78"/>
      <c r="W343" s="78"/>
    </row>
    <row r="344" ht="15.75" customHeight="1">
      <c r="A344" s="78"/>
      <c r="B344" s="78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7"/>
      <c r="N344" s="118"/>
      <c r="O344" s="118"/>
      <c r="P344" s="118"/>
      <c r="Q344" s="116"/>
      <c r="R344" s="116"/>
      <c r="S344" s="116"/>
      <c r="T344" s="78"/>
      <c r="U344" s="78"/>
      <c r="V344" s="78"/>
      <c r="W344" s="78"/>
    </row>
    <row r="345" ht="15.75" customHeight="1">
      <c r="A345" s="78"/>
      <c r="B345" s="78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7"/>
      <c r="N345" s="118"/>
      <c r="O345" s="118"/>
      <c r="P345" s="118"/>
      <c r="Q345" s="116"/>
      <c r="R345" s="116"/>
      <c r="S345" s="116"/>
      <c r="T345" s="78"/>
      <c r="U345" s="78"/>
      <c r="V345" s="78"/>
      <c r="W345" s="78"/>
    </row>
    <row r="346" ht="15.75" customHeight="1">
      <c r="A346" s="78"/>
      <c r="B346" s="78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7"/>
      <c r="N346" s="118"/>
      <c r="O346" s="118"/>
      <c r="P346" s="118"/>
      <c r="Q346" s="116"/>
      <c r="R346" s="116"/>
      <c r="S346" s="116"/>
      <c r="T346" s="78"/>
      <c r="U346" s="78"/>
      <c r="V346" s="78"/>
      <c r="W346" s="78"/>
    </row>
    <row r="347" ht="15.75" customHeight="1">
      <c r="A347" s="78"/>
      <c r="B347" s="78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7"/>
      <c r="N347" s="118"/>
      <c r="O347" s="118"/>
      <c r="P347" s="118"/>
      <c r="Q347" s="116"/>
      <c r="R347" s="116"/>
      <c r="S347" s="116"/>
      <c r="T347" s="78"/>
      <c r="U347" s="78"/>
      <c r="V347" s="78"/>
      <c r="W347" s="78"/>
    </row>
    <row r="348" ht="15.75" customHeight="1">
      <c r="A348" s="78"/>
      <c r="B348" s="78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7"/>
      <c r="N348" s="118"/>
      <c r="O348" s="118"/>
      <c r="P348" s="118"/>
      <c r="Q348" s="116"/>
      <c r="R348" s="116"/>
      <c r="S348" s="116"/>
      <c r="T348" s="78"/>
      <c r="U348" s="78"/>
      <c r="V348" s="78"/>
      <c r="W348" s="78"/>
    </row>
    <row r="349" ht="15.75" customHeight="1">
      <c r="A349" s="78"/>
      <c r="B349" s="78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7"/>
      <c r="N349" s="118"/>
      <c r="O349" s="118"/>
      <c r="P349" s="118"/>
      <c r="Q349" s="116"/>
      <c r="R349" s="116"/>
      <c r="S349" s="116"/>
      <c r="T349" s="78"/>
      <c r="U349" s="78"/>
      <c r="V349" s="78"/>
      <c r="W349" s="78"/>
    </row>
    <row r="350" ht="15.75" customHeight="1">
      <c r="A350" s="78"/>
      <c r="B350" s="78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7"/>
      <c r="N350" s="118"/>
      <c r="O350" s="118"/>
      <c r="P350" s="118"/>
      <c r="Q350" s="116"/>
      <c r="R350" s="116"/>
      <c r="S350" s="116"/>
      <c r="T350" s="78"/>
      <c r="U350" s="78"/>
      <c r="V350" s="78"/>
      <c r="W350" s="78"/>
    </row>
    <row r="351" ht="15.75" customHeight="1">
      <c r="A351" s="78"/>
      <c r="B351" s="78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7"/>
      <c r="N351" s="118"/>
      <c r="O351" s="118"/>
      <c r="P351" s="118"/>
      <c r="Q351" s="116"/>
      <c r="R351" s="116"/>
      <c r="S351" s="116"/>
      <c r="T351" s="78"/>
      <c r="U351" s="78"/>
      <c r="V351" s="78"/>
      <c r="W351" s="78"/>
    </row>
    <row r="352" ht="15.75" customHeight="1">
      <c r="A352" s="78"/>
      <c r="B352" s="78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7"/>
      <c r="N352" s="118"/>
      <c r="O352" s="118"/>
      <c r="P352" s="118"/>
      <c r="Q352" s="116"/>
      <c r="R352" s="116"/>
      <c r="S352" s="116"/>
      <c r="T352" s="78"/>
      <c r="U352" s="78"/>
      <c r="V352" s="78"/>
      <c r="W352" s="78"/>
    </row>
    <row r="353" ht="15.75" customHeight="1">
      <c r="A353" s="78"/>
      <c r="B353" s="78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7"/>
      <c r="N353" s="118"/>
      <c r="O353" s="118"/>
      <c r="P353" s="118"/>
      <c r="Q353" s="116"/>
      <c r="R353" s="116"/>
      <c r="S353" s="116"/>
      <c r="T353" s="78"/>
      <c r="U353" s="78"/>
      <c r="V353" s="78"/>
      <c r="W353" s="78"/>
    </row>
    <row r="354" ht="15.75" customHeight="1">
      <c r="A354" s="78"/>
      <c r="B354" s="78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7"/>
      <c r="N354" s="118"/>
      <c r="O354" s="118"/>
      <c r="P354" s="118"/>
      <c r="Q354" s="116"/>
      <c r="R354" s="116"/>
      <c r="S354" s="116"/>
      <c r="T354" s="78"/>
      <c r="U354" s="78"/>
      <c r="V354" s="78"/>
      <c r="W354" s="78"/>
    </row>
    <row r="355" ht="15.75" customHeight="1">
      <c r="A355" s="78"/>
      <c r="B355" s="78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7"/>
      <c r="N355" s="118"/>
      <c r="O355" s="118"/>
      <c r="P355" s="118"/>
      <c r="Q355" s="116"/>
      <c r="R355" s="116"/>
      <c r="S355" s="116"/>
      <c r="T355" s="78"/>
      <c r="U355" s="78"/>
      <c r="V355" s="78"/>
      <c r="W355" s="78"/>
    </row>
    <row r="356" ht="15.75" customHeight="1">
      <c r="A356" s="78"/>
      <c r="B356" s="78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7"/>
      <c r="N356" s="118"/>
      <c r="O356" s="118"/>
      <c r="P356" s="118"/>
      <c r="Q356" s="116"/>
      <c r="R356" s="116"/>
      <c r="S356" s="116"/>
      <c r="T356" s="78"/>
      <c r="U356" s="78"/>
      <c r="V356" s="78"/>
      <c r="W356" s="78"/>
    </row>
    <row r="357" ht="15.75" customHeight="1">
      <c r="A357" s="78"/>
      <c r="B357" s="78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7"/>
      <c r="N357" s="118"/>
      <c r="O357" s="118"/>
      <c r="P357" s="118"/>
      <c r="Q357" s="116"/>
      <c r="R357" s="116"/>
      <c r="S357" s="116"/>
      <c r="T357" s="78"/>
      <c r="U357" s="78"/>
      <c r="V357" s="78"/>
      <c r="W357" s="78"/>
    </row>
    <row r="358" ht="15.75" customHeight="1">
      <c r="A358" s="78"/>
      <c r="B358" s="78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7"/>
      <c r="N358" s="118"/>
      <c r="O358" s="118"/>
      <c r="P358" s="118"/>
      <c r="Q358" s="116"/>
      <c r="R358" s="116"/>
      <c r="S358" s="116"/>
      <c r="T358" s="78"/>
      <c r="U358" s="78"/>
      <c r="V358" s="78"/>
      <c r="W358" s="78"/>
    </row>
    <row r="359" ht="15.75" customHeight="1">
      <c r="A359" s="78"/>
      <c r="B359" s="78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7"/>
      <c r="N359" s="118"/>
      <c r="O359" s="118"/>
      <c r="P359" s="118"/>
      <c r="Q359" s="116"/>
      <c r="R359" s="116"/>
      <c r="S359" s="116"/>
      <c r="T359" s="78"/>
      <c r="U359" s="78"/>
      <c r="V359" s="78"/>
      <c r="W359" s="78"/>
    </row>
    <row r="360" ht="15.75" customHeight="1">
      <c r="A360" s="78"/>
      <c r="B360" s="78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7"/>
      <c r="N360" s="118"/>
      <c r="O360" s="118"/>
      <c r="P360" s="118"/>
      <c r="Q360" s="116"/>
      <c r="R360" s="116"/>
      <c r="S360" s="116"/>
      <c r="T360" s="78"/>
      <c r="U360" s="78"/>
      <c r="V360" s="78"/>
      <c r="W360" s="78"/>
    </row>
    <row r="361" ht="15.75" customHeight="1">
      <c r="A361" s="78"/>
      <c r="B361" s="78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7"/>
      <c r="N361" s="118"/>
      <c r="O361" s="118"/>
      <c r="P361" s="118"/>
      <c r="Q361" s="116"/>
      <c r="R361" s="116"/>
      <c r="S361" s="116"/>
      <c r="T361" s="78"/>
      <c r="U361" s="78"/>
      <c r="V361" s="78"/>
      <c r="W361" s="78"/>
    </row>
    <row r="362" ht="15.75" customHeight="1">
      <c r="A362" s="78"/>
      <c r="B362" s="78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7"/>
      <c r="N362" s="118"/>
      <c r="O362" s="118"/>
      <c r="P362" s="118"/>
      <c r="Q362" s="116"/>
      <c r="R362" s="116"/>
      <c r="S362" s="116"/>
      <c r="T362" s="78"/>
      <c r="U362" s="78"/>
      <c r="V362" s="78"/>
      <c r="W362" s="78"/>
    </row>
    <row r="363" ht="15.75" customHeight="1">
      <c r="A363" s="78"/>
      <c r="B363" s="78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7"/>
      <c r="N363" s="118"/>
      <c r="O363" s="118"/>
      <c r="P363" s="118"/>
      <c r="Q363" s="116"/>
      <c r="R363" s="116"/>
      <c r="S363" s="116"/>
      <c r="T363" s="78"/>
      <c r="U363" s="78"/>
      <c r="V363" s="78"/>
      <c r="W363" s="78"/>
    </row>
    <row r="364" ht="15.75" customHeight="1">
      <c r="A364" s="78"/>
      <c r="B364" s="78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7"/>
      <c r="N364" s="118"/>
      <c r="O364" s="118"/>
      <c r="P364" s="118"/>
      <c r="Q364" s="116"/>
      <c r="R364" s="116"/>
      <c r="S364" s="116"/>
      <c r="T364" s="78"/>
      <c r="U364" s="78"/>
      <c r="V364" s="78"/>
      <c r="W364" s="78"/>
    </row>
    <row r="365" ht="15.75" customHeight="1">
      <c r="A365" s="78"/>
      <c r="B365" s="78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7"/>
      <c r="N365" s="118"/>
      <c r="O365" s="118"/>
      <c r="P365" s="118"/>
      <c r="Q365" s="116"/>
      <c r="R365" s="116"/>
      <c r="S365" s="116"/>
      <c r="T365" s="78"/>
      <c r="U365" s="78"/>
      <c r="V365" s="78"/>
      <c r="W365" s="78"/>
    </row>
    <row r="366" ht="15.75" customHeight="1">
      <c r="A366" s="78"/>
      <c r="B366" s="78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7"/>
      <c r="N366" s="118"/>
      <c r="O366" s="118"/>
      <c r="P366" s="118"/>
      <c r="Q366" s="116"/>
      <c r="R366" s="116"/>
      <c r="S366" s="116"/>
      <c r="T366" s="78"/>
      <c r="U366" s="78"/>
      <c r="V366" s="78"/>
      <c r="W366" s="78"/>
    </row>
    <row r="367" ht="15.75" customHeight="1">
      <c r="A367" s="78"/>
      <c r="B367" s="78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7"/>
      <c r="N367" s="118"/>
      <c r="O367" s="118"/>
      <c r="P367" s="118"/>
      <c r="Q367" s="116"/>
      <c r="R367" s="116"/>
      <c r="S367" s="116"/>
      <c r="T367" s="78"/>
      <c r="U367" s="78"/>
      <c r="V367" s="78"/>
      <c r="W367" s="78"/>
    </row>
    <row r="368" ht="15.75" customHeight="1">
      <c r="A368" s="78"/>
      <c r="B368" s="78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7"/>
      <c r="N368" s="118"/>
      <c r="O368" s="118"/>
      <c r="P368" s="118"/>
      <c r="Q368" s="116"/>
      <c r="R368" s="116"/>
      <c r="S368" s="116"/>
      <c r="T368" s="78"/>
      <c r="U368" s="78"/>
      <c r="V368" s="78"/>
      <c r="W368" s="78"/>
    </row>
    <row r="369" ht="15.75" customHeight="1">
      <c r="A369" s="78"/>
      <c r="B369" s="78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7"/>
      <c r="N369" s="118"/>
      <c r="O369" s="118"/>
      <c r="P369" s="118"/>
      <c r="Q369" s="116"/>
      <c r="R369" s="116"/>
      <c r="S369" s="116"/>
      <c r="T369" s="78"/>
      <c r="U369" s="78"/>
      <c r="V369" s="78"/>
      <c r="W369" s="78"/>
    </row>
    <row r="370" ht="15.75" customHeight="1">
      <c r="A370" s="78"/>
      <c r="B370" s="78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7"/>
      <c r="N370" s="118"/>
      <c r="O370" s="118"/>
      <c r="P370" s="118"/>
      <c r="Q370" s="116"/>
      <c r="R370" s="116"/>
      <c r="S370" s="116"/>
      <c r="T370" s="78"/>
      <c r="U370" s="78"/>
      <c r="V370" s="78"/>
      <c r="W370" s="78"/>
    </row>
    <row r="371" ht="15.75" customHeight="1">
      <c r="A371" s="78"/>
      <c r="B371" s="78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7"/>
      <c r="N371" s="118"/>
      <c r="O371" s="118"/>
      <c r="P371" s="118"/>
      <c r="Q371" s="116"/>
      <c r="R371" s="116"/>
      <c r="S371" s="116"/>
      <c r="T371" s="78"/>
      <c r="U371" s="78"/>
      <c r="V371" s="78"/>
      <c r="W371" s="78"/>
    </row>
    <row r="372" ht="15.75" customHeight="1">
      <c r="A372" s="78"/>
      <c r="B372" s="78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7"/>
      <c r="N372" s="118"/>
      <c r="O372" s="118"/>
      <c r="P372" s="118"/>
      <c r="Q372" s="116"/>
      <c r="R372" s="116"/>
      <c r="S372" s="116"/>
      <c r="T372" s="78"/>
      <c r="U372" s="78"/>
      <c r="V372" s="78"/>
      <c r="W372" s="78"/>
    </row>
    <row r="373" ht="15.75" customHeight="1">
      <c r="A373" s="78"/>
      <c r="B373" s="78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7"/>
      <c r="N373" s="118"/>
      <c r="O373" s="118"/>
      <c r="P373" s="118"/>
      <c r="Q373" s="116"/>
      <c r="R373" s="116"/>
      <c r="S373" s="116"/>
      <c r="T373" s="78"/>
      <c r="U373" s="78"/>
      <c r="V373" s="78"/>
      <c r="W373" s="78"/>
    </row>
    <row r="374" ht="15.75" customHeight="1">
      <c r="A374" s="78"/>
      <c r="B374" s="78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7"/>
      <c r="N374" s="118"/>
      <c r="O374" s="118"/>
      <c r="P374" s="118"/>
      <c r="Q374" s="116"/>
      <c r="R374" s="116"/>
      <c r="S374" s="116"/>
      <c r="T374" s="78"/>
      <c r="U374" s="78"/>
      <c r="V374" s="78"/>
      <c r="W374" s="78"/>
    </row>
    <row r="375" ht="15.75" customHeight="1">
      <c r="A375" s="78"/>
      <c r="B375" s="78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7"/>
      <c r="N375" s="118"/>
      <c r="O375" s="118"/>
      <c r="P375" s="118"/>
      <c r="Q375" s="116"/>
      <c r="R375" s="116"/>
      <c r="S375" s="116"/>
      <c r="T375" s="78"/>
      <c r="U375" s="78"/>
      <c r="V375" s="78"/>
      <c r="W375" s="78"/>
    </row>
    <row r="376" ht="15.75" customHeight="1">
      <c r="A376" s="78"/>
      <c r="B376" s="78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7"/>
      <c r="N376" s="118"/>
      <c r="O376" s="118"/>
      <c r="P376" s="118"/>
      <c r="Q376" s="116"/>
      <c r="R376" s="116"/>
      <c r="S376" s="116"/>
      <c r="T376" s="78"/>
      <c r="U376" s="78"/>
      <c r="V376" s="78"/>
      <c r="W376" s="78"/>
    </row>
    <row r="377" ht="15.75" customHeight="1">
      <c r="A377" s="78"/>
      <c r="B377" s="78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7"/>
      <c r="N377" s="118"/>
      <c r="O377" s="118"/>
      <c r="P377" s="118"/>
      <c r="Q377" s="116"/>
      <c r="R377" s="116"/>
      <c r="S377" s="116"/>
      <c r="T377" s="78"/>
      <c r="U377" s="78"/>
      <c r="V377" s="78"/>
      <c r="W377" s="78"/>
    </row>
    <row r="378" ht="15.75" customHeight="1">
      <c r="A378" s="78"/>
      <c r="B378" s="78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7"/>
      <c r="N378" s="118"/>
      <c r="O378" s="118"/>
      <c r="P378" s="118"/>
      <c r="Q378" s="116"/>
      <c r="R378" s="116"/>
      <c r="S378" s="116"/>
      <c r="T378" s="78"/>
      <c r="U378" s="78"/>
      <c r="V378" s="78"/>
      <c r="W378" s="78"/>
    </row>
    <row r="379" ht="15.75" customHeight="1">
      <c r="A379" s="78"/>
      <c r="B379" s="78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7"/>
      <c r="N379" s="118"/>
      <c r="O379" s="118"/>
      <c r="P379" s="118"/>
      <c r="Q379" s="116"/>
      <c r="R379" s="116"/>
      <c r="S379" s="116"/>
      <c r="T379" s="78"/>
      <c r="U379" s="78"/>
      <c r="V379" s="78"/>
      <c r="W379" s="78"/>
    </row>
    <row r="380" ht="15.75" customHeight="1">
      <c r="A380" s="78"/>
      <c r="B380" s="78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7"/>
      <c r="N380" s="118"/>
      <c r="O380" s="118"/>
      <c r="P380" s="118"/>
      <c r="Q380" s="116"/>
      <c r="R380" s="116"/>
      <c r="S380" s="116"/>
      <c r="T380" s="78"/>
      <c r="U380" s="78"/>
      <c r="V380" s="78"/>
      <c r="W380" s="78"/>
    </row>
    <row r="381" ht="15.75" customHeight="1">
      <c r="A381" s="78"/>
      <c r="B381" s="78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7"/>
      <c r="N381" s="118"/>
      <c r="O381" s="118"/>
      <c r="P381" s="118"/>
      <c r="Q381" s="116"/>
      <c r="R381" s="116"/>
      <c r="S381" s="116"/>
      <c r="T381" s="78"/>
      <c r="U381" s="78"/>
      <c r="V381" s="78"/>
      <c r="W381" s="78"/>
    </row>
    <row r="382" ht="15.75" customHeight="1">
      <c r="A382" s="78"/>
      <c r="B382" s="78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7"/>
      <c r="N382" s="118"/>
      <c r="O382" s="118"/>
      <c r="P382" s="118"/>
      <c r="Q382" s="116"/>
      <c r="R382" s="116"/>
      <c r="S382" s="116"/>
      <c r="T382" s="78"/>
      <c r="U382" s="78"/>
      <c r="V382" s="78"/>
      <c r="W382" s="78"/>
    </row>
    <row r="383" ht="15.75" customHeight="1">
      <c r="A383" s="78"/>
      <c r="B383" s="78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7"/>
      <c r="N383" s="118"/>
      <c r="O383" s="118"/>
      <c r="P383" s="118"/>
      <c r="Q383" s="116"/>
      <c r="R383" s="116"/>
      <c r="S383" s="116"/>
      <c r="T383" s="78"/>
      <c r="U383" s="78"/>
      <c r="V383" s="78"/>
      <c r="W383" s="78"/>
    </row>
    <row r="384" ht="15.75" customHeight="1">
      <c r="A384" s="78"/>
      <c r="B384" s="78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7"/>
      <c r="N384" s="118"/>
      <c r="O384" s="118"/>
      <c r="P384" s="118"/>
      <c r="Q384" s="116"/>
      <c r="R384" s="116"/>
      <c r="S384" s="116"/>
      <c r="T384" s="78"/>
      <c r="U384" s="78"/>
      <c r="V384" s="78"/>
      <c r="W384" s="78"/>
    </row>
    <row r="385" ht="15.75" customHeight="1">
      <c r="A385" s="78"/>
      <c r="B385" s="78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7"/>
      <c r="N385" s="118"/>
      <c r="O385" s="118"/>
      <c r="P385" s="118"/>
      <c r="Q385" s="116"/>
      <c r="R385" s="116"/>
      <c r="S385" s="116"/>
      <c r="T385" s="78"/>
      <c r="U385" s="78"/>
      <c r="V385" s="78"/>
      <c r="W385" s="78"/>
    </row>
    <row r="386" ht="15.75" customHeight="1">
      <c r="A386" s="78"/>
      <c r="B386" s="78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7"/>
      <c r="N386" s="118"/>
      <c r="O386" s="118"/>
      <c r="P386" s="118"/>
      <c r="Q386" s="116"/>
      <c r="R386" s="116"/>
      <c r="S386" s="116"/>
      <c r="T386" s="78"/>
      <c r="U386" s="78"/>
      <c r="V386" s="78"/>
      <c r="W386" s="78"/>
    </row>
    <row r="387" ht="15.75" customHeight="1">
      <c r="A387" s="78"/>
      <c r="B387" s="78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7"/>
      <c r="N387" s="118"/>
      <c r="O387" s="118"/>
      <c r="P387" s="118"/>
      <c r="Q387" s="116"/>
      <c r="R387" s="116"/>
      <c r="S387" s="116"/>
      <c r="T387" s="78"/>
      <c r="U387" s="78"/>
      <c r="V387" s="78"/>
      <c r="W387" s="78"/>
    </row>
    <row r="388" ht="15.75" customHeight="1">
      <c r="A388" s="78"/>
      <c r="B388" s="78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7"/>
      <c r="N388" s="118"/>
      <c r="O388" s="118"/>
      <c r="P388" s="118"/>
      <c r="Q388" s="116"/>
      <c r="R388" s="116"/>
      <c r="S388" s="116"/>
      <c r="T388" s="78"/>
      <c r="U388" s="78"/>
      <c r="V388" s="78"/>
      <c r="W388" s="78"/>
    </row>
    <row r="389" ht="15.75" customHeight="1">
      <c r="A389" s="78"/>
      <c r="B389" s="78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7"/>
      <c r="N389" s="118"/>
      <c r="O389" s="118"/>
      <c r="P389" s="118"/>
      <c r="Q389" s="116"/>
      <c r="R389" s="116"/>
      <c r="S389" s="116"/>
      <c r="T389" s="78"/>
      <c r="U389" s="78"/>
      <c r="V389" s="78"/>
      <c r="W389" s="78"/>
    </row>
    <row r="390" ht="15.75" customHeight="1">
      <c r="A390" s="78"/>
      <c r="B390" s="78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7"/>
      <c r="N390" s="118"/>
      <c r="O390" s="118"/>
      <c r="P390" s="118"/>
      <c r="Q390" s="116"/>
      <c r="R390" s="116"/>
      <c r="S390" s="116"/>
      <c r="T390" s="78"/>
      <c r="U390" s="78"/>
      <c r="V390" s="78"/>
      <c r="W390" s="78"/>
    </row>
    <row r="391" ht="15.75" customHeight="1">
      <c r="A391" s="78"/>
      <c r="B391" s="78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7"/>
      <c r="N391" s="118"/>
      <c r="O391" s="118"/>
      <c r="P391" s="118"/>
      <c r="Q391" s="116"/>
      <c r="R391" s="116"/>
      <c r="S391" s="116"/>
      <c r="T391" s="78"/>
      <c r="U391" s="78"/>
      <c r="V391" s="78"/>
      <c r="W391" s="78"/>
    </row>
    <row r="392" ht="15.75" customHeight="1">
      <c r="A392" s="78"/>
      <c r="B392" s="78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7"/>
      <c r="N392" s="118"/>
      <c r="O392" s="118"/>
      <c r="P392" s="118"/>
      <c r="Q392" s="116"/>
      <c r="R392" s="116"/>
      <c r="S392" s="116"/>
      <c r="T392" s="78"/>
      <c r="U392" s="78"/>
      <c r="V392" s="78"/>
      <c r="W392" s="78"/>
    </row>
    <row r="393" ht="15.75" customHeight="1">
      <c r="A393" s="78"/>
      <c r="B393" s="78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7"/>
      <c r="N393" s="118"/>
      <c r="O393" s="118"/>
      <c r="P393" s="118"/>
      <c r="Q393" s="116"/>
      <c r="R393" s="116"/>
      <c r="S393" s="116"/>
      <c r="T393" s="78"/>
      <c r="U393" s="78"/>
      <c r="V393" s="78"/>
      <c r="W393" s="78"/>
    </row>
    <row r="394" ht="15.75" customHeight="1">
      <c r="A394" s="78"/>
      <c r="B394" s="78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7"/>
      <c r="N394" s="118"/>
      <c r="O394" s="118"/>
      <c r="P394" s="118"/>
      <c r="Q394" s="116"/>
      <c r="R394" s="116"/>
      <c r="S394" s="116"/>
      <c r="T394" s="78"/>
      <c r="U394" s="78"/>
      <c r="V394" s="78"/>
      <c r="W394" s="78"/>
    </row>
    <row r="395" ht="15.75" customHeight="1">
      <c r="A395" s="78"/>
      <c r="B395" s="78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7"/>
      <c r="N395" s="118"/>
      <c r="O395" s="118"/>
      <c r="P395" s="118"/>
      <c r="Q395" s="116"/>
      <c r="R395" s="116"/>
      <c r="S395" s="116"/>
      <c r="T395" s="78"/>
      <c r="U395" s="78"/>
      <c r="V395" s="78"/>
      <c r="W395" s="78"/>
    </row>
    <row r="396" ht="15.75" customHeight="1">
      <c r="A396" s="78"/>
      <c r="B396" s="78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7"/>
      <c r="N396" s="118"/>
      <c r="O396" s="118"/>
      <c r="P396" s="118"/>
      <c r="Q396" s="116"/>
      <c r="R396" s="116"/>
      <c r="S396" s="116"/>
      <c r="T396" s="78"/>
      <c r="U396" s="78"/>
      <c r="V396" s="78"/>
      <c r="W396" s="78"/>
    </row>
    <row r="397" ht="15.75" customHeight="1">
      <c r="A397" s="78"/>
      <c r="B397" s="78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7"/>
      <c r="N397" s="118"/>
      <c r="O397" s="118"/>
      <c r="P397" s="118"/>
      <c r="Q397" s="116"/>
      <c r="R397" s="116"/>
      <c r="S397" s="116"/>
      <c r="T397" s="78"/>
      <c r="U397" s="78"/>
      <c r="V397" s="78"/>
      <c r="W397" s="78"/>
    </row>
    <row r="398" ht="15.75" customHeight="1">
      <c r="A398" s="78"/>
      <c r="B398" s="78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7"/>
      <c r="N398" s="118"/>
      <c r="O398" s="118"/>
      <c r="P398" s="118"/>
      <c r="Q398" s="116"/>
      <c r="R398" s="116"/>
      <c r="S398" s="116"/>
      <c r="T398" s="78"/>
      <c r="U398" s="78"/>
      <c r="V398" s="78"/>
      <c r="W398" s="78"/>
    </row>
    <row r="399" ht="15.75" customHeight="1">
      <c r="A399" s="78"/>
      <c r="B399" s="78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7"/>
      <c r="N399" s="118"/>
      <c r="O399" s="118"/>
      <c r="P399" s="118"/>
      <c r="Q399" s="116"/>
      <c r="R399" s="116"/>
      <c r="S399" s="116"/>
      <c r="T399" s="78"/>
      <c r="U399" s="78"/>
      <c r="V399" s="78"/>
      <c r="W399" s="78"/>
    </row>
    <row r="400" ht="15.75" customHeight="1">
      <c r="A400" s="78"/>
      <c r="B400" s="78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7"/>
      <c r="N400" s="118"/>
      <c r="O400" s="118"/>
      <c r="P400" s="118"/>
      <c r="Q400" s="116"/>
      <c r="R400" s="116"/>
      <c r="S400" s="116"/>
      <c r="T400" s="78"/>
      <c r="U400" s="78"/>
      <c r="V400" s="78"/>
      <c r="W400" s="78"/>
    </row>
    <row r="401" ht="15.75" customHeight="1">
      <c r="A401" s="78"/>
      <c r="B401" s="78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7"/>
      <c r="N401" s="118"/>
      <c r="O401" s="118"/>
      <c r="P401" s="118"/>
      <c r="Q401" s="116"/>
      <c r="R401" s="116"/>
      <c r="S401" s="116"/>
      <c r="T401" s="78"/>
      <c r="U401" s="78"/>
      <c r="V401" s="78"/>
      <c r="W401" s="78"/>
    </row>
    <row r="402" ht="15.75" customHeight="1">
      <c r="A402" s="78"/>
      <c r="B402" s="78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7"/>
      <c r="N402" s="118"/>
      <c r="O402" s="118"/>
      <c r="P402" s="118"/>
      <c r="Q402" s="116"/>
      <c r="R402" s="116"/>
      <c r="S402" s="116"/>
      <c r="T402" s="78"/>
      <c r="U402" s="78"/>
      <c r="V402" s="78"/>
      <c r="W402" s="78"/>
    </row>
    <row r="403" ht="15.75" customHeight="1">
      <c r="A403" s="78"/>
      <c r="B403" s="78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7"/>
      <c r="N403" s="118"/>
      <c r="O403" s="118"/>
      <c r="P403" s="118"/>
      <c r="Q403" s="116"/>
      <c r="R403" s="116"/>
      <c r="S403" s="116"/>
      <c r="T403" s="78"/>
      <c r="U403" s="78"/>
      <c r="V403" s="78"/>
      <c r="W403" s="78"/>
    </row>
    <row r="404" ht="15.75" customHeight="1">
      <c r="A404" s="78"/>
      <c r="B404" s="78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7"/>
      <c r="N404" s="118"/>
      <c r="O404" s="118"/>
      <c r="P404" s="118"/>
      <c r="Q404" s="116"/>
      <c r="R404" s="116"/>
      <c r="S404" s="116"/>
      <c r="T404" s="78"/>
      <c r="U404" s="78"/>
      <c r="V404" s="78"/>
      <c r="W404" s="78"/>
    </row>
    <row r="405" ht="15.75" customHeight="1">
      <c r="A405" s="78"/>
      <c r="B405" s="78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7"/>
      <c r="N405" s="118"/>
      <c r="O405" s="118"/>
      <c r="P405" s="118"/>
      <c r="Q405" s="116"/>
      <c r="R405" s="116"/>
      <c r="S405" s="116"/>
      <c r="T405" s="78"/>
      <c r="U405" s="78"/>
      <c r="V405" s="78"/>
      <c r="W405" s="78"/>
    </row>
    <row r="406" ht="15.75" customHeight="1">
      <c r="A406" s="78"/>
      <c r="B406" s="78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7"/>
      <c r="N406" s="118"/>
      <c r="O406" s="118"/>
      <c r="P406" s="118"/>
      <c r="Q406" s="116"/>
      <c r="R406" s="116"/>
      <c r="S406" s="116"/>
      <c r="T406" s="78"/>
      <c r="U406" s="78"/>
      <c r="V406" s="78"/>
      <c r="W406" s="78"/>
    </row>
    <row r="407" ht="15.75" customHeight="1">
      <c r="A407" s="78"/>
      <c r="B407" s="78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7"/>
      <c r="N407" s="118"/>
      <c r="O407" s="118"/>
      <c r="P407" s="118"/>
      <c r="Q407" s="116"/>
      <c r="R407" s="116"/>
      <c r="S407" s="116"/>
      <c r="T407" s="78"/>
      <c r="U407" s="78"/>
      <c r="V407" s="78"/>
      <c r="W407" s="78"/>
    </row>
    <row r="408" ht="15.75" customHeight="1">
      <c r="A408" s="78"/>
      <c r="B408" s="78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7"/>
      <c r="N408" s="118"/>
      <c r="O408" s="118"/>
      <c r="P408" s="118"/>
      <c r="Q408" s="116"/>
      <c r="R408" s="116"/>
      <c r="S408" s="116"/>
      <c r="T408" s="78"/>
      <c r="U408" s="78"/>
      <c r="V408" s="78"/>
      <c r="W408" s="78"/>
    </row>
    <row r="409" ht="15.75" customHeight="1">
      <c r="A409" s="78"/>
      <c r="B409" s="78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7"/>
      <c r="N409" s="118"/>
      <c r="O409" s="118"/>
      <c r="P409" s="118"/>
      <c r="Q409" s="116"/>
      <c r="R409" s="116"/>
      <c r="S409" s="116"/>
      <c r="T409" s="78"/>
      <c r="U409" s="78"/>
      <c r="V409" s="78"/>
      <c r="W409" s="78"/>
    </row>
    <row r="410" ht="15.75" customHeight="1">
      <c r="A410" s="78"/>
      <c r="B410" s="78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7"/>
      <c r="N410" s="118"/>
      <c r="O410" s="118"/>
      <c r="P410" s="118"/>
      <c r="Q410" s="116"/>
      <c r="R410" s="116"/>
      <c r="S410" s="116"/>
      <c r="T410" s="78"/>
      <c r="U410" s="78"/>
      <c r="V410" s="78"/>
      <c r="W410" s="78"/>
    </row>
    <row r="411" ht="15.75" customHeight="1">
      <c r="A411" s="78"/>
      <c r="B411" s="78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7"/>
      <c r="N411" s="118"/>
      <c r="O411" s="118"/>
      <c r="P411" s="118"/>
      <c r="Q411" s="116"/>
      <c r="R411" s="116"/>
      <c r="S411" s="116"/>
      <c r="T411" s="78"/>
      <c r="U411" s="78"/>
      <c r="V411" s="78"/>
      <c r="W411" s="78"/>
    </row>
    <row r="412" ht="15.75" customHeight="1">
      <c r="A412" s="78"/>
      <c r="B412" s="78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7"/>
      <c r="N412" s="118"/>
      <c r="O412" s="118"/>
      <c r="P412" s="118"/>
      <c r="Q412" s="116"/>
      <c r="R412" s="116"/>
      <c r="S412" s="116"/>
      <c r="T412" s="78"/>
      <c r="U412" s="78"/>
      <c r="V412" s="78"/>
      <c r="W412" s="78"/>
    </row>
    <row r="413" ht="15.75" customHeight="1">
      <c r="A413" s="78"/>
      <c r="B413" s="78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7"/>
      <c r="N413" s="118"/>
      <c r="O413" s="118"/>
      <c r="P413" s="118"/>
      <c r="Q413" s="116"/>
      <c r="R413" s="116"/>
      <c r="S413" s="116"/>
      <c r="T413" s="78"/>
      <c r="U413" s="78"/>
      <c r="V413" s="78"/>
      <c r="W413" s="78"/>
    </row>
    <row r="414" ht="15.75" customHeight="1">
      <c r="A414" s="78"/>
      <c r="B414" s="78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7"/>
      <c r="N414" s="118"/>
      <c r="O414" s="118"/>
      <c r="P414" s="118"/>
      <c r="Q414" s="116"/>
      <c r="R414" s="116"/>
      <c r="S414" s="116"/>
      <c r="T414" s="78"/>
      <c r="U414" s="78"/>
      <c r="V414" s="78"/>
      <c r="W414" s="78"/>
    </row>
    <row r="415" ht="15.75" customHeight="1">
      <c r="A415" s="78"/>
      <c r="B415" s="78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7"/>
      <c r="N415" s="118"/>
      <c r="O415" s="118"/>
      <c r="P415" s="118"/>
      <c r="Q415" s="116"/>
      <c r="R415" s="116"/>
      <c r="S415" s="116"/>
      <c r="T415" s="78"/>
      <c r="U415" s="78"/>
      <c r="V415" s="78"/>
      <c r="W415" s="78"/>
    </row>
    <row r="416" ht="15.75" customHeight="1">
      <c r="A416" s="78"/>
      <c r="B416" s="78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7"/>
      <c r="N416" s="118"/>
      <c r="O416" s="118"/>
      <c r="P416" s="118"/>
      <c r="Q416" s="116"/>
      <c r="R416" s="116"/>
      <c r="S416" s="116"/>
      <c r="T416" s="78"/>
      <c r="U416" s="78"/>
      <c r="V416" s="78"/>
      <c r="W416" s="78"/>
    </row>
    <row r="417" ht="15.75" customHeight="1">
      <c r="A417" s="78"/>
      <c r="B417" s="78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7"/>
      <c r="N417" s="118"/>
      <c r="O417" s="118"/>
      <c r="P417" s="118"/>
      <c r="Q417" s="116"/>
      <c r="R417" s="116"/>
      <c r="S417" s="116"/>
      <c r="T417" s="78"/>
      <c r="U417" s="78"/>
      <c r="V417" s="78"/>
      <c r="W417" s="78"/>
    </row>
    <row r="418" ht="15.75" customHeight="1">
      <c r="A418" s="78"/>
      <c r="B418" s="78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7"/>
      <c r="N418" s="118"/>
      <c r="O418" s="118"/>
      <c r="P418" s="118"/>
      <c r="Q418" s="116"/>
      <c r="R418" s="116"/>
      <c r="S418" s="116"/>
      <c r="T418" s="78"/>
      <c r="U418" s="78"/>
      <c r="V418" s="78"/>
      <c r="W418" s="78"/>
    </row>
    <row r="419" ht="15.75" customHeight="1">
      <c r="A419" s="78"/>
      <c r="B419" s="78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7"/>
      <c r="N419" s="118"/>
      <c r="O419" s="118"/>
      <c r="P419" s="118"/>
      <c r="Q419" s="116"/>
      <c r="R419" s="116"/>
      <c r="S419" s="116"/>
      <c r="T419" s="78"/>
      <c r="U419" s="78"/>
      <c r="V419" s="78"/>
      <c r="W419" s="78"/>
    </row>
    <row r="420" ht="15.75" customHeight="1">
      <c r="A420" s="78"/>
      <c r="B420" s="78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7"/>
      <c r="N420" s="118"/>
      <c r="O420" s="118"/>
      <c r="P420" s="118"/>
      <c r="Q420" s="116"/>
      <c r="R420" s="116"/>
      <c r="S420" s="116"/>
      <c r="T420" s="78"/>
      <c r="U420" s="78"/>
      <c r="V420" s="78"/>
      <c r="W420" s="78"/>
    </row>
    <row r="421" ht="15.75" customHeight="1">
      <c r="A421" s="78"/>
      <c r="B421" s="78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7"/>
      <c r="N421" s="118"/>
      <c r="O421" s="118"/>
      <c r="P421" s="118"/>
      <c r="Q421" s="116"/>
      <c r="R421" s="116"/>
      <c r="S421" s="116"/>
      <c r="T421" s="78"/>
      <c r="U421" s="78"/>
      <c r="V421" s="78"/>
      <c r="W421" s="78"/>
    </row>
    <row r="422" ht="15.75" customHeight="1">
      <c r="A422" s="78"/>
      <c r="B422" s="78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7"/>
      <c r="N422" s="118"/>
      <c r="O422" s="118"/>
      <c r="P422" s="118"/>
      <c r="Q422" s="116"/>
      <c r="R422" s="116"/>
      <c r="S422" s="116"/>
      <c r="T422" s="78"/>
      <c r="U422" s="78"/>
      <c r="V422" s="78"/>
      <c r="W422" s="78"/>
    </row>
    <row r="423" ht="15.75" customHeight="1">
      <c r="A423" s="78"/>
      <c r="B423" s="78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7"/>
      <c r="N423" s="118"/>
      <c r="O423" s="118"/>
      <c r="P423" s="118"/>
      <c r="Q423" s="116"/>
      <c r="R423" s="116"/>
      <c r="S423" s="116"/>
      <c r="T423" s="78"/>
      <c r="U423" s="78"/>
      <c r="V423" s="78"/>
      <c r="W423" s="78"/>
    </row>
    <row r="424" ht="15.75" customHeight="1">
      <c r="A424" s="78"/>
      <c r="B424" s="78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7"/>
      <c r="N424" s="118"/>
      <c r="O424" s="118"/>
      <c r="P424" s="118"/>
      <c r="Q424" s="116"/>
      <c r="R424" s="116"/>
      <c r="S424" s="116"/>
      <c r="T424" s="78"/>
      <c r="U424" s="78"/>
      <c r="V424" s="78"/>
      <c r="W424" s="78"/>
    </row>
    <row r="425" ht="15.75" customHeight="1">
      <c r="A425" s="78"/>
      <c r="B425" s="78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7"/>
      <c r="N425" s="118"/>
      <c r="O425" s="118"/>
      <c r="P425" s="118"/>
      <c r="Q425" s="116"/>
      <c r="R425" s="116"/>
      <c r="S425" s="116"/>
      <c r="T425" s="78"/>
      <c r="U425" s="78"/>
      <c r="V425" s="78"/>
      <c r="W425" s="78"/>
    </row>
    <row r="426" ht="15.75" customHeight="1">
      <c r="A426" s="78"/>
      <c r="B426" s="78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7"/>
      <c r="N426" s="118"/>
      <c r="O426" s="118"/>
      <c r="P426" s="118"/>
      <c r="Q426" s="116"/>
      <c r="R426" s="116"/>
      <c r="S426" s="116"/>
      <c r="T426" s="78"/>
      <c r="U426" s="78"/>
      <c r="V426" s="78"/>
      <c r="W426" s="78"/>
    </row>
    <row r="427" ht="15.75" customHeight="1">
      <c r="A427" s="78"/>
      <c r="B427" s="78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7"/>
      <c r="N427" s="118"/>
      <c r="O427" s="118"/>
      <c r="P427" s="118"/>
      <c r="Q427" s="116"/>
      <c r="R427" s="116"/>
      <c r="S427" s="116"/>
      <c r="T427" s="78"/>
      <c r="U427" s="78"/>
      <c r="V427" s="78"/>
      <c r="W427" s="78"/>
    </row>
    <row r="428" ht="15.75" customHeight="1">
      <c r="A428" s="78"/>
      <c r="B428" s="78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7"/>
      <c r="N428" s="118"/>
      <c r="O428" s="118"/>
      <c r="P428" s="118"/>
      <c r="Q428" s="116"/>
      <c r="R428" s="116"/>
      <c r="S428" s="116"/>
      <c r="T428" s="78"/>
      <c r="U428" s="78"/>
      <c r="V428" s="78"/>
      <c r="W428" s="78"/>
    </row>
    <row r="429" ht="15.75" customHeight="1">
      <c r="A429" s="78"/>
      <c r="B429" s="78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7"/>
      <c r="N429" s="118"/>
      <c r="O429" s="118"/>
      <c r="P429" s="118"/>
      <c r="Q429" s="116"/>
      <c r="R429" s="116"/>
      <c r="S429" s="116"/>
      <c r="T429" s="78"/>
      <c r="U429" s="78"/>
      <c r="V429" s="78"/>
      <c r="W429" s="78"/>
    </row>
    <row r="430" ht="15.75" customHeight="1">
      <c r="A430" s="78"/>
      <c r="B430" s="78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7"/>
      <c r="N430" s="118"/>
      <c r="O430" s="118"/>
      <c r="P430" s="118"/>
      <c r="Q430" s="116"/>
      <c r="R430" s="116"/>
      <c r="S430" s="116"/>
      <c r="T430" s="78"/>
      <c r="U430" s="78"/>
      <c r="V430" s="78"/>
      <c r="W430" s="78"/>
    </row>
    <row r="431" ht="15.75" customHeight="1">
      <c r="A431" s="78"/>
      <c r="B431" s="78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7"/>
      <c r="N431" s="118"/>
      <c r="O431" s="118"/>
      <c r="P431" s="118"/>
      <c r="Q431" s="116"/>
      <c r="R431" s="116"/>
      <c r="S431" s="116"/>
      <c r="T431" s="78"/>
      <c r="U431" s="78"/>
      <c r="V431" s="78"/>
      <c r="W431" s="78"/>
    </row>
    <row r="432" ht="15.75" customHeight="1">
      <c r="A432" s="78"/>
      <c r="B432" s="78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7"/>
      <c r="N432" s="118"/>
      <c r="O432" s="118"/>
      <c r="P432" s="118"/>
      <c r="Q432" s="116"/>
      <c r="R432" s="116"/>
      <c r="S432" s="116"/>
      <c r="T432" s="78"/>
      <c r="U432" s="78"/>
      <c r="V432" s="78"/>
      <c r="W432" s="78"/>
    </row>
    <row r="433" ht="15.75" customHeight="1">
      <c r="A433" s="78"/>
      <c r="B433" s="78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7"/>
      <c r="N433" s="118"/>
      <c r="O433" s="118"/>
      <c r="P433" s="118"/>
      <c r="Q433" s="116"/>
      <c r="R433" s="116"/>
      <c r="S433" s="116"/>
      <c r="T433" s="78"/>
      <c r="U433" s="78"/>
      <c r="V433" s="78"/>
      <c r="W433" s="78"/>
    </row>
    <row r="434" ht="15.75" customHeight="1">
      <c r="A434" s="78"/>
      <c r="B434" s="78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7"/>
      <c r="N434" s="118"/>
      <c r="O434" s="118"/>
      <c r="P434" s="118"/>
      <c r="Q434" s="116"/>
      <c r="R434" s="116"/>
      <c r="S434" s="116"/>
      <c r="T434" s="78"/>
      <c r="U434" s="78"/>
      <c r="V434" s="78"/>
      <c r="W434" s="78"/>
    </row>
    <row r="435" ht="15.75" customHeight="1">
      <c r="A435" s="78"/>
      <c r="B435" s="78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7"/>
      <c r="N435" s="118"/>
      <c r="O435" s="118"/>
      <c r="P435" s="118"/>
      <c r="Q435" s="116"/>
      <c r="R435" s="116"/>
      <c r="S435" s="116"/>
      <c r="T435" s="78"/>
      <c r="U435" s="78"/>
      <c r="V435" s="78"/>
      <c r="W435" s="78"/>
    </row>
    <row r="436" ht="15.75" customHeight="1">
      <c r="A436" s="78"/>
      <c r="B436" s="78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7"/>
      <c r="N436" s="118"/>
      <c r="O436" s="118"/>
      <c r="P436" s="118"/>
      <c r="Q436" s="116"/>
      <c r="R436" s="116"/>
      <c r="S436" s="116"/>
      <c r="T436" s="78"/>
      <c r="U436" s="78"/>
      <c r="V436" s="78"/>
      <c r="W436" s="78"/>
    </row>
    <row r="437" ht="15.75" customHeight="1">
      <c r="A437" s="78"/>
      <c r="B437" s="78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7"/>
      <c r="N437" s="118"/>
      <c r="O437" s="118"/>
      <c r="P437" s="118"/>
      <c r="Q437" s="116"/>
      <c r="R437" s="116"/>
      <c r="S437" s="116"/>
      <c r="T437" s="78"/>
      <c r="U437" s="78"/>
      <c r="V437" s="78"/>
      <c r="W437" s="78"/>
    </row>
    <row r="438" ht="15.75" customHeight="1">
      <c r="A438" s="78"/>
      <c r="B438" s="78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7"/>
      <c r="N438" s="118"/>
      <c r="O438" s="118"/>
      <c r="P438" s="118"/>
      <c r="Q438" s="116"/>
      <c r="R438" s="116"/>
      <c r="S438" s="116"/>
      <c r="T438" s="78"/>
      <c r="U438" s="78"/>
      <c r="V438" s="78"/>
      <c r="W438" s="78"/>
    </row>
    <row r="439" ht="15.75" customHeight="1">
      <c r="A439" s="78"/>
      <c r="B439" s="78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7"/>
      <c r="N439" s="118"/>
      <c r="O439" s="118"/>
      <c r="P439" s="118"/>
      <c r="Q439" s="116"/>
      <c r="R439" s="116"/>
      <c r="S439" s="116"/>
      <c r="T439" s="78"/>
      <c r="U439" s="78"/>
      <c r="V439" s="78"/>
      <c r="W439" s="78"/>
    </row>
    <row r="440" ht="15.75" customHeight="1">
      <c r="A440" s="78"/>
      <c r="B440" s="78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7"/>
      <c r="N440" s="118"/>
      <c r="O440" s="118"/>
      <c r="P440" s="118"/>
      <c r="Q440" s="116"/>
      <c r="R440" s="116"/>
      <c r="S440" s="116"/>
      <c r="T440" s="78"/>
      <c r="U440" s="78"/>
      <c r="V440" s="78"/>
      <c r="W440" s="78"/>
    </row>
    <row r="441" ht="15.75" customHeight="1">
      <c r="A441" s="78"/>
      <c r="B441" s="78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7"/>
      <c r="N441" s="118"/>
      <c r="O441" s="118"/>
      <c r="P441" s="118"/>
      <c r="Q441" s="116"/>
      <c r="R441" s="116"/>
      <c r="S441" s="116"/>
      <c r="T441" s="78"/>
      <c r="U441" s="78"/>
      <c r="V441" s="78"/>
      <c r="W441" s="78"/>
    </row>
    <row r="442" ht="15.75" customHeight="1">
      <c r="A442" s="78"/>
      <c r="B442" s="78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7"/>
      <c r="N442" s="118"/>
      <c r="O442" s="118"/>
      <c r="P442" s="118"/>
      <c r="Q442" s="116"/>
      <c r="R442" s="116"/>
      <c r="S442" s="116"/>
      <c r="T442" s="78"/>
      <c r="U442" s="78"/>
      <c r="V442" s="78"/>
      <c r="W442" s="78"/>
    </row>
    <row r="443" ht="15.75" customHeight="1">
      <c r="A443" s="78"/>
      <c r="B443" s="78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7"/>
      <c r="N443" s="118"/>
      <c r="O443" s="118"/>
      <c r="P443" s="118"/>
      <c r="Q443" s="116"/>
      <c r="R443" s="116"/>
      <c r="S443" s="116"/>
      <c r="T443" s="78"/>
      <c r="U443" s="78"/>
      <c r="V443" s="78"/>
      <c r="W443" s="78"/>
    </row>
    <row r="444" ht="15.75" customHeight="1">
      <c r="A444" s="78"/>
      <c r="B444" s="78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7"/>
      <c r="N444" s="118"/>
      <c r="O444" s="118"/>
      <c r="P444" s="118"/>
      <c r="Q444" s="116"/>
      <c r="R444" s="116"/>
      <c r="S444" s="116"/>
      <c r="T444" s="78"/>
      <c r="U444" s="78"/>
      <c r="V444" s="78"/>
      <c r="W444" s="78"/>
    </row>
    <row r="445" ht="15.75" customHeight="1">
      <c r="A445" s="78"/>
      <c r="B445" s="78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7"/>
      <c r="N445" s="118"/>
      <c r="O445" s="118"/>
      <c r="P445" s="118"/>
      <c r="Q445" s="116"/>
      <c r="R445" s="116"/>
      <c r="S445" s="116"/>
      <c r="T445" s="78"/>
      <c r="U445" s="78"/>
      <c r="V445" s="78"/>
      <c r="W445" s="78"/>
    </row>
    <row r="446" ht="15.75" customHeight="1">
      <c r="A446" s="78"/>
      <c r="B446" s="78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7"/>
      <c r="N446" s="118"/>
      <c r="O446" s="118"/>
      <c r="P446" s="118"/>
      <c r="Q446" s="116"/>
      <c r="R446" s="116"/>
      <c r="S446" s="116"/>
      <c r="T446" s="78"/>
      <c r="U446" s="78"/>
      <c r="V446" s="78"/>
      <c r="W446" s="78"/>
    </row>
    <row r="447" ht="15.75" customHeight="1">
      <c r="A447" s="78"/>
      <c r="B447" s="78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7"/>
      <c r="N447" s="118"/>
      <c r="O447" s="118"/>
      <c r="P447" s="118"/>
      <c r="Q447" s="116"/>
      <c r="R447" s="116"/>
      <c r="S447" s="116"/>
      <c r="T447" s="78"/>
      <c r="U447" s="78"/>
      <c r="V447" s="78"/>
      <c r="W447" s="78"/>
    </row>
    <row r="448" ht="15.75" customHeight="1">
      <c r="A448" s="78"/>
      <c r="B448" s="78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7"/>
      <c r="N448" s="118"/>
      <c r="O448" s="118"/>
      <c r="P448" s="118"/>
      <c r="Q448" s="116"/>
      <c r="R448" s="116"/>
      <c r="S448" s="116"/>
      <c r="T448" s="78"/>
      <c r="U448" s="78"/>
      <c r="V448" s="78"/>
      <c r="W448" s="78"/>
    </row>
    <row r="449" ht="15.75" customHeight="1">
      <c r="A449" s="78"/>
      <c r="B449" s="78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7"/>
      <c r="N449" s="118"/>
      <c r="O449" s="118"/>
      <c r="P449" s="118"/>
      <c r="Q449" s="116"/>
      <c r="R449" s="116"/>
      <c r="S449" s="116"/>
      <c r="T449" s="78"/>
      <c r="U449" s="78"/>
      <c r="V449" s="78"/>
      <c r="W449" s="78"/>
    </row>
    <row r="450" ht="15.75" customHeight="1">
      <c r="A450" s="78"/>
      <c r="B450" s="78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7"/>
      <c r="N450" s="118"/>
      <c r="O450" s="118"/>
      <c r="P450" s="118"/>
      <c r="Q450" s="116"/>
      <c r="R450" s="116"/>
      <c r="S450" s="116"/>
      <c r="T450" s="78"/>
      <c r="U450" s="78"/>
      <c r="V450" s="78"/>
      <c r="W450" s="78"/>
    </row>
    <row r="451" ht="15.75" customHeight="1">
      <c r="A451" s="78"/>
      <c r="B451" s="78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7"/>
      <c r="N451" s="118"/>
      <c r="O451" s="118"/>
      <c r="P451" s="118"/>
      <c r="Q451" s="116"/>
      <c r="R451" s="116"/>
      <c r="S451" s="116"/>
      <c r="T451" s="78"/>
      <c r="U451" s="78"/>
      <c r="V451" s="78"/>
      <c r="W451" s="78"/>
    </row>
    <row r="452" ht="15.75" customHeight="1">
      <c r="A452" s="78"/>
      <c r="B452" s="78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7"/>
      <c r="N452" s="118"/>
      <c r="O452" s="118"/>
      <c r="P452" s="118"/>
      <c r="Q452" s="116"/>
      <c r="R452" s="116"/>
      <c r="S452" s="116"/>
      <c r="T452" s="78"/>
      <c r="U452" s="78"/>
      <c r="V452" s="78"/>
      <c r="W452" s="78"/>
    </row>
    <row r="453" ht="15.75" customHeight="1">
      <c r="A453" s="78"/>
      <c r="B453" s="78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7"/>
      <c r="N453" s="118"/>
      <c r="O453" s="118"/>
      <c r="P453" s="118"/>
      <c r="Q453" s="116"/>
      <c r="R453" s="116"/>
      <c r="S453" s="116"/>
      <c r="T453" s="78"/>
      <c r="U453" s="78"/>
      <c r="V453" s="78"/>
      <c r="W453" s="78"/>
    </row>
    <row r="454" ht="15.75" customHeight="1">
      <c r="A454" s="78"/>
      <c r="B454" s="78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7"/>
      <c r="N454" s="118"/>
      <c r="O454" s="118"/>
      <c r="P454" s="118"/>
      <c r="Q454" s="116"/>
      <c r="R454" s="116"/>
      <c r="S454" s="116"/>
      <c r="T454" s="78"/>
      <c r="U454" s="78"/>
      <c r="V454" s="78"/>
      <c r="W454" s="78"/>
    </row>
    <row r="455" ht="15.75" customHeight="1">
      <c r="A455" s="78"/>
      <c r="B455" s="78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7"/>
      <c r="N455" s="118"/>
      <c r="O455" s="118"/>
      <c r="P455" s="118"/>
      <c r="Q455" s="116"/>
      <c r="R455" s="116"/>
      <c r="S455" s="116"/>
      <c r="T455" s="78"/>
      <c r="U455" s="78"/>
      <c r="V455" s="78"/>
      <c r="W455" s="78"/>
    </row>
    <row r="456" ht="15.75" customHeight="1">
      <c r="A456" s="78"/>
      <c r="B456" s="78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7"/>
      <c r="N456" s="118"/>
      <c r="O456" s="118"/>
      <c r="P456" s="118"/>
      <c r="Q456" s="116"/>
      <c r="R456" s="116"/>
      <c r="S456" s="116"/>
      <c r="T456" s="78"/>
      <c r="U456" s="78"/>
      <c r="V456" s="78"/>
      <c r="W456" s="78"/>
    </row>
    <row r="457" ht="15.75" customHeight="1">
      <c r="A457" s="78"/>
      <c r="B457" s="78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7"/>
      <c r="N457" s="118"/>
      <c r="O457" s="118"/>
      <c r="P457" s="118"/>
      <c r="Q457" s="116"/>
      <c r="R457" s="116"/>
      <c r="S457" s="116"/>
      <c r="T457" s="78"/>
      <c r="U457" s="78"/>
      <c r="V457" s="78"/>
      <c r="W457" s="78"/>
    </row>
    <row r="458" ht="15.75" customHeight="1">
      <c r="A458" s="78"/>
      <c r="B458" s="78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7"/>
      <c r="N458" s="118"/>
      <c r="O458" s="118"/>
      <c r="P458" s="118"/>
      <c r="Q458" s="116"/>
      <c r="R458" s="116"/>
      <c r="S458" s="116"/>
      <c r="T458" s="78"/>
      <c r="U458" s="78"/>
      <c r="V458" s="78"/>
      <c r="W458" s="78"/>
    </row>
    <row r="459" ht="15.75" customHeight="1">
      <c r="A459" s="78"/>
      <c r="B459" s="78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7"/>
      <c r="N459" s="118"/>
      <c r="O459" s="118"/>
      <c r="P459" s="118"/>
      <c r="Q459" s="116"/>
      <c r="R459" s="116"/>
      <c r="S459" s="116"/>
      <c r="T459" s="78"/>
      <c r="U459" s="78"/>
      <c r="V459" s="78"/>
      <c r="W459" s="78"/>
    </row>
    <row r="460" ht="15.75" customHeight="1">
      <c r="A460" s="78"/>
      <c r="B460" s="78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7"/>
      <c r="N460" s="118"/>
      <c r="O460" s="118"/>
      <c r="P460" s="118"/>
      <c r="Q460" s="116"/>
      <c r="R460" s="116"/>
      <c r="S460" s="116"/>
      <c r="T460" s="78"/>
      <c r="U460" s="78"/>
      <c r="V460" s="78"/>
      <c r="W460" s="78"/>
    </row>
    <row r="461" ht="15.75" customHeight="1">
      <c r="A461" s="78"/>
      <c r="B461" s="78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7"/>
      <c r="N461" s="118"/>
      <c r="O461" s="118"/>
      <c r="P461" s="118"/>
      <c r="Q461" s="116"/>
      <c r="R461" s="116"/>
      <c r="S461" s="116"/>
      <c r="T461" s="78"/>
      <c r="U461" s="78"/>
      <c r="V461" s="78"/>
      <c r="W461" s="78"/>
    </row>
    <row r="462" ht="15.75" customHeight="1">
      <c r="A462" s="78"/>
      <c r="B462" s="78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7"/>
      <c r="N462" s="118"/>
      <c r="O462" s="118"/>
      <c r="P462" s="118"/>
      <c r="Q462" s="116"/>
      <c r="R462" s="116"/>
      <c r="S462" s="116"/>
      <c r="T462" s="78"/>
      <c r="U462" s="78"/>
      <c r="V462" s="78"/>
      <c r="W462" s="78"/>
    </row>
    <row r="463" ht="15.75" customHeight="1">
      <c r="A463" s="78"/>
      <c r="B463" s="78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7"/>
      <c r="N463" s="118"/>
      <c r="O463" s="118"/>
      <c r="P463" s="118"/>
      <c r="Q463" s="116"/>
      <c r="R463" s="116"/>
      <c r="S463" s="116"/>
      <c r="T463" s="78"/>
      <c r="U463" s="78"/>
      <c r="V463" s="78"/>
      <c r="W463" s="78"/>
    </row>
    <row r="464" ht="15.75" customHeight="1">
      <c r="A464" s="78"/>
      <c r="B464" s="78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7"/>
      <c r="N464" s="118"/>
      <c r="O464" s="118"/>
      <c r="P464" s="118"/>
      <c r="Q464" s="116"/>
      <c r="R464" s="116"/>
      <c r="S464" s="116"/>
      <c r="T464" s="78"/>
      <c r="U464" s="78"/>
      <c r="V464" s="78"/>
      <c r="W464" s="78"/>
    </row>
    <row r="465" ht="15.75" customHeight="1">
      <c r="A465" s="78"/>
      <c r="B465" s="78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7"/>
      <c r="N465" s="118"/>
      <c r="O465" s="118"/>
      <c r="P465" s="118"/>
      <c r="Q465" s="116"/>
      <c r="R465" s="116"/>
      <c r="S465" s="116"/>
      <c r="T465" s="78"/>
      <c r="U465" s="78"/>
      <c r="V465" s="78"/>
      <c r="W465" s="78"/>
    </row>
    <row r="466" ht="15.75" customHeight="1">
      <c r="A466" s="78"/>
      <c r="B466" s="78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7"/>
      <c r="N466" s="118"/>
      <c r="O466" s="118"/>
      <c r="P466" s="118"/>
      <c r="Q466" s="116"/>
      <c r="R466" s="116"/>
      <c r="S466" s="116"/>
      <c r="T466" s="78"/>
      <c r="U466" s="78"/>
      <c r="V466" s="78"/>
      <c r="W466" s="78"/>
    </row>
    <row r="467" ht="15.75" customHeight="1">
      <c r="A467" s="78"/>
      <c r="B467" s="78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7"/>
      <c r="N467" s="118"/>
      <c r="O467" s="118"/>
      <c r="P467" s="118"/>
      <c r="Q467" s="116"/>
      <c r="R467" s="116"/>
      <c r="S467" s="116"/>
      <c r="T467" s="78"/>
      <c r="U467" s="78"/>
      <c r="V467" s="78"/>
      <c r="W467" s="78"/>
    </row>
    <row r="468" ht="15.75" customHeight="1">
      <c r="A468" s="78"/>
      <c r="B468" s="78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7"/>
      <c r="N468" s="118"/>
      <c r="O468" s="118"/>
      <c r="P468" s="118"/>
      <c r="Q468" s="116"/>
      <c r="R468" s="116"/>
      <c r="S468" s="116"/>
      <c r="T468" s="78"/>
      <c r="U468" s="78"/>
      <c r="V468" s="78"/>
      <c r="W468" s="78"/>
    </row>
    <row r="469" ht="15.75" customHeight="1">
      <c r="A469" s="78"/>
      <c r="B469" s="78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7"/>
      <c r="N469" s="118"/>
      <c r="O469" s="118"/>
      <c r="P469" s="118"/>
      <c r="Q469" s="116"/>
      <c r="R469" s="116"/>
      <c r="S469" s="116"/>
      <c r="T469" s="78"/>
      <c r="U469" s="78"/>
      <c r="V469" s="78"/>
      <c r="W469" s="78"/>
    </row>
    <row r="470" ht="15.75" customHeight="1">
      <c r="A470" s="78"/>
      <c r="B470" s="78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7"/>
      <c r="N470" s="118"/>
      <c r="O470" s="118"/>
      <c r="P470" s="118"/>
      <c r="Q470" s="116"/>
      <c r="R470" s="116"/>
      <c r="S470" s="116"/>
      <c r="T470" s="78"/>
      <c r="U470" s="78"/>
      <c r="V470" s="78"/>
      <c r="W470" s="78"/>
    </row>
    <row r="471" ht="15.75" customHeight="1">
      <c r="A471" s="78"/>
      <c r="B471" s="78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7"/>
      <c r="N471" s="118"/>
      <c r="O471" s="118"/>
      <c r="P471" s="118"/>
      <c r="Q471" s="116"/>
      <c r="R471" s="116"/>
      <c r="S471" s="116"/>
      <c r="T471" s="78"/>
      <c r="U471" s="78"/>
      <c r="V471" s="78"/>
      <c r="W471" s="78"/>
    </row>
    <row r="472" ht="15.75" customHeight="1">
      <c r="A472" s="78"/>
      <c r="B472" s="78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7"/>
      <c r="N472" s="118"/>
      <c r="O472" s="118"/>
      <c r="P472" s="118"/>
      <c r="Q472" s="116"/>
      <c r="R472" s="116"/>
      <c r="S472" s="116"/>
      <c r="T472" s="78"/>
      <c r="U472" s="78"/>
      <c r="V472" s="78"/>
      <c r="W472" s="78"/>
    </row>
    <row r="473" ht="15.75" customHeight="1">
      <c r="A473" s="78"/>
      <c r="B473" s="78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7"/>
      <c r="N473" s="118"/>
      <c r="O473" s="118"/>
      <c r="P473" s="118"/>
      <c r="Q473" s="116"/>
      <c r="R473" s="116"/>
      <c r="S473" s="116"/>
      <c r="T473" s="78"/>
      <c r="U473" s="78"/>
      <c r="V473" s="78"/>
      <c r="W473" s="78"/>
    </row>
    <row r="474" ht="15.75" customHeight="1">
      <c r="A474" s="78"/>
      <c r="B474" s="78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7"/>
      <c r="N474" s="118"/>
      <c r="O474" s="118"/>
      <c r="P474" s="118"/>
      <c r="Q474" s="116"/>
      <c r="R474" s="116"/>
      <c r="S474" s="116"/>
      <c r="T474" s="78"/>
      <c r="U474" s="78"/>
      <c r="V474" s="78"/>
      <c r="W474" s="78"/>
    </row>
    <row r="475" ht="15.75" customHeight="1">
      <c r="A475" s="78"/>
      <c r="B475" s="78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7"/>
      <c r="N475" s="118"/>
      <c r="O475" s="118"/>
      <c r="P475" s="118"/>
      <c r="Q475" s="116"/>
      <c r="R475" s="116"/>
      <c r="S475" s="116"/>
      <c r="T475" s="78"/>
      <c r="U475" s="78"/>
      <c r="V475" s="78"/>
      <c r="W475" s="78"/>
    </row>
    <row r="476" ht="15.75" customHeight="1">
      <c r="A476" s="78"/>
      <c r="B476" s="78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7"/>
      <c r="N476" s="118"/>
      <c r="O476" s="118"/>
      <c r="P476" s="118"/>
      <c r="Q476" s="116"/>
      <c r="R476" s="116"/>
      <c r="S476" s="116"/>
      <c r="T476" s="78"/>
      <c r="U476" s="78"/>
      <c r="V476" s="78"/>
      <c r="W476" s="78"/>
    </row>
    <row r="477" ht="15.75" customHeight="1">
      <c r="A477" s="78"/>
      <c r="B477" s="78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7"/>
      <c r="N477" s="118"/>
      <c r="O477" s="118"/>
      <c r="P477" s="118"/>
      <c r="Q477" s="116"/>
      <c r="R477" s="116"/>
      <c r="S477" s="116"/>
      <c r="T477" s="78"/>
      <c r="U477" s="78"/>
      <c r="V477" s="78"/>
      <c r="W477" s="78"/>
    </row>
    <row r="478" ht="15.75" customHeight="1">
      <c r="A478" s="78"/>
      <c r="B478" s="78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7"/>
      <c r="N478" s="118"/>
      <c r="O478" s="118"/>
      <c r="P478" s="118"/>
      <c r="Q478" s="116"/>
      <c r="R478" s="116"/>
      <c r="S478" s="116"/>
      <c r="T478" s="78"/>
      <c r="U478" s="78"/>
      <c r="V478" s="78"/>
      <c r="W478" s="78"/>
    </row>
    <row r="479" ht="15.75" customHeight="1">
      <c r="A479" s="78"/>
      <c r="B479" s="78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7"/>
      <c r="N479" s="118"/>
      <c r="O479" s="118"/>
      <c r="P479" s="118"/>
      <c r="Q479" s="116"/>
      <c r="R479" s="116"/>
      <c r="S479" s="116"/>
      <c r="T479" s="78"/>
      <c r="U479" s="78"/>
      <c r="V479" s="78"/>
      <c r="W479" s="78"/>
    </row>
    <row r="480" ht="15.75" customHeight="1">
      <c r="A480" s="78"/>
      <c r="B480" s="78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7"/>
      <c r="N480" s="118"/>
      <c r="O480" s="118"/>
      <c r="P480" s="118"/>
      <c r="Q480" s="116"/>
      <c r="R480" s="116"/>
      <c r="S480" s="116"/>
      <c r="T480" s="78"/>
      <c r="U480" s="78"/>
      <c r="V480" s="78"/>
      <c r="W480" s="78"/>
    </row>
    <row r="481" ht="15.75" customHeight="1">
      <c r="A481" s="78"/>
      <c r="B481" s="78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7"/>
      <c r="N481" s="118"/>
      <c r="O481" s="118"/>
      <c r="P481" s="118"/>
      <c r="Q481" s="116"/>
      <c r="R481" s="116"/>
      <c r="S481" s="116"/>
      <c r="T481" s="78"/>
      <c r="U481" s="78"/>
      <c r="V481" s="78"/>
      <c r="W481" s="78"/>
    </row>
    <row r="482" ht="15.75" customHeight="1">
      <c r="A482" s="78"/>
      <c r="B482" s="78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7"/>
      <c r="N482" s="118"/>
      <c r="O482" s="118"/>
      <c r="P482" s="118"/>
      <c r="Q482" s="116"/>
      <c r="R482" s="116"/>
      <c r="S482" s="116"/>
      <c r="T482" s="78"/>
      <c r="U482" s="78"/>
      <c r="V482" s="78"/>
      <c r="W482" s="78"/>
    </row>
    <row r="483" ht="15.75" customHeight="1">
      <c r="A483" s="78"/>
      <c r="B483" s="78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7"/>
      <c r="N483" s="118"/>
      <c r="O483" s="118"/>
      <c r="P483" s="118"/>
      <c r="Q483" s="116"/>
      <c r="R483" s="116"/>
      <c r="S483" s="116"/>
      <c r="T483" s="78"/>
      <c r="U483" s="78"/>
      <c r="V483" s="78"/>
      <c r="W483" s="78"/>
    </row>
    <row r="484" ht="15.75" customHeight="1">
      <c r="A484" s="78"/>
      <c r="B484" s="78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7"/>
      <c r="N484" s="118"/>
      <c r="O484" s="118"/>
      <c r="P484" s="118"/>
      <c r="Q484" s="116"/>
      <c r="R484" s="116"/>
      <c r="S484" s="116"/>
      <c r="T484" s="78"/>
      <c r="U484" s="78"/>
      <c r="V484" s="78"/>
      <c r="W484" s="78"/>
    </row>
    <row r="485" ht="15.75" customHeight="1">
      <c r="A485" s="78"/>
      <c r="B485" s="78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7"/>
      <c r="N485" s="118"/>
      <c r="O485" s="118"/>
      <c r="P485" s="118"/>
      <c r="Q485" s="116"/>
      <c r="R485" s="116"/>
      <c r="S485" s="116"/>
      <c r="T485" s="78"/>
      <c r="U485" s="78"/>
      <c r="V485" s="78"/>
      <c r="W485" s="78"/>
    </row>
    <row r="486" ht="15.75" customHeight="1">
      <c r="A486" s="78"/>
      <c r="B486" s="78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7"/>
      <c r="N486" s="118"/>
      <c r="O486" s="118"/>
      <c r="P486" s="118"/>
      <c r="Q486" s="116"/>
      <c r="R486" s="116"/>
      <c r="S486" s="116"/>
      <c r="T486" s="78"/>
      <c r="U486" s="78"/>
      <c r="V486" s="78"/>
      <c r="W486" s="78"/>
    </row>
    <row r="487" ht="15.75" customHeight="1">
      <c r="A487" s="78"/>
      <c r="B487" s="78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7"/>
      <c r="N487" s="118"/>
      <c r="O487" s="118"/>
      <c r="P487" s="118"/>
      <c r="Q487" s="116"/>
      <c r="R487" s="116"/>
      <c r="S487" s="116"/>
      <c r="T487" s="78"/>
      <c r="U487" s="78"/>
      <c r="V487" s="78"/>
      <c r="W487" s="78"/>
    </row>
    <row r="488" ht="15.75" customHeight="1">
      <c r="A488" s="78"/>
      <c r="B488" s="78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7"/>
      <c r="N488" s="118"/>
      <c r="O488" s="118"/>
      <c r="P488" s="118"/>
      <c r="Q488" s="116"/>
      <c r="R488" s="116"/>
      <c r="S488" s="116"/>
      <c r="T488" s="78"/>
      <c r="U488" s="78"/>
      <c r="V488" s="78"/>
      <c r="W488" s="78"/>
    </row>
    <row r="489" ht="15.75" customHeight="1">
      <c r="A489" s="78"/>
      <c r="B489" s="78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7"/>
      <c r="N489" s="118"/>
      <c r="O489" s="118"/>
      <c r="P489" s="118"/>
      <c r="Q489" s="116"/>
      <c r="R489" s="116"/>
      <c r="S489" s="116"/>
      <c r="T489" s="78"/>
      <c r="U489" s="78"/>
      <c r="V489" s="78"/>
      <c r="W489" s="78"/>
    </row>
    <row r="490" ht="15.75" customHeight="1">
      <c r="A490" s="78"/>
      <c r="B490" s="78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7"/>
      <c r="N490" s="118"/>
      <c r="O490" s="118"/>
      <c r="P490" s="118"/>
      <c r="Q490" s="116"/>
      <c r="R490" s="116"/>
      <c r="S490" s="116"/>
      <c r="T490" s="78"/>
      <c r="U490" s="78"/>
      <c r="V490" s="78"/>
      <c r="W490" s="78"/>
    </row>
    <row r="491" ht="15.75" customHeight="1">
      <c r="A491" s="78"/>
      <c r="B491" s="78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7"/>
      <c r="N491" s="118"/>
      <c r="O491" s="118"/>
      <c r="P491" s="118"/>
      <c r="Q491" s="116"/>
      <c r="R491" s="116"/>
      <c r="S491" s="116"/>
      <c r="T491" s="78"/>
      <c r="U491" s="78"/>
      <c r="V491" s="78"/>
      <c r="W491" s="78"/>
    </row>
    <row r="492" ht="15.75" customHeight="1">
      <c r="A492" s="78"/>
      <c r="B492" s="78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7"/>
      <c r="N492" s="118"/>
      <c r="O492" s="118"/>
      <c r="P492" s="118"/>
      <c r="Q492" s="116"/>
      <c r="R492" s="116"/>
      <c r="S492" s="116"/>
      <c r="T492" s="78"/>
      <c r="U492" s="78"/>
      <c r="V492" s="78"/>
      <c r="W492" s="78"/>
    </row>
    <row r="493" ht="15.75" customHeight="1">
      <c r="A493" s="78"/>
      <c r="B493" s="78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7"/>
      <c r="N493" s="118"/>
      <c r="O493" s="118"/>
      <c r="P493" s="118"/>
      <c r="Q493" s="116"/>
      <c r="R493" s="116"/>
      <c r="S493" s="116"/>
      <c r="T493" s="78"/>
      <c r="U493" s="78"/>
      <c r="V493" s="78"/>
      <c r="W493" s="78"/>
    </row>
    <row r="494" ht="15.75" customHeight="1">
      <c r="A494" s="78"/>
      <c r="B494" s="78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7"/>
      <c r="N494" s="118"/>
      <c r="O494" s="118"/>
      <c r="P494" s="118"/>
      <c r="Q494" s="116"/>
      <c r="R494" s="116"/>
      <c r="S494" s="116"/>
      <c r="T494" s="78"/>
      <c r="U494" s="78"/>
      <c r="V494" s="78"/>
      <c r="W494" s="78"/>
    </row>
    <row r="495" ht="15.75" customHeight="1">
      <c r="A495" s="78"/>
      <c r="B495" s="78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7"/>
      <c r="N495" s="118"/>
      <c r="O495" s="118"/>
      <c r="P495" s="118"/>
      <c r="Q495" s="116"/>
      <c r="R495" s="116"/>
      <c r="S495" s="116"/>
      <c r="T495" s="78"/>
      <c r="U495" s="78"/>
      <c r="V495" s="78"/>
      <c r="W495" s="78"/>
    </row>
    <row r="496" ht="15.75" customHeight="1">
      <c r="A496" s="78"/>
      <c r="B496" s="78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7"/>
      <c r="N496" s="118"/>
      <c r="O496" s="118"/>
      <c r="P496" s="118"/>
      <c r="Q496" s="116"/>
      <c r="R496" s="116"/>
      <c r="S496" s="116"/>
      <c r="T496" s="78"/>
      <c r="U496" s="78"/>
      <c r="V496" s="78"/>
      <c r="W496" s="78"/>
    </row>
    <row r="497" ht="15.75" customHeight="1">
      <c r="A497" s="78"/>
      <c r="B497" s="78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7"/>
      <c r="N497" s="118"/>
      <c r="O497" s="118"/>
      <c r="P497" s="118"/>
      <c r="Q497" s="116"/>
      <c r="R497" s="116"/>
      <c r="S497" s="116"/>
      <c r="T497" s="78"/>
      <c r="U497" s="78"/>
      <c r="V497" s="78"/>
      <c r="W497" s="78"/>
    </row>
    <row r="498" ht="15.75" customHeight="1">
      <c r="A498" s="78"/>
      <c r="B498" s="78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7"/>
      <c r="N498" s="118"/>
      <c r="O498" s="118"/>
      <c r="P498" s="118"/>
      <c r="Q498" s="116"/>
      <c r="R498" s="116"/>
      <c r="S498" s="116"/>
      <c r="T498" s="78"/>
      <c r="U498" s="78"/>
      <c r="V498" s="78"/>
      <c r="W498" s="78"/>
    </row>
    <row r="499" ht="15.75" customHeight="1">
      <c r="A499" s="78"/>
      <c r="B499" s="78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7"/>
      <c r="N499" s="118"/>
      <c r="O499" s="118"/>
      <c r="P499" s="118"/>
      <c r="Q499" s="116"/>
      <c r="R499" s="116"/>
      <c r="S499" s="116"/>
      <c r="T499" s="78"/>
      <c r="U499" s="78"/>
      <c r="V499" s="78"/>
      <c r="W499" s="78"/>
    </row>
    <row r="500" ht="15.75" customHeight="1">
      <c r="A500" s="78"/>
      <c r="B500" s="78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7"/>
      <c r="N500" s="118"/>
      <c r="O500" s="118"/>
      <c r="P500" s="118"/>
      <c r="Q500" s="116"/>
      <c r="R500" s="116"/>
      <c r="S500" s="116"/>
      <c r="T500" s="78"/>
      <c r="U500" s="78"/>
      <c r="V500" s="78"/>
      <c r="W500" s="78"/>
    </row>
    <row r="501" ht="15.75" customHeight="1">
      <c r="A501" s="78"/>
      <c r="B501" s="78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7"/>
      <c r="N501" s="118"/>
      <c r="O501" s="118"/>
      <c r="P501" s="118"/>
      <c r="Q501" s="116"/>
      <c r="R501" s="116"/>
      <c r="S501" s="116"/>
      <c r="T501" s="78"/>
      <c r="U501" s="78"/>
      <c r="V501" s="78"/>
      <c r="W501" s="78"/>
    </row>
    <row r="502" ht="15.75" customHeight="1">
      <c r="A502" s="78"/>
      <c r="B502" s="78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7"/>
      <c r="N502" s="118"/>
      <c r="O502" s="118"/>
      <c r="P502" s="118"/>
      <c r="Q502" s="116"/>
      <c r="R502" s="116"/>
      <c r="S502" s="116"/>
      <c r="T502" s="78"/>
      <c r="U502" s="78"/>
      <c r="V502" s="78"/>
      <c r="W502" s="78"/>
    </row>
    <row r="503" ht="15.75" customHeight="1">
      <c r="A503" s="78"/>
      <c r="B503" s="78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7"/>
      <c r="N503" s="118"/>
      <c r="O503" s="118"/>
      <c r="P503" s="118"/>
      <c r="Q503" s="116"/>
      <c r="R503" s="116"/>
      <c r="S503" s="116"/>
      <c r="T503" s="78"/>
      <c r="U503" s="78"/>
      <c r="V503" s="78"/>
      <c r="W503" s="78"/>
    </row>
    <row r="504" ht="15.75" customHeight="1">
      <c r="A504" s="78"/>
      <c r="B504" s="78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7"/>
      <c r="N504" s="118"/>
      <c r="O504" s="118"/>
      <c r="P504" s="118"/>
      <c r="Q504" s="116"/>
      <c r="R504" s="116"/>
      <c r="S504" s="116"/>
      <c r="T504" s="78"/>
      <c r="U504" s="78"/>
      <c r="V504" s="78"/>
      <c r="W504" s="78"/>
    </row>
    <row r="505" ht="15.75" customHeight="1">
      <c r="A505" s="78"/>
      <c r="B505" s="78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7"/>
      <c r="N505" s="118"/>
      <c r="O505" s="118"/>
      <c r="P505" s="118"/>
      <c r="Q505" s="116"/>
      <c r="R505" s="116"/>
      <c r="S505" s="116"/>
      <c r="T505" s="78"/>
      <c r="U505" s="78"/>
      <c r="V505" s="78"/>
      <c r="W505" s="78"/>
    </row>
    <row r="506" ht="15.75" customHeight="1">
      <c r="A506" s="78"/>
      <c r="B506" s="78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7"/>
      <c r="N506" s="118"/>
      <c r="O506" s="118"/>
      <c r="P506" s="118"/>
      <c r="Q506" s="116"/>
      <c r="R506" s="116"/>
      <c r="S506" s="116"/>
      <c r="T506" s="78"/>
      <c r="U506" s="78"/>
      <c r="V506" s="78"/>
      <c r="W506" s="78"/>
    </row>
    <row r="507" ht="15.75" customHeight="1">
      <c r="A507" s="78"/>
      <c r="B507" s="78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7"/>
      <c r="N507" s="118"/>
      <c r="O507" s="118"/>
      <c r="P507" s="118"/>
      <c r="Q507" s="116"/>
      <c r="R507" s="116"/>
      <c r="S507" s="116"/>
      <c r="T507" s="78"/>
      <c r="U507" s="78"/>
      <c r="V507" s="78"/>
      <c r="W507" s="78"/>
    </row>
    <row r="508" ht="15.75" customHeight="1">
      <c r="A508" s="78"/>
      <c r="B508" s="78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7"/>
      <c r="N508" s="118"/>
      <c r="O508" s="118"/>
      <c r="P508" s="118"/>
      <c r="Q508" s="116"/>
      <c r="R508" s="116"/>
      <c r="S508" s="116"/>
      <c r="T508" s="78"/>
      <c r="U508" s="78"/>
      <c r="V508" s="78"/>
      <c r="W508" s="78"/>
    </row>
    <row r="509" ht="15.75" customHeight="1">
      <c r="A509" s="78"/>
      <c r="B509" s="78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7"/>
      <c r="N509" s="118"/>
      <c r="O509" s="118"/>
      <c r="P509" s="118"/>
      <c r="Q509" s="116"/>
      <c r="R509" s="116"/>
      <c r="S509" s="116"/>
      <c r="T509" s="78"/>
      <c r="U509" s="78"/>
      <c r="V509" s="78"/>
      <c r="W509" s="78"/>
    </row>
    <row r="510" ht="15.75" customHeight="1">
      <c r="A510" s="78"/>
      <c r="B510" s="78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7"/>
      <c r="N510" s="118"/>
      <c r="O510" s="118"/>
      <c r="P510" s="118"/>
      <c r="Q510" s="116"/>
      <c r="R510" s="116"/>
      <c r="S510" s="116"/>
      <c r="T510" s="78"/>
      <c r="U510" s="78"/>
      <c r="V510" s="78"/>
      <c r="W510" s="78"/>
    </row>
    <row r="511" ht="15.75" customHeight="1">
      <c r="A511" s="78"/>
      <c r="B511" s="78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7"/>
      <c r="N511" s="118"/>
      <c r="O511" s="118"/>
      <c r="P511" s="118"/>
      <c r="Q511" s="116"/>
      <c r="R511" s="116"/>
      <c r="S511" s="116"/>
      <c r="T511" s="78"/>
      <c r="U511" s="78"/>
      <c r="V511" s="78"/>
      <c r="W511" s="78"/>
    </row>
    <row r="512" ht="15.75" customHeight="1">
      <c r="A512" s="78"/>
      <c r="B512" s="78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7"/>
      <c r="N512" s="118"/>
      <c r="O512" s="118"/>
      <c r="P512" s="118"/>
      <c r="Q512" s="116"/>
      <c r="R512" s="116"/>
      <c r="S512" s="116"/>
      <c r="T512" s="78"/>
      <c r="U512" s="78"/>
      <c r="V512" s="78"/>
      <c r="W512" s="78"/>
    </row>
    <row r="513" ht="15.75" customHeight="1">
      <c r="A513" s="78"/>
      <c r="B513" s="78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7"/>
      <c r="N513" s="118"/>
      <c r="O513" s="118"/>
      <c r="P513" s="118"/>
      <c r="Q513" s="116"/>
      <c r="R513" s="116"/>
      <c r="S513" s="116"/>
      <c r="T513" s="78"/>
      <c r="U513" s="78"/>
      <c r="V513" s="78"/>
      <c r="W513" s="78"/>
    </row>
    <row r="514" ht="15.75" customHeight="1">
      <c r="A514" s="78"/>
      <c r="B514" s="78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7"/>
      <c r="N514" s="118"/>
      <c r="O514" s="118"/>
      <c r="P514" s="118"/>
      <c r="Q514" s="116"/>
      <c r="R514" s="116"/>
      <c r="S514" s="116"/>
      <c r="T514" s="78"/>
      <c r="U514" s="78"/>
      <c r="V514" s="78"/>
      <c r="W514" s="78"/>
    </row>
    <row r="515" ht="15.75" customHeight="1">
      <c r="A515" s="78"/>
      <c r="B515" s="78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7"/>
      <c r="N515" s="118"/>
      <c r="O515" s="118"/>
      <c r="P515" s="118"/>
      <c r="Q515" s="116"/>
      <c r="R515" s="116"/>
      <c r="S515" s="116"/>
      <c r="T515" s="78"/>
      <c r="U515" s="78"/>
      <c r="V515" s="78"/>
      <c r="W515" s="78"/>
    </row>
    <row r="516" ht="15.75" customHeight="1">
      <c r="A516" s="78"/>
      <c r="B516" s="78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7"/>
      <c r="N516" s="118"/>
      <c r="O516" s="118"/>
      <c r="P516" s="118"/>
      <c r="Q516" s="116"/>
      <c r="R516" s="116"/>
      <c r="S516" s="116"/>
      <c r="T516" s="78"/>
      <c r="U516" s="78"/>
      <c r="V516" s="78"/>
      <c r="W516" s="78"/>
    </row>
    <row r="517" ht="15.75" customHeight="1">
      <c r="A517" s="78"/>
      <c r="B517" s="78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7"/>
      <c r="N517" s="118"/>
      <c r="O517" s="118"/>
      <c r="P517" s="118"/>
      <c r="Q517" s="116"/>
      <c r="R517" s="116"/>
      <c r="S517" s="116"/>
      <c r="T517" s="78"/>
      <c r="U517" s="78"/>
      <c r="V517" s="78"/>
      <c r="W517" s="78"/>
    </row>
    <row r="518" ht="15.75" customHeight="1">
      <c r="A518" s="78"/>
      <c r="B518" s="78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7"/>
      <c r="N518" s="118"/>
      <c r="O518" s="118"/>
      <c r="P518" s="118"/>
      <c r="Q518" s="116"/>
      <c r="R518" s="116"/>
      <c r="S518" s="116"/>
      <c r="T518" s="78"/>
      <c r="U518" s="78"/>
      <c r="V518" s="78"/>
      <c r="W518" s="78"/>
    </row>
    <row r="519" ht="15.75" customHeight="1">
      <c r="A519" s="78"/>
      <c r="B519" s="78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7"/>
      <c r="N519" s="118"/>
      <c r="O519" s="118"/>
      <c r="P519" s="118"/>
      <c r="Q519" s="116"/>
      <c r="R519" s="116"/>
      <c r="S519" s="116"/>
      <c r="T519" s="78"/>
      <c r="U519" s="78"/>
      <c r="V519" s="78"/>
      <c r="W519" s="78"/>
    </row>
    <row r="520" ht="15.75" customHeight="1">
      <c r="A520" s="78"/>
      <c r="B520" s="78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7"/>
      <c r="N520" s="118"/>
      <c r="O520" s="118"/>
      <c r="P520" s="118"/>
      <c r="Q520" s="116"/>
      <c r="R520" s="116"/>
      <c r="S520" s="116"/>
      <c r="T520" s="78"/>
      <c r="U520" s="78"/>
      <c r="V520" s="78"/>
      <c r="W520" s="78"/>
    </row>
    <row r="521" ht="15.75" customHeight="1">
      <c r="A521" s="78"/>
      <c r="B521" s="78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7"/>
      <c r="N521" s="118"/>
      <c r="O521" s="118"/>
      <c r="P521" s="118"/>
      <c r="Q521" s="116"/>
      <c r="R521" s="116"/>
      <c r="S521" s="116"/>
      <c r="T521" s="78"/>
      <c r="U521" s="78"/>
      <c r="V521" s="78"/>
      <c r="W521" s="78"/>
    </row>
    <row r="522" ht="15.75" customHeight="1">
      <c r="A522" s="78"/>
      <c r="B522" s="78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7"/>
      <c r="N522" s="118"/>
      <c r="O522" s="118"/>
      <c r="P522" s="118"/>
      <c r="Q522" s="116"/>
      <c r="R522" s="116"/>
      <c r="S522" s="116"/>
      <c r="T522" s="78"/>
      <c r="U522" s="78"/>
      <c r="V522" s="78"/>
      <c r="W522" s="78"/>
    </row>
    <row r="523" ht="15.75" customHeight="1">
      <c r="A523" s="78"/>
      <c r="B523" s="78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7"/>
      <c r="N523" s="118"/>
      <c r="O523" s="118"/>
      <c r="P523" s="118"/>
      <c r="Q523" s="116"/>
      <c r="R523" s="116"/>
      <c r="S523" s="116"/>
      <c r="T523" s="78"/>
      <c r="U523" s="78"/>
      <c r="V523" s="78"/>
      <c r="W523" s="78"/>
    </row>
    <row r="524" ht="15.75" customHeight="1">
      <c r="A524" s="78"/>
      <c r="B524" s="78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7"/>
      <c r="N524" s="118"/>
      <c r="O524" s="118"/>
      <c r="P524" s="118"/>
      <c r="Q524" s="116"/>
      <c r="R524" s="116"/>
      <c r="S524" s="116"/>
      <c r="T524" s="78"/>
      <c r="U524" s="78"/>
      <c r="V524" s="78"/>
      <c r="W524" s="78"/>
    </row>
    <row r="525" ht="15.75" customHeight="1">
      <c r="A525" s="78"/>
      <c r="B525" s="78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7"/>
      <c r="N525" s="118"/>
      <c r="O525" s="118"/>
      <c r="P525" s="118"/>
      <c r="Q525" s="116"/>
      <c r="R525" s="116"/>
      <c r="S525" s="116"/>
      <c r="T525" s="78"/>
      <c r="U525" s="78"/>
      <c r="V525" s="78"/>
      <c r="W525" s="78"/>
    </row>
    <row r="526" ht="15.75" customHeight="1">
      <c r="A526" s="78"/>
      <c r="B526" s="78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7"/>
      <c r="N526" s="118"/>
      <c r="O526" s="118"/>
      <c r="P526" s="118"/>
      <c r="Q526" s="116"/>
      <c r="R526" s="116"/>
      <c r="S526" s="116"/>
      <c r="T526" s="78"/>
      <c r="U526" s="78"/>
      <c r="V526" s="78"/>
      <c r="W526" s="78"/>
    </row>
    <row r="527" ht="15.75" customHeight="1">
      <c r="A527" s="78"/>
      <c r="B527" s="78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7"/>
      <c r="N527" s="118"/>
      <c r="O527" s="118"/>
      <c r="P527" s="118"/>
      <c r="Q527" s="116"/>
      <c r="R527" s="116"/>
      <c r="S527" s="116"/>
      <c r="T527" s="78"/>
      <c r="U527" s="78"/>
      <c r="V527" s="78"/>
      <c r="W527" s="78"/>
    </row>
    <row r="528" ht="15.75" customHeight="1">
      <c r="A528" s="78"/>
      <c r="B528" s="78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7"/>
      <c r="N528" s="118"/>
      <c r="O528" s="118"/>
      <c r="P528" s="118"/>
      <c r="Q528" s="116"/>
      <c r="R528" s="116"/>
      <c r="S528" s="116"/>
      <c r="T528" s="78"/>
      <c r="U528" s="78"/>
      <c r="V528" s="78"/>
      <c r="W528" s="78"/>
    </row>
    <row r="529" ht="15.75" customHeight="1">
      <c r="A529" s="78"/>
      <c r="B529" s="78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7"/>
      <c r="N529" s="118"/>
      <c r="O529" s="118"/>
      <c r="P529" s="118"/>
      <c r="Q529" s="116"/>
      <c r="R529" s="116"/>
      <c r="S529" s="116"/>
      <c r="T529" s="78"/>
      <c r="U529" s="78"/>
      <c r="V529" s="78"/>
      <c r="W529" s="78"/>
    </row>
    <row r="530" ht="15.75" customHeight="1">
      <c r="A530" s="78"/>
      <c r="B530" s="78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7"/>
      <c r="N530" s="118"/>
      <c r="O530" s="118"/>
      <c r="P530" s="118"/>
      <c r="Q530" s="116"/>
      <c r="R530" s="116"/>
      <c r="S530" s="116"/>
      <c r="T530" s="78"/>
      <c r="U530" s="78"/>
      <c r="V530" s="78"/>
      <c r="W530" s="78"/>
    </row>
    <row r="531" ht="15.75" customHeight="1">
      <c r="A531" s="78"/>
      <c r="B531" s="78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7"/>
      <c r="N531" s="118"/>
      <c r="O531" s="118"/>
      <c r="P531" s="118"/>
      <c r="Q531" s="116"/>
      <c r="R531" s="116"/>
      <c r="S531" s="116"/>
      <c r="T531" s="78"/>
      <c r="U531" s="78"/>
      <c r="V531" s="78"/>
      <c r="W531" s="78"/>
    </row>
    <row r="532" ht="15.75" customHeight="1">
      <c r="A532" s="78"/>
      <c r="B532" s="78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7"/>
      <c r="N532" s="118"/>
      <c r="O532" s="118"/>
      <c r="P532" s="118"/>
      <c r="Q532" s="116"/>
      <c r="R532" s="116"/>
      <c r="S532" s="116"/>
      <c r="T532" s="78"/>
      <c r="U532" s="78"/>
      <c r="V532" s="78"/>
      <c r="W532" s="78"/>
    </row>
    <row r="533" ht="15.75" customHeight="1">
      <c r="A533" s="78"/>
      <c r="B533" s="78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7"/>
      <c r="N533" s="118"/>
      <c r="O533" s="118"/>
      <c r="P533" s="118"/>
      <c r="Q533" s="116"/>
      <c r="R533" s="116"/>
      <c r="S533" s="116"/>
      <c r="T533" s="78"/>
      <c r="U533" s="78"/>
      <c r="V533" s="78"/>
      <c r="W533" s="78"/>
    </row>
    <row r="534" ht="15.75" customHeight="1">
      <c r="A534" s="78"/>
      <c r="B534" s="78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7"/>
      <c r="N534" s="118"/>
      <c r="O534" s="118"/>
      <c r="P534" s="118"/>
      <c r="Q534" s="116"/>
      <c r="R534" s="116"/>
      <c r="S534" s="116"/>
      <c r="T534" s="78"/>
      <c r="U534" s="78"/>
      <c r="V534" s="78"/>
      <c r="W534" s="78"/>
    </row>
    <row r="535" ht="15.75" customHeight="1">
      <c r="A535" s="78"/>
      <c r="B535" s="78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7"/>
      <c r="N535" s="118"/>
      <c r="O535" s="118"/>
      <c r="P535" s="118"/>
      <c r="Q535" s="116"/>
      <c r="R535" s="116"/>
      <c r="S535" s="116"/>
      <c r="T535" s="78"/>
      <c r="U535" s="78"/>
      <c r="V535" s="78"/>
      <c r="W535" s="78"/>
    </row>
    <row r="536" ht="15.75" customHeight="1">
      <c r="A536" s="78"/>
      <c r="B536" s="78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7"/>
      <c r="N536" s="118"/>
      <c r="O536" s="118"/>
      <c r="P536" s="118"/>
      <c r="Q536" s="116"/>
      <c r="R536" s="116"/>
      <c r="S536" s="116"/>
      <c r="T536" s="78"/>
      <c r="U536" s="78"/>
      <c r="V536" s="78"/>
      <c r="W536" s="78"/>
    </row>
    <row r="537" ht="15.75" customHeight="1">
      <c r="A537" s="78"/>
      <c r="B537" s="78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7"/>
      <c r="N537" s="118"/>
      <c r="O537" s="118"/>
      <c r="P537" s="118"/>
      <c r="Q537" s="116"/>
      <c r="R537" s="116"/>
      <c r="S537" s="116"/>
      <c r="T537" s="78"/>
      <c r="U537" s="78"/>
      <c r="V537" s="78"/>
      <c r="W537" s="78"/>
    </row>
    <row r="538" ht="15.75" customHeight="1">
      <c r="A538" s="78"/>
      <c r="B538" s="78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7"/>
      <c r="N538" s="118"/>
      <c r="O538" s="118"/>
      <c r="P538" s="118"/>
      <c r="Q538" s="116"/>
      <c r="R538" s="116"/>
      <c r="S538" s="116"/>
      <c r="T538" s="78"/>
      <c r="U538" s="78"/>
      <c r="V538" s="78"/>
      <c r="W538" s="78"/>
    </row>
    <row r="539" ht="15.75" customHeight="1">
      <c r="A539" s="78"/>
      <c r="B539" s="78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7"/>
      <c r="N539" s="118"/>
      <c r="O539" s="118"/>
      <c r="P539" s="118"/>
      <c r="Q539" s="116"/>
      <c r="R539" s="116"/>
      <c r="S539" s="116"/>
      <c r="T539" s="78"/>
      <c r="U539" s="78"/>
      <c r="V539" s="78"/>
      <c r="W539" s="78"/>
    </row>
    <row r="540" ht="15.75" customHeight="1">
      <c r="A540" s="78"/>
      <c r="B540" s="78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7"/>
      <c r="N540" s="118"/>
      <c r="O540" s="118"/>
      <c r="P540" s="118"/>
      <c r="Q540" s="116"/>
      <c r="R540" s="116"/>
      <c r="S540" s="116"/>
      <c r="T540" s="78"/>
      <c r="U540" s="78"/>
      <c r="V540" s="78"/>
      <c r="W540" s="78"/>
    </row>
    <row r="541" ht="15.75" customHeight="1">
      <c r="A541" s="78"/>
      <c r="B541" s="78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7"/>
      <c r="N541" s="118"/>
      <c r="O541" s="118"/>
      <c r="P541" s="118"/>
      <c r="Q541" s="116"/>
      <c r="R541" s="116"/>
      <c r="S541" s="116"/>
      <c r="T541" s="78"/>
      <c r="U541" s="78"/>
      <c r="V541" s="78"/>
      <c r="W541" s="78"/>
    </row>
    <row r="542" ht="15.75" customHeight="1">
      <c r="A542" s="78"/>
      <c r="B542" s="78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7"/>
      <c r="N542" s="118"/>
      <c r="O542" s="118"/>
      <c r="P542" s="118"/>
      <c r="Q542" s="116"/>
      <c r="R542" s="116"/>
      <c r="S542" s="116"/>
      <c r="T542" s="78"/>
      <c r="U542" s="78"/>
      <c r="V542" s="78"/>
      <c r="W542" s="78"/>
    </row>
    <row r="543" ht="15.75" customHeight="1">
      <c r="A543" s="78"/>
      <c r="B543" s="78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7"/>
      <c r="N543" s="118"/>
      <c r="O543" s="118"/>
      <c r="P543" s="118"/>
      <c r="Q543" s="116"/>
      <c r="R543" s="116"/>
      <c r="S543" s="116"/>
      <c r="T543" s="78"/>
      <c r="U543" s="78"/>
      <c r="V543" s="78"/>
      <c r="W543" s="78"/>
    </row>
    <row r="544" ht="15.75" customHeight="1">
      <c r="A544" s="78"/>
      <c r="B544" s="78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7"/>
      <c r="N544" s="118"/>
      <c r="O544" s="118"/>
      <c r="P544" s="118"/>
      <c r="Q544" s="116"/>
      <c r="R544" s="116"/>
      <c r="S544" s="116"/>
      <c r="T544" s="78"/>
      <c r="U544" s="78"/>
      <c r="V544" s="78"/>
      <c r="W544" s="78"/>
    </row>
    <row r="545" ht="15.75" customHeight="1">
      <c r="A545" s="78"/>
      <c r="B545" s="78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7"/>
      <c r="N545" s="118"/>
      <c r="O545" s="118"/>
      <c r="P545" s="118"/>
      <c r="Q545" s="116"/>
      <c r="R545" s="116"/>
      <c r="S545" s="116"/>
      <c r="T545" s="78"/>
      <c r="U545" s="78"/>
      <c r="V545" s="78"/>
      <c r="W545" s="78"/>
    </row>
    <row r="546" ht="15.75" customHeight="1">
      <c r="A546" s="78"/>
      <c r="B546" s="78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7"/>
      <c r="N546" s="118"/>
      <c r="O546" s="118"/>
      <c r="P546" s="118"/>
      <c r="Q546" s="116"/>
      <c r="R546" s="116"/>
      <c r="S546" s="116"/>
      <c r="T546" s="78"/>
      <c r="U546" s="78"/>
      <c r="V546" s="78"/>
      <c r="W546" s="78"/>
    </row>
    <row r="547" ht="15.75" customHeight="1">
      <c r="A547" s="78"/>
      <c r="B547" s="78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7"/>
      <c r="N547" s="118"/>
      <c r="O547" s="118"/>
      <c r="P547" s="118"/>
      <c r="Q547" s="116"/>
      <c r="R547" s="116"/>
      <c r="S547" s="116"/>
      <c r="T547" s="78"/>
      <c r="U547" s="78"/>
      <c r="V547" s="78"/>
      <c r="W547" s="78"/>
    </row>
    <row r="548" ht="15.75" customHeight="1">
      <c r="A548" s="78"/>
      <c r="B548" s="78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7"/>
      <c r="N548" s="118"/>
      <c r="O548" s="118"/>
      <c r="P548" s="118"/>
      <c r="Q548" s="116"/>
      <c r="R548" s="116"/>
      <c r="S548" s="116"/>
      <c r="T548" s="78"/>
      <c r="U548" s="78"/>
      <c r="V548" s="78"/>
      <c r="W548" s="78"/>
    </row>
    <row r="549" ht="15.75" customHeight="1">
      <c r="A549" s="78"/>
      <c r="B549" s="78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7"/>
      <c r="N549" s="118"/>
      <c r="O549" s="118"/>
      <c r="P549" s="118"/>
      <c r="Q549" s="116"/>
      <c r="R549" s="116"/>
      <c r="S549" s="116"/>
      <c r="T549" s="78"/>
      <c r="U549" s="78"/>
      <c r="V549" s="78"/>
      <c r="W549" s="78"/>
    </row>
    <row r="550" ht="15.75" customHeight="1">
      <c r="A550" s="78"/>
      <c r="B550" s="78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7"/>
      <c r="N550" s="118"/>
      <c r="O550" s="118"/>
      <c r="P550" s="118"/>
      <c r="Q550" s="116"/>
      <c r="R550" s="116"/>
      <c r="S550" s="116"/>
      <c r="T550" s="78"/>
      <c r="U550" s="78"/>
      <c r="V550" s="78"/>
      <c r="W550" s="78"/>
    </row>
    <row r="551" ht="15.75" customHeight="1">
      <c r="A551" s="78"/>
      <c r="B551" s="78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7"/>
      <c r="N551" s="118"/>
      <c r="O551" s="118"/>
      <c r="P551" s="118"/>
      <c r="Q551" s="116"/>
      <c r="R551" s="116"/>
      <c r="S551" s="116"/>
      <c r="T551" s="78"/>
      <c r="U551" s="78"/>
      <c r="V551" s="78"/>
      <c r="W551" s="78"/>
    </row>
    <row r="552" ht="15.75" customHeight="1">
      <c r="A552" s="78"/>
      <c r="B552" s="78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7"/>
      <c r="N552" s="118"/>
      <c r="O552" s="118"/>
      <c r="P552" s="118"/>
      <c r="Q552" s="116"/>
      <c r="R552" s="116"/>
      <c r="S552" s="116"/>
      <c r="T552" s="78"/>
      <c r="U552" s="78"/>
      <c r="V552" s="78"/>
      <c r="W552" s="78"/>
    </row>
    <row r="553" ht="15.75" customHeight="1">
      <c r="A553" s="78"/>
      <c r="B553" s="78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7"/>
      <c r="N553" s="118"/>
      <c r="O553" s="118"/>
      <c r="P553" s="118"/>
      <c r="Q553" s="116"/>
      <c r="R553" s="116"/>
      <c r="S553" s="116"/>
      <c r="T553" s="78"/>
      <c r="U553" s="78"/>
      <c r="V553" s="78"/>
      <c r="W553" s="78"/>
    </row>
    <row r="554" ht="15.75" customHeight="1">
      <c r="A554" s="78"/>
      <c r="B554" s="78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7"/>
      <c r="N554" s="118"/>
      <c r="O554" s="118"/>
      <c r="P554" s="118"/>
      <c r="Q554" s="116"/>
      <c r="R554" s="116"/>
      <c r="S554" s="116"/>
      <c r="T554" s="78"/>
      <c r="U554" s="78"/>
      <c r="V554" s="78"/>
      <c r="W554" s="78"/>
    </row>
    <row r="555" ht="15.75" customHeight="1">
      <c r="A555" s="78"/>
      <c r="B555" s="78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7"/>
      <c r="N555" s="118"/>
      <c r="O555" s="118"/>
      <c r="P555" s="118"/>
      <c r="Q555" s="116"/>
      <c r="R555" s="116"/>
      <c r="S555" s="116"/>
      <c r="T555" s="78"/>
      <c r="U555" s="78"/>
      <c r="V555" s="78"/>
      <c r="W555" s="78"/>
    </row>
    <row r="556" ht="15.75" customHeight="1">
      <c r="A556" s="78"/>
      <c r="B556" s="78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7"/>
      <c r="N556" s="118"/>
      <c r="O556" s="118"/>
      <c r="P556" s="118"/>
      <c r="Q556" s="116"/>
      <c r="R556" s="116"/>
      <c r="S556" s="116"/>
      <c r="T556" s="78"/>
      <c r="U556" s="78"/>
      <c r="V556" s="78"/>
      <c r="W556" s="78"/>
    </row>
    <row r="557" ht="15.75" customHeight="1">
      <c r="A557" s="78"/>
      <c r="B557" s="78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7"/>
      <c r="N557" s="118"/>
      <c r="O557" s="118"/>
      <c r="P557" s="118"/>
      <c r="Q557" s="116"/>
      <c r="R557" s="116"/>
      <c r="S557" s="116"/>
      <c r="T557" s="78"/>
      <c r="U557" s="78"/>
      <c r="V557" s="78"/>
      <c r="W557" s="78"/>
    </row>
    <row r="558" ht="15.75" customHeight="1">
      <c r="A558" s="78"/>
      <c r="B558" s="78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7"/>
      <c r="N558" s="118"/>
      <c r="O558" s="118"/>
      <c r="P558" s="118"/>
      <c r="Q558" s="116"/>
      <c r="R558" s="116"/>
      <c r="S558" s="116"/>
      <c r="T558" s="78"/>
      <c r="U558" s="78"/>
      <c r="V558" s="78"/>
      <c r="W558" s="78"/>
    </row>
    <row r="559" ht="15.75" customHeight="1">
      <c r="A559" s="78"/>
      <c r="B559" s="78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7"/>
      <c r="N559" s="118"/>
      <c r="O559" s="118"/>
      <c r="P559" s="118"/>
      <c r="Q559" s="116"/>
      <c r="R559" s="116"/>
      <c r="S559" s="116"/>
      <c r="T559" s="78"/>
      <c r="U559" s="78"/>
      <c r="V559" s="78"/>
      <c r="W559" s="78"/>
    </row>
    <row r="560" ht="15.75" customHeight="1">
      <c r="A560" s="78"/>
      <c r="B560" s="78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7"/>
      <c r="N560" s="118"/>
      <c r="O560" s="118"/>
      <c r="P560" s="118"/>
      <c r="Q560" s="116"/>
      <c r="R560" s="116"/>
      <c r="S560" s="116"/>
      <c r="T560" s="78"/>
      <c r="U560" s="78"/>
      <c r="V560" s="78"/>
      <c r="W560" s="78"/>
    </row>
    <row r="561" ht="15.75" customHeight="1">
      <c r="A561" s="78"/>
      <c r="B561" s="78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7"/>
      <c r="N561" s="118"/>
      <c r="O561" s="118"/>
      <c r="P561" s="118"/>
      <c r="Q561" s="116"/>
      <c r="R561" s="116"/>
      <c r="S561" s="116"/>
      <c r="T561" s="78"/>
      <c r="U561" s="78"/>
      <c r="V561" s="78"/>
      <c r="W561" s="78"/>
    </row>
    <row r="562" ht="15.75" customHeight="1">
      <c r="A562" s="78"/>
      <c r="B562" s="78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7"/>
      <c r="N562" s="118"/>
      <c r="O562" s="118"/>
      <c r="P562" s="118"/>
      <c r="Q562" s="116"/>
      <c r="R562" s="116"/>
      <c r="S562" s="116"/>
      <c r="T562" s="78"/>
      <c r="U562" s="78"/>
      <c r="V562" s="78"/>
      <c r="W562" s="78"/>
    </row>
    <row r="563" ht="15.75" customHeight="1">
      <c r="A563" s="78"/>
      <c r="B563" s="78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7"/>
      <c r="N563" s="118"/>
      <c r="O563" s="118"/>
      <c r="P563" s="118"/>
      <c r="Q563" s="116"/>
      <c r="R563" s="116"/>
      <c r="S563" s="116"/>
      <c r="T563" s="78"/>
      <c r="U563" s="78"/>
      <c r="V563" s="78"/>
      <c r="W563" s="78"/>
    </row>
    <row r="564" ht="15.75" customHeight="1">
      <c r="A564" s="78"/>
      <c r="B564" s="78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7"/>
      <c r="N564" s="118"/>
      <c r="O564" s="118"/>
      <c r="P564" s="118"/>
      <c r="Q564" s="116"/>
      <c r="R564" s="116"/>
      <c r="S564" s="116"/>
      <c r="T564" s="78"/>
      <c r="U564" s="78"/>
      <c r="V564" s="78"/>
      <c r="W564" s="78"/>
    </row>
    <row r="565" ht="15.75" customHeight="1">
      <c r="A565" s="78"/>
      <c r="B565" s="78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7"/>
      <c r="N565" s="118"/>
      <c r="O565" s="118"/>
      <c r="P565" s="118"/>
      <c r="Q565" s="116"/>
      <c r="R565" s="116"/>
      <c r="S565" s="116"/>
      <c r="T565" s="78"/>
      <c r="U565" s="78"/>
      <c r="V565" s="78"/>
      <c r="W565" s="78"/>
    </row>
    <row r="566" ht="15.75" customHeight="1">
      <c r="A566" s="78"/>
      <c r="B566" s="78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7"/>
      <c r="N566" s="118"/>
      <c r="O566" s="118"/>
      <c r="P566" s="118"/>
      <c r="Q566" s="116"/>
      <c r="R566" s="116"/>
      <c r="S566" s="116"/>
      <c r="T566" s="78"/>
      <c r="U566" s="78"/>
      <c r="V566" s="78"/>
      <c r="W566" s="78"/>
    </row>
    <row r="567" ht="15.75" customHeight="1">
      <c r="A567" s="78"/>
      <c r="B567" s="78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7"/>
      <c r="N567" s="118"/>
      <c r="O567" s="118"/>
      <c r="P567" s="118"/>
      <c r="Q567" s="116"/>
      <c r="R567" s="116"/>
      <c r="S567" s="116"/>
      <c r="T567" s="78"/>
      <c r="U567" s="78"/>
      <c r="V567" s="78"/>
      <c r="W567" s="78"/>
    </row>
    <row r="568" ht="15.75" customHeight="1">
      <c r="A568" s="78"/>
      <c r="B568" s="78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7"/>
      <c r="N568" s="118"/>
      <c r="O568" s="118"/>
      <c r="P568" s="118"/>
      <c r="Q568" s="116"/>
      <c r="R568" s="116"/>
      <c r="S568" s="116"/>
      <c r="T568" s="78"/>
      <c r="U568" s="78"/>
      <c r="V568" s="78"/>
      <c r="W568" s="78"/>
    </row>
    <row r="569" ht="15.75" customHeight="1">
      <c r="A569" s="78"/>
      <c r="B569" s="78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7"/>
      <c r="N569" s="118"/>
      <c r="O569" s="118"/>
      <c r="P569" s="118"/>
      <c r="Q569" s="116"/>
      <c r="R569" s="116"/>
      <c r="S569" s="116"/>
      <c r="T569" s="78"/>
      <c r="U569" s="78"/>
      <c r="V569" s="78"/>
      <c r="W569" s="78"/>
    </row>
    <row r="570" ht="15.75" customHeight="1">
      <c r="A570" s="78"/>
      <c r="B570" s="78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7"/>
      <c r="N570" s="118"/>
      <c r="O570" s="118"/>
      <c r="P570" s="118"/>
      <c r="Q570" s="116"/>
      <c r="R570" s="116"/>
      <c r="S570" s="116"/>
      <c r="T570" s="78"/>
      <c r="U570" s="78"/>
      <c r="V570" s="78"/>
      <c r="W570" s="78"/>
    </row>
    <row r="571" ht="15.75" customHeight="1">
      <c r="A571" s="78"/>
      <c r="B571" s="78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7"/>
      <c r="N571" s="118"/>
      <c r="O571" s="118"/>
      <c r="P571" s="118"/>
      <c r="Q571" s="116"/>
      <c r="R571" s="116"/>
      <c r="S571" s="116"/>
      <c r="T571" s="78"/>
      <c r="U571" s="78"/>
      <c r="V571" s="78"/>
      <c r="W571" s="78"/>
    </row>
    <row r="572" ht="15.75" customHeight="1">
      <c r="A572" s="78"/>
      <c r="B572" s="78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7"/>
      <c r="N572" s="118"/>
      <c r="O572" s="118"/>
      <c r="P572" s="118"/>
      <c r="Q572" s="116"/>
      <c r="R572" s="116"/>
      <c r="S572" s="116"/>
      <c r="T572" s="78"/>
      <c r="U572" s="78"/>
      <c r="V572" s="78"/>
      <c r="W572" s="78"/>
    </row>
    <row r="573" ht="15.75" customHeight="1">
      <c r="A573" s="78"/>
      <c r="B573" s="78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7"/>
      <c r="N573" s="118"/>
      <c r="O573" s="118"/>
      <c r="P573" s="118"/>
      <c r="Q573" s="116"/>
      <c r="R573" s="116"/>
      <c r="S573" s="116"/>
      <c r="T573" s="78"/>
      <c r="U573" s="78"/>
      <c r="V573" s="78"/>
      <c r="W573" s="78"/>
    </row>
    <row r="574" ht="15.75" customHeight="1">
      <c r="A574" s="78"/>
      <c r="B574" s="78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7"/>
      <c r="N574" s="118"/>
      <c r="O574" s="118"/>
      <c r="P574" s="118"/>
      <c r="Q574" s="116"/>
      <c r="R574" s="116"/>
      <c r="S574" s="116"/>
      <c r="T574" s="78"/>
      <c r="U574" s="78"/>
      <c r="V574" s="78"/>
      <c r="W574" s="78"/>
    </row>
    <row r="575" ht="15.75" customHeight="1">
      <c r="A575" s="78"/>
      <c r="B575" s="78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7"/>
      <c r="N575" s="118"/>
      <c r="O575" s="118"/>
      <c r="P575" s="118"/>
      <c r="Q575" s="116"/>
      <c r="R575" s="116"/>
      <c r="S575" s="116"/>
      <c r="T575" s="78"/>
      <c r="U575" s="78"/>
      <c r="V575" s="78"/>
      <c r="W575" s="78"/>
    </row>
    <row r="576" ht="15.75" customHeight="1">
      <c r="A576" s="78"/>
      <c r="B576" s="78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7"/>
      <c r="N576" s="118"/>
      <c r="O576" s="118"/>
      <c r="P576" s="118"/>
      <c r="Q576" s="116"/>
      <c r="R576" s="116"/>
      <c r="S576" s="116"/>
      <c r="T576" s="78"/>
      <c r="U576" s="78"/>
      <c r="V576" s="78"/>
      <c r="W576" s="78"/>
    </row>
    <row r="577" ht="15.75" customHeight="1">
      <c r="A577" s="78"/>
      <c r="B577" s="78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7"/>
      <c r="N577" s="118"/>
      <c r="O577" s="118"/>
      <c r="P577" s="118"/>
      <c r="Q577" s="116"/>
      <c r="R577" s="116"/>
      <c r="S577" s="116"/>
      <c r="T577" s="78"/>
      <c r="U577" s="78"/>
      <c r="V577" s="78"/>
      <c r="W577" s="78"/>
    </row>
    <row r="578" ht="15.75" customHeight="1">
      <c r="A578" s="78"/>
      <c r="B578" s="78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7"/>
      <c r="N578" s="118"/>
      <c r="O578" s="118"/>
      <c r="P578" s="118"/>
      <c r="Q578" s="116"/>
      <c r="R578" s="116"/>
      <c r="S578" s="116"/>
      <c r="T578" s="78"/>
      <c r="U578" s="78"/>
      <c r="V578" s="78"/>
      <c r="W578" s="78"/>
    </row>
    <row r="579" ht="15.75" customHeight="1">
      <c r="A579" s="78"/>
      <c r="B579" s="78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7"/>
      <c r="N579" s="118"/>
      <c r="O579" s="118"/>
      <c r="P579" s="118"/>
      <c r="Q579" s="116"/>
      <c r="R579" s="116"/>
      <c r="S579" s="116"/>
      <c r="T579" s="78"/>
      <c r="U579" s="78"/>
      <c r="V579" s="78"/>
      <c r="W579" s="78"/>
    </row>
    <row r="580" ht="15.75" customHeight="1">
      <c r="A580" s="78"/>
      <c r="B580" s="78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7"/>
      <c r="N580" s="118"/>
      <c r="O580" s="118"/>
      <c r="P580" s="118"/>
      <c r="Q580" s="116"/>
      <c r="R580" s="116"/>
      <c r="S580" s="116"/>
      <c r="T580" s="78"/>
      <c r="U580" s="78"/>
      <c r="V580" s="78"/>
      <c r="W580" s="78"/>
    </row>
    <row r="581" ht="15.75" customHeight="1">
      <c r="A581" s="78"/>
      <c r="B581" s="78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7"/>
      <c r="N581" s="118"/>
      <c r="O581" s="118"/>
      <c r="P581" s="118"/>
      <c r="Q581" s="116"/>
      <c r="R581" s="116"/>
      <c r="S581" s="116"/>
      <c r="T581" s="78"/>
      <c r="U581" s="78"/>
      <c r="V581" s="78"/>
      <c r="W581" s="78"/>
    </row>
    <row r="582" ht="15.75" customHeight="1">
      <c r="A582" s="78"/>
      <c r="B582" s="78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7"/>
      <c r="N582" s="118"/>
      <c r="O582" s="118"/>
      <c r="P582" s="118"/>
      <c r="Q582" s="116"/>
      <c r="R582" s="116"/>
      <c r="S582" s="116"/>
      <c r="T582" s="78"/>
      <c r="U582" s="78"/>
      <c r="V582" s="78"/>
      <c r="W582" s="78"/>
    </row>
    <row r="583" ht="15.75" customHeight="1">
      <c r="A583" s="78"/>
      <c r="B583" s="78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7"/>
      <c r="N583" s="118"/>
      <c r="O583" s="118"/>
      <c r="P583" s="118"/>
      <c r="Q583" s="116"/>
      <c r="R583" s="116"/>
      <c r="S583" s="116"/>
      <c r="T583" s="78"/>
      <c r="U583" s="78"/>
      <c r="V583" s="78"/>
      <c r="W583" s="78"/>
    </row>
    <row r="584" ht="15.75" customHeight="1">
      <c r="A584" s="78"/>
      <c r="B584" s="78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7"/>
      <c r="N584" s="118"/>
      <c r="O584" s="118"/>
      <c r="P584" s="118"/>
      <c r="Q584" s="116"/>
      <c r="R584" s="116"/>
      <c r="S584" s="116"/>
      <c r="T584" s="78"/>
      <c r="U584" s="78"/>
      <c r="V584" s="78"/>
      <c r="W584" s="78"/>
    </row>
    <row r="585" ht="15.75" customHeight="1">
      <c r="A585" s="78"/>
      <c r="B585" s="78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7"/>
      <c r="N585" s="118"/>
      <c r="O585" s="118"/>
      <c r="P585" s="118"/>
      <c r="Q585" s="116"/>
      <c r="R585" s="116"/>
      <c r="S585" s="116"/>
      <c r="T585" s="78"/>
      <c r="U585" s="78"/>
      <c r="V585" s="78"/>
      <c r="W585" s="78"/>
    </row>
    <row r="586" ht="15.75" customHeight="1">
      <c r="A586" s="78"/>
      <c r="B586" s="78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7"/>
      <c r="N586" s="118"/>
      <c r="O586" s="118"/>
      <c r="P586" s="118"/>
      <c r="Q586" s="116"/>
      <c r="R586" s="116"/>
      <c r="S586" s="116"/>
      <c r="T586" s="78"/>
      <c r="U586" s="78"/>
      <c r="V586" s="78"/>
      <c r="W586" s="78"/>
    </row>
    <row r="587" ht="15.75" customHeight="1">
      <c r="A587" s="78"/>
      <c r="B587" s="78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7"/>
      <c r="N587" s="118"/>
      <c r="O587" s="118"/>
      <c r="P587" s="118"/>
      <c r="Q587" s="116"/>
      <c r="R587" s="116"/>
      <c r="S587" s="116"/>
      <c r="T587" s="78"/>
      <c r="U587" s="78"/>
      <c r="V587" s="78"/>
      <c r="W587" s="78"/>
    </row>
    <row r="588" ht="15.75" customHeight="1">
      <c r="A588" s="78"/>
      <c r="B588" s="78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7"/>
      <c r="N588" s="118"/>
      <c r="O588" s="118"/>
      <c r="P588" s="118"/>
      <c r="Q588" s="116"/>
      <c r="R588" s="116"/>
      <c r="S588" s="116"/>
      <c r="T588" s="78"/>
      <c r="U588" s="78"/>
      <c r="V588" s="78"/>
      <c r="W588" s="78"/>
    </row>
    <row r="589" ht="15.75" customHeight="1">
      <c r="A589" s="78"/>
      <c r="B589" s="78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7"/>
      <c r="N589" s="118"/>
      <c r="O589" s="118"/>
      <c r="P589" s="118"/>
      <c r="Q589" s="116"/>
      <c r="R589" s="116"/>
      <c r="S589" s="116"/>
      <c r="T589" s="78"/>
      <c r="U589" s="78"/>
      <c r="V589" s="78"/>
      <c r="W589" s="78"/>
    </row>
    <row r="590" ht="15.75" customHeight="1">
      <c r="A590" s="78"/>
      <c r="B590" s="78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7"/>
      <c r="N590" s="118"/>
      <c r="O590" s="118"/>
      <c r="P590" s="118"/>
      <c r="Q590" s="116"/>
      <c r="R590" s="116"/>
      <c r="S590" s="116"/>
      <c r="T590" s="78"/>
      <c r="U590" s="78"/>
      <c r="V590" s="78"/>
      <c r="W590" s="78"/>
    </row>
    <row r="591" ht="15.75" customHeight="1">
      <c r="A591" s="78"/>
      <c r="B591" s="78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7"/>
      <c r="N591" s="118"/>
      <c r="O591" s="118"/>
      <c r="P591" s="118"/>
      <c r="Q591" s="116"/>
      <c r="R591" s="116"/>
      <c r="S591" s="116"/>
      <c r="T591" s="78"/>
      <c r="U591" s="78"/>
      <c r="V591" s="78"/>
      <c r="W591" s="78"/>
    </row>
    <row r="592" ht="15.75" customHeight="1">
      <c r="A592" s="78"/>
      <c r="B592" s="78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7"/>
      <c r="N592" s="118"/>
      <c r="O592" s="118"/>
      <c r="P592" s="118"/>
      <c r="Q592" s="116"/>
      <c r="R592" s="116"/>
      <c r="S592" s="116"/>
      <c r="T592" s="78"/>
      <c r="U592" s="78"/>
      <c r="V592" s="78"/>
      <c r="W592" s="78"/>
    </row>
    <row r="593" ht="15.75" customHeight="1">
      <c r="A593" s="78"/>
      <c r="B593" s="78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7"/>
      <c r="N593" s="118"/>
      <c r="O593" s="118"/>
      <c r="P593" s="118"/>
      <c r="Q593" s="116"/>
      <c r="R593" s="116"/>
      <c r="S593" s="116"/>
      <c r="T593" s="78"/>
      <c r="U593" s="78"/>
      <c r="V593" s="78"/>
      <c r="W593" s="78"/>
    </row>
    <row r="594" ht="15.75" customHeight="1">
      <c r="A594" s="78"/>
      <c r="B594" s="78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7"/>
      <c r="N594" s="118"/>
      <c r="O594" s="118"/>
      <c r="P594" s="118"/>
      <c r="Q594" s="116"/>
      <c r="R594" s="116"/>
      <c r="S594" s="116"/>
      <c r="T594" s="78"/>
      <c r="U594" s="78"/>
      <c r="V594" s="78"/>
      <c r="W594" s="78"/>
    </row>
    <row r="595" ht="15.75" customHeight="1">
      <c r="A595" s="78"/>
      <c r="B595" s="78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7"/>
      <c r="N595" s="118"/>
      <c r="O595" s="118"/>
      <c r="P595" s="118"/>
      <c r="Q595" s="116"/>
      <c r="R595" s="116"/>
      <c r="S595" s="116"/>
      <c r="T595" s="78"/>
      <c r="U595" s="78"/>
      <c r="V595" s="78"/>
      <c r="W595" s="78"/>
    </row>
    <row r="596" ht="15.75" customHeight="1">
      <c r="A596" s="78"/>
      <c r="B596" s="78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7"/>
      <c r="N596" s="118"/>
      <c r="O596" s="118"/>
      <c r="P596" s="118"/>
      <c r="Q596" s="116"/>
      <c r="R596" s="116"/>
      <c r="S596" s="116"/>
      <c r="T596" s="78"/>
      <c r="U596" s="78"/>
      <c r="V596" s="78"/>
      <c r="W596" s="78"/>
    </row>
    <row r="597" ht="15.75" customHeight="1">
      <c r="A597" s="78"/>
      <c r="B597" s="78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7"/>
      <c r="N597" s="118"/>
      <c r="O597" s="118"/>
      <c r="P597" s="118"/>
      <c r="Q597" s="116"/>
      <c r="R597" s="116"/>
      <c r="S597" s="116"/>
      <c r="T597" s="78"/>
      <c r="U597" s="78"/>
      <c r="V597" s="78"/>
      <c r="W597" s="78"/>
    </row>
    <row r="598" ht="15.75" customHeight="1">
      <c r="A598" s="78"/>
      <c r="B598" s="78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7"/>
      <c r="N598" s="118"/>
      <c r="O598" s="118"/>
      <c r="P598" s="118"/>
      <c r="Q598" s="116"/>
      <c r="R598" s="116"/>
      <c r="S598" s="116"/>
      <c r="T598" s="78"/>
      <c r="U598" s="78"/>
      <c r="V598" s="78"/>
      <c r="W598" s="78"/>
    </row>
    <row r="599" ht="15.75" customHeight="1">
      <c r="A599" s="78"/>
      <c r="B599" s="78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7"/>
      <c r="N599" s="118"/>
      <c r="O599" s="118"/>
      <c r="P599" s="118"/>
      <c r="Q599" s="116"/>
      <c r="R599" s="116"/>
      <c r="S599" s="116"/>
      <c r="T599" s="78"/>
      <c r="U599" s="78"/>
      <c r="V599" s="78"/>
      <c r="W599" s="78"/>
    </row>
    <row r="600" ht="15.75" customHeight="1">
      <c r="A600" s="78"/>
      <c r="B600" s="78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7"/>
      <c r="N600" s="118"/>
      <c r="O600" s="118"/>
      <c r="P600" s="118"/>
      <c r="Q600" s="116"/>
      <c r="R600" s="116"/>
      <c r="S600" s="116"/>
      <c r="T600" s="78"/>
      <c r="U600" s="78"/>
      <c r="V600" s="78"/>
      <c r="W600" s="78"/>
    </row>
    <row r="601" ht="15.75" customHeight="1">
      <c r="A601" s="78"/>
      <c r="B601" s="78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7"/>
      <c r="N601" s="118"/>
      <c r="O601" s="118"/>
      <c r="P601" s="118"/>
      <c r="Q601" s="116"/>
      <c r="R601" s="116"/>
      <c r="S601" s="116"/>
      <c r="T601" s="78"/>
      <c r="U601" s="78"/>
      <c r="V601" s="78"/>
      <c r="W601" s="78"/>
    </row>
    <row r="602" ht="15.75" customHeight="1">
      <c r="A602" s="78"/>
      <c r="B602" s="78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7"/>
      <c r="N602" s="118"/>
      <c r="O602" s="118"/>
      <c r="P602" s="118"/>
      <c r="Q602" s="116"/>
      <c r="R602" s="116"/>
      <c r="S602" s="116"/>
      <c r="T602" s="78"/>
      <c r="U602" s="78"/>
      <c r="V602" s="78"/>
      <c r="W602" s="78"/>
    </row>
    <row r="603" ht="15.75" customHeight="1">
      <c r="A603" s="78"/>
      <c r="B603" s="78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7"/>
      <c r="N603" s="118"/>
      <c r="O603" s="118"/>
      <c r="P603" s="118"/>
      <c r="Q603" s="116"/>
      <c r="R603" s="116"/>
      <c r="S603" s="116"/>
      <c r="T603" s="78"/>
      <c r="U603" s="78"/>
      <c r="V603" s="78"/>
      <c r="W603" s="78"/>
    </row>
    <row r="604" ht="15.75" customHeight="1">
      <c r="A604" s="78"/>
      <c r="B604" s="78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7"/>
      <c r="N604" s="118"/>
      <c r="O604" s="118"/>
      <c r="P604" s="118"/>
      <c r="Q604" s="116"/>
      <c r="R604" s="116"/>
      <c r="S604" s="116"/>
      <c r="T604" s="78"/>
      <c r="U604" s="78"/>
      <c r="V604" s="78"/>
      <c r="W604" s="78"/>
    </row>
    <row r="605" ht="15.75" customHeight="1">
      <c r="A605" s="78"/>
      <c r="B605" s="78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7"/>
      <c r="N605" s="118"/>
      <c r="O605" s="118"/>
      <c r="P605" s="118"/>
      <c r="Q605" s="116"/>
      <c r="R605" s="116"/>
      <c r="S605" s="116"/>
      <c r="T605" s="78"/>
      <c r="U605" s="78"/>
      <c r="V605" s="78"/>
      <c r="W605" s="78"/>
    </row>
    <row r="606" ht="15.75" customHeight="1">
      <c r="A606" s="78"/>
      <c r="B606" s="78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7"/>
      <c r="N606" s="118"/>
      <c r="O606" s="118"/>
      <c r="P606" s="118"/>
      <c r="Q606" s="116"/>
      <c r="R606" s="116"/>
      <c r="S606" s="116"/>
      <c r="T606" s="78"/>
      <c r="U606" s="78"/>
      <c r="V606" s="78"/>
      <c r="W606" s="78"/>
    </row>
    <row r="607" ht="15.75" customHeight="1">
      <c r="A607" s="78"/>
      <c r="B607" s="78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7"/>
      <c r="N607" s="118"/>
      <c r="O607" s="118"/>
      <c r="P607" s="118"/>
      <c r="Q607" s="116"/>
      <c r="R607" s="116"/>
      <c r="S607" s="116"/>
      <c r="T607" s="78"/>
      <c r="U607" s="78"/>
      <c r="V607" s="78"/>
      <c r="W607" s="78"/>
    </row>
    <row r="608" ht="15.75" customHeight="1">
      <c r="A608" s="78"/>
      <c r="B608" s="78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7"/>
      <c r="N608" s="118"/>
      <c r="O608" s="118"/>
      <c r="P608" s="118"/>
      <c r="Q608" s="116"/>
      <c r="R608" s="116"/>
      <c r="S608" s="116"/>
      <c r="T608" s="78"/>
      <c r="U608" s="78"/>
      <c r="V608" s="78"/>
      <c r="W608" s="78"/>
    </row>
    <row r="609" ht="15.75" customHeight="1">
      <c r="A609" s="78"/>
      <c r="B609" s="78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7"/>
      <c r="N609" s="118"/>
      <c r="O609" s="118"/>
      <c r="P609" s="118"/>
      <c r="Q609" s="116"/>
      <c r="R609" s="116"/>
      <c r="S609" s="116"/>
      <c r="T609" s="78"/>
      <c r="U609" s="78"/>
      <c r="V609" s="78"/>
      <c r="W609" s="78"/>
    </row>
    <row r="610" ht="15.75" customHeight="1">
      <c r="A610" s="78"/>
      <c r="B610" s="78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7"/>
      <c r="N610" s="118"/>
      <c r="O610" s="118"/>
      <c r="P610" s="118"/>
      <c r="Q610" s="116"/>
      <c r="R610" s="116"/>
      <c r="S610" s="116"/>
      <c r="T610" s="78"/>
      <c r="U610" s="78"/>
      <c r="V610" s="78"/>
      <c r="W610" s="78"/>
    </row>
    <row r="611" ht="15.75" customHeight="1">
      <c r="A611" s="78"/>
      <c r="B611" s="78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7"/>
      <c r="N611" s="118"/>
      <c r="O611" s="118"/>
      <c r="P611" s="118"/>
      <c r="Q611" s="116"/>
      <c r="R611" s="116"/>
      <c r="S611" s="116"/>
      <c r="T611" s="78"/>
      <c r="U611" s="78"/>
      <c r="V611" s="78"/>
      <c r="W611" s="78"/>
    </row>
    <row r="612" ht="15.75" customHeight="1">
      <c r="A612" s="78"/>
      <c r="B612" s="78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7"/>
      <c r="N612" s="118"/>
      <c r="O612" s="118"/>
      <c r="P612" s="118"/>
      <c r="Q612" s="116"/>
      <c r="R612" s="116"/>
      <c r="S612" s="116"/>
      <c r="T612" s="78"/>
      <c r="U612" s="78"/>
      <c r="V612" s="78"/>
      <c r="W612" s="78"/>
    </row>
    <row r="613" ht="15.75" customHeight="1">
      <c r="A613" s="78"/>
      <c r="B613" s="78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7"/>
      <c r="N613" s="118"/>
      <c r="O613" s="118"/>
      <c r="P613" s="118"/>
      <c r="Q613" s="116"/>
      <c r="R613" s="116"/>
      <c r="S613" s="116"/>
      <c r="T613" s="78"/>
      <c r="U613" s="78"/>
      <c r="V613" s="78"/>
      <c r="W613" s="78"/>
    </row>
    <row r="614" ht="15.75" customHeight="1">
      <c r="A614" s="78"/>
      <c r="B614" s="78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7"/>
      <c r="N614" s="118"/>
      <c r="O614" s="118"/>
      <c r="P614" s="118"/>
      <c r="Q614" s="116"/>
      <c r="R614" s="116"/>
      <c r="S614" s="116"/>
      <c r="T614" s="78"/>
      <c r="U614" s="78"/>
      <c r="V614" s="78"/>
      <c r="W614" s="78"/>
    </row>
    <row r="615" ht="15.75" customHeight="1">
      <c r="A615" s="78"/>
      <c r="B615" s="78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7"/>
      <c r="N615" s="118"/>
      <c r="O615" s="118"/>
      <c r="P615" s="118"/>
      <c r="Q615" s="116"/>
      <c r="R615" s="116"/>
      <c r="S615" s="116"/>
      <c r="T615" s="78"/>
      <c r="U615" s="78"/>
      <c r="V615" s="78"/>
      <c r="W615" s="78"/>
    </row>
    <row r="616" ht="15.75" customHeight="1">
      <c r="A616" s="78"/>
      <c r="B616" s="78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7"/>
      <c r="N616" s="118"/>
      <c r="O616" s="118"/>
      <c r="P616" s="118"/>
      <c r="Q616" s="116"/>
      <c r="R616" s="116"/>
      <c r="S616" s="116"/>
      <c r="T616" s="78"/>
      <c r="U616" s="78"/>
      <c r="V616" s="78"/>
      <c r="W616" s="78"/>
    </row>
    <row r="617" ht="15.75" customHeight="1">
      <c r="A617" s="78"/>
      <c r="B617" s="78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7"/>
      <c r="N617" s="118"/>
      <c r="O617" s="118"/>
      <c r="P617" s="118"/>
      <c r="Q617" s="116"/>
      <c r="R617" s="116"/>
      <c r="S617" s="116"/>
      <c r="T617" s="78"/>
      <c r="U617" s="78"/>
      <c r="V617" s="78"/>
      <c r="W617" s="78"/>
    </row>
    <row r="618" ht="15.75" customHeight="1">
      <c r="A618" s="78"/>
      <c r="B618" s="78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7"/>
      <c r="N618" s="118"/>
      <c r="O618" s="118"/>
      <c r="P618" s="118"/>
      <c r="Q618" s="116"/>
      <c r="R618" s="116"/>
      <c r="S618" s="116"/>
      <c r="T618" s="78"/>
      <c r="U618" s="78"/>
      <c r="V618" s="78"/>
      <c r="W618" s="78"/>
    </row>
    <row r="619" ht="15.75" customHeight="1">
      <c r="A619" s="78"/>
      <c r="B619" s="78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7"/>
      <c r="N619" s="118"/>
      <c r="O619" s="118"/>
      <c r="P619" s="118"/>
      <c r="Q619" s="116"/>
      <c r="R619" s="116"/>
      <c r="S619" s="116"/>
      <c r="T619" s="78"/>
      <c r="U619" s="78"/>
      <c r="V619" s="78"/>
      <c r="W619" s="78"/>
    </row>
    <row r="620" ht="15.75" customHeight="1">
      <c r="A620" s="78"/>
      <c r="B620" s="78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7"/>
      <c r="N620" s="118"/>
      <c r="O620" s="118"/>
      <c r="P620" s="118"/>
      <c r="Q620" s="116"/>
      <c r="R620" s="116"/>
      <c r="S620" s="116"/>
      <c r="T620" s="78"/>
      <c r="U620" s="78"/>
      <c r="V620" s="78"/>
      <c r="W620" s="78"/>
    </row>
    <row r="621" ht="15.75" customHeight="1">
      <c r="A621" s="78"/>
      <c r="B621" s="78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7"/>
      <c r="N621" s="118"/>
      <c r="O621" s="118"/>
      <c r="P621" s="118"/>
      <c r="Q621" s="116"/>
      <c r="R621" s="116"/>
      <c r="S621" s="116"/>
      <c r="T621" s="78"/>
      <c r="U621" s="78"/>
      <c r="V621" s="78"/>
      <c r="W621" s="78"/>
    </row>
    <row r="622" ht="15.75" customHeight="1">
      <c r="A622" s="78"/>
      <c r="B622" s="78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7"/>
      <c r="N622" s="118"/>
      <c r="O622" s="118"/>
      <c r="P622" s="118"/>
      <c r="Q622" s="116"/>
      <c r="R622" s="116"/>
      <c r="S622" s="116"/>
      <c r="T622" s="78"/>
      <c r="U622" s="78"/>
      <c r="V622" s="78"/>
      <c r="W622" s="78"/>
    </row>
    <row r="623" ht="15.75" customHeight="1">
      <c r="A623" s="78"/>
      <c r="B623" s="78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7"/>
      <c r="N623" s="118"/>
      <c r="O623" s="118"/>
      <c r="P623" s="118"/>
      <c r="Q623" s="116"/>
      <c r="R623" s="116"/>
      <c r="S623" s="116"/>
      <c r="T623" s="78"/>
      <c r="U623" s="78"/>
      <c r="V623" s="78"/>
      <c r="W623" s="78"/>
    </row>
    <row r="624" ht="15.75" customHeight="1">
      <c r="A624" s="78"/>
      <c r="B624" s="78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7"/>
      <c r="N624" s="118"/>
      <c r="O624" s="118"/>
      <c r="P624" s="118"/>
      <c r="Q624" s="116"/>
      <c r="R624" s="116"/>
      <c r="S624" s="116"/>
      <c r="T624" s="78"/>
      <c r="U624" s="78"/>
      <c r="V624" s="78"/>
      <c r="W624" s="78"/>
    </row>
    <row r="625" ht="15.75" customHeight="1">
      <c r="A625" s="78"/>
      <c r="B625" s="78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7"/>
      <c r="N625" s="118"/>
      <c r="O625" s="118"/>
      <c r="P625" s="118"/>
      <c r="Q625" s="116"/>
      <c r="R625" s="116"/>
      <c r="S625" s="116"/>
      <c r="T625" s="78"/>
      <c r="U625" s="78"/>
      <c r="V625" s="78"/>
      <c r="W625" s="78"/>
    </row>
    <row r="626" ht="15.75" customHeight="1">
      <c r="A626" s="78"/>
      <c r="B626" s="78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7"/>
      <c r="N626" s="118"/>
      <c r="O626" s="118"/>
      <c r="P626" s="118"/>
      <c r="Q626" s="116"/>
      <c r="R626" s="116"/>
      <c r="S626" s="116"/>
      <c r="T626" s="78"/>
      <c r="U626" s="78"/>
      <c r="V626" s="78"/>
      <c r="W626" s="78"/>
    </row>
    <row r="627" ht="15.75" customHeight="1">
      <c r="A627" s="78"/>
      <c r="B627" s="78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7"/>
      <c r="N627" s="118"/>
      <c r="O627" s="118"/>
      <c r="P627" s="118"/>
      <c r="Q627" s="116"/>
      <c r="R627" s="116"/>
      <c r="S627" s="116"/>
      <c r="T627" s="78"/>
      <c r="U627" s="78"/>
      <c r="V627" s="78"/>
      <c r="W627" s="78"/>
    </row>
    <row r="628" ht="15.75" customHeight="1">
      <c r="A628" s="78"/>
      <c r="B628" s="78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7"/>
      <c r="N628" s="118"/>
      <c r="O628" s="118"/>
      <c r="P628" s="118"/>
      <c r="Q628" s="116"/>
      <c r="R628" s="116"/>
      <c r="S628" s="116"/>
      <c r="T628" s="78"/>
      <c r="U628" s="78"/>
      <c r="V628" s="78"/>
      <c r="W628" s="78"/>
    </row>
    <row r="629" ht="15.75" customHeight="1">
      <c r="A629" s="78"/>
      <c r="B629" s="78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7"/>
      <c r="N629" s="118"/>
      <c r="O629" s="118"/>
      <c r="P629" s="118"/>
      <c r="Q629" s="116"/>
      <c r="R629" s="116"/>
      <c r="S629" s="116"/>
      <c r="T629" s="78"/>
      <c r="U629" s="78"/>
      <c r="V629" s="78"/>
      <c r="W629" s="78"/>
    </row>
    <row r="630" ht="15.75" customHeight="1">
      <c r="A630" s="78"/>
      <c r="B630" s="78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7"/>
      <c r="N630" s="118"/>
      <c r="O630" s="118"/>
      <c r="P630" s="118"/>
      <c r="Q630" s="116"/>
      <c r="R630" s="116"/>
      <c r="S630" s="116"/>
      <c r="T630" s="78"/>
      <c r="U630" s="78"/>
      <c r="V630" s="78"/>
      <c r="W630" s="78"/>
    </row>
    <row r="631" ht="15.75" customHeight="1">
      <c r="A631" s="78"/>
      <c r="B631" s="78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7"/>
      <c r="N631" s="118"/>
      <c r="O631" s="118"/>
      <c r="P631" s="118"/>
      <c r="Q631" s="116"/>
      <c r="R631" s="116"/>
      <c r="S631" s="116"/>
      <c r="T631" s="78"/>
      <c r="U631" s="78"/>
      <c r="V631" s="78"/>
      <c r="W631" s="78"/>
    </row>
    <row r="632" ht="15.75" customHeight="1">
      <c r="A632" s="78"/>
      <c r="B632" s="78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7"/>
      <c r="N632" s="118"/>
      <c r="O632" s="118"/>
      <c r="P632" s="118"/>
      <c r="Q632" s="116"/>
      <c r="R632" s="116"/>
      <c r="S632" s="116"/>
      <c r="T632" s="78"/>
      <c r="U632" s="78"/>
      <c r="V632" s="78"/>
      <c r="W632" s="78"/>
    </row>
    <row r="633" ht="15.75" customHeight="1">
      <c r="A633" s="78"/>
      <c r="B633" s="78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7"/>
      <c r="N633" s="118"/>
      <c r="O633" s="118"/>
      <c r="P633" s="118"/>
      <c r="Q633" s="116"/>
      <c r="R633" s="116"/>
      <c r="S633" s="116"/>
      <c r="T633" s="78"/>
      <c r="U633" s="78"/>
      <c r="V633" s="78"/>
      <c r="W633" s="78"/>
    </row>
    <row r="634" ht="15.75" customHeight="1">
      <c r="A634" s="78"/>
      <c r="B634" s="78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7"/>
      <c r="N634" s="118"/>
      <c r="O634" s="118"/>
      <c r="P634" s="118"/>
      <c r="Q634" s="116"/>
      <c r="R634" s="116"/>
      <c r="S634" s="116"/>
      <c r="T634" s="78"/>
      <c r="U634" s="78"/>
      <c r="V634" s="78"/>
      <c r="W634" s="78"/>
    </row>
    <row r="635" ht="15.75" customHeight="1">
      <c r="A635" s="78"/>
      <c r="B635" s="78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7"/>
      <c r="N635" s="118"/>
      <c r="O635" s="118"/>
      <c r="P635" s="118"/>
      <c r="Q635" s="116"/>
      <c r="R635" s="116"/>
      <c r="S635" s="116"/>
      <c r="T635" s="78"/>
      <c r="U635" s="78"/>
      <c r="V635" s="78"/>
      <c r="W635" s="78"/>
    </row>
    <row r="636" ht="15.75" customHeight="1">
      <c r="A636" s="78"/>
      <c r="B636" s="78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7"/>
      <c r="N636" s="118"/>
      <c r="O636" s="118"/>
      <c r="P636" s="118"/>
      <c r="Q636" s="116"/>
      <c r="R636" s="116"/>
      <c r="S636" s="116"/>
      <c r="T636" s="78"/>
      <c r="U636" s="78"/>
      <c r="V636" s="78"/>
      <c r="W636" s="78"/>
    </row>
    <row r="637" ht="15.75" customHeight="1">
      <c r="A637" s="78"/>
      <c r="B637" s="78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7"/>
      <c r="N637" s="118"/>
      <c r="O637" s="118"/>
      <c r="P637" s="118"/>
      <c r="Q637" s="116"/>
      <c r="R637" s="116"/>
      <c r="S637" s="116"/>
      <c r="T637" s="78"/>
      <c r="U637" s="78"/>
      <c r="V637" s="78"/>
      <c r="W637" s="78"/>
    </row>
    <row r="638" ht="15.75" customHeight="1">
      <c r="A638" s="78"/>
      <c r="B638" s="78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7"/>
      <c r="N638" s="118"/>
      <c r="O638" s="118"/>
      <c r="P638" s="118"/>
      <c r="Q638" s="116"/>
      <c r="R638" s="116"/>
      <c r="S638" s="116"/>
      <c r="T638" s="78"/>
      <c r="U638" s="78"/>
      <c r="V638" s="78"/>
      <c r="W638" s="78"/>
    </row>
    <row r="639" ht="15.75" customHeight="1">
      <c r="A639" s="78"/>
      <c r="B639" s="78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7"/>
      <c r="N639" s="118"/>
      <c r="O639" s="118"/>
      <c r="P639" s="118"/>
      <c r="Q639" s="116"/>
      <c r="R639" s="116"/>
      <c r="S639" s="116"/>
      <c r="T639" s="78"/>
      <c r="U639" s="78"/>
      <c r="V639" s="78"/>
      <c r="W639" s="78"/>
    </row>
    <row r="640" ht="15.75" customHeight="1">
      <c r="A640" s="78"/>
      <c r="B640" s="78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7"/>
      <c r="N640" s="118"/>
      <c r="O640" s="118"/>
      <c r="P640" s="118"/>
      <c r="Q640" s="116"/>
      <c r="R640" s="116"/>
      <c r="S640" s="116"/>
      <c r="T640" s="78"/>
      <c r="U640" s="78"/>
      <c r="V640" s="78"/>
      <c r="W640" s="78"/>
    </row>
    <row r="641" ht="15.75" customHeight="1">
      <c r="A641" s="78"/>
      <c r="B641" s="78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7"/>
      <c r="N641" s="118"/>
      <c r="O641" s="118"/>
      <c r="P641" s="118"/>
      <c r="Q641" s="116"/>
      <c r="R641" s="116"/>
      <c r="S641" s="116"/>
      <c r="T641" s="78"/>
      <c r="U641" s="78"/>
      <c r="V641" s="78"/>
      <c r="W641" s="78"/>
    </row>
    <row r="642" ht="15.75" customHeight="1">
      <c r="A642" s="78"/>
      <c r="B642" s="78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7"/>
      <c r="N642" s="118"/>
      <c r="O642" s="118"/>
      <c r="P642" s="118"/>
      <c r="Q642" s="116"/>
      <c r="R642" s="116"/>
      <c r="S642" s="116"/>
      <c r="T642" s="78"/>
      <c r="U642" s="78"/>
      <c r="V642" s="78"/>
      <c r="W642" s="78"/>
    </row>
    <row r="643" ht="15.75" customHeight="1">
      <c r="A643" s="78"/>
      <c r="B643" s="78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7"/>
      <c r="N643" s="118"/>
      <c r="O643" s="118"/>
      <c r="P643" s="118"/>
      <c r="Q643" s="116"/>
      <c r="R643" s="116"/>
      <c r="S643" s="116"/>
      <c r="T643" s="78"/>
      <c r="U643" s="78"/>
      <c r="V643" s="78"/>
      <c r="W643" s="78"/>
    </row>
    <row r="644" ht="15.75" customHeight="1">
      <c r="A644" s="78"/>
      <c r="B644" s="78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7"/>
      <c r="N644" s="118"/>
      <c r="O644" s="118"/>
      <c r="P644" s="118"/>
      <c r="Q644" s="116"/>
      <c r="R644" s="116"/>
      <c r="S644" s="116"/>
      <c r="T644" s="78"/>
      <c r="U644" s="78"/>
      <c r="V644" s="78"/>
      <c r="W644" s="78"/>
    </row>
    <row r="645" ht="15.75" customHeight="1">
      <c r="A645" s="78"/>
      <c r="B645" s="78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7"/>
      <c r="N645" s="118"/>
      <c r="O645" s="118"/>
      <c r="P645" s="118"/>
      <c r="Q645" s="116"/>
      <c r="R645" s="116"/>
      <c r="S645" s="116"/>
      <c r="T645" s="78"/>
      <c r="U645" s="78"/>
      <c r="V645" s="78"/>
      <c r="W645" s="78"/>
    </row>
    <row r="646" ht="15.75" customHeight="1">
      <c r="A646" s="78"/>
      <c r="B646" s="78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7"/>
      <c r="N646" s="118"/>
      <c r="O646" s="118"/>
      <c r="P646" s="118"/>
      <c r="Q646" s="116"/>
      <c r="R646" s="116"/>
      <c r="S646" s="116"/>
      <c r="T646" s="78"/>
      <c r="U646" s="78"/>
      <c r="V646" s="78"/>
      <c r="W646" s="78"/>
    </row>
    <row r="647" ht="15.75" customHeight="1">
      <c r="A647" s="78"/>
      <c r="B647" s="78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7"/>
      <c r="N647" s="118"/>
      <c r="O647" s="118"/>
      <c r="P647" s="118"/>
      <c r="Q647" s="116"/>
      <c r="R647" s="116"/>
      <c r="S647" s="116"/>
      <c r="T647" s="78"/>
      <c r="U647" s="78"/>
      <c r="V647" s="78"/>
      <c r="W647" s="78"/>
    </row>
    <row r="648" ht="15.75" customHeight="1">
      <c r="A648" s="78"/>
      <c r="B648" s="78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7"/>
      <c r="N648" s="118"/>
      <c r="O648" s="118"/>
      <c r="P648" s="118"/>
      <c r="Q648" s="116"/>
      <c r="R648" s="116"/>
      <c r="S648" s="116"/>
      <c r="T648" s="78"/>
      <c r="U648" s="78"/>
      <c r="V648" s="78"/>
      <c r="W648" s="78"/>
    </row>
    <row r="649" ht="15.75" customHeight="1">
      <c r="A649" s="78"/>
      <c r="B649" s="78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7"/>
      <c r="N649" s="118"/>
      <c r="O649" s="118"/>
      <c r="P649" s="118"/>
      <c r="Q649" s="116"/>
      <c r="R649" s="116"/>
      <c r="S649" s="116"/>
      <c r="T649" s="78"/>
      <c r="U649" s="78"/>
      <c r="V649" s="78"/>
      <c r="W649" s="78"/>
    </row>
    <row r="650" ht="15.75" customHeight="1">
      <c r="A650" s="78"/>
      <c r="B650" s="78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7"/>
      <c r="N650" s="118"/>
      <c r="O650" s="118"/>
      <c r="P650" s="118"/>
      <c r="Q650" s="116"/>
      <c r="R650" s="116"/>
      <c r="S650" s="116"/>
      <c r="T650" s="78"/>
      <c r="U650" s="78"/>
      <c r="V650" s="78"/>
      <c r="W650" s="78"/>
    </row>
    <row r="651" ht="15.75" customHeight="1">
      <c r="A651" s="78"/>
      <c r="B651" s="78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7"/>
      <c r="N651" s="118"/>
      <c r="O651" s="118"/>
      <c r="P651" s="118"/>
      <c r="Q651" s="116"/>
      <c r="R651" s="116"/>
      <c r="S651" s="116"/>
      <c r="T651" s="78"/>
      <c r="U651" s="78"/>
      <c r="V651" s="78"/>
      <c r="W651" s="78"/>
    </row>
    <row r="652" ht="15.75" customHeight="1">
      <c r="A652" s="78"/>
      <c r="B652" s="78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7"/>
      <c r="N652" s="118"/>
      <c r="O652" s="118"/>
      <c r="P652" s="118"/>
      <c r="Q652" s="116"/>
      <c r="R652" s="116"/>
      <c r="S652" s="116"/>
      <c r="T652" s="78"/>
      <c r="U652" s="78"/>
      <c r="V652" s="78"/>
      <c r="W652" s="78"/>
    </row>
    <row r="653" ht="15.75" customHeight="1">
      <c r="A653" s="78"/>
      <c r="B653" s="78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7"/>
      <c r="N653" s="118"/>
      <c r="O653" s="118"/>
      <c r="P653" s="118"/>
      <c r="Q653" s="116"/>
      <c r="R653" s="116"/>
      <c r="S653" s="116"/>
      <c r="T653" s="78"/>
      <c r="U653" s="78"/>
      <c r="V653" s="78"/>
      <c r="W653" s="78"/>
    </row>
    <row r="654" ht="15.75" customHeight="1">
      <c r="A654" s="78"/>
      <c r="B654" s="78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7"/>
      <c r="N654" s="118"/>
      <c r="O654" s="118"/>
      <c r="P654" s="118"/>
      <c r="Q654" s="116"/>
      <c r="R654" s="116"/>
      <c r="S654" s="116"/>
      <c r="T654" s="78"/>
      <c r="U654" s="78"/>
      <c r="V654" s="78"/>
      <c r="W654" s="78"/>
    </row>
    <row r="655" ht="15.75" customHeight="1">
      <c r="A655" s="78"/>
      <c r="B655" s="78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7"/>
      <c r="N655" s="118"/>
      <c r="O655" s="118"/>
      <c r="P655" s="118"/>
      <c r="Q655" s="116"/>
      <c r="R655" s="116"/>
      <c r="S655" s="116"/>
      <c r="T655" s="78"/>
      <c r="U655" s="78"/>
      <c r="V655" s="78"/>
      <c r="W655" s="78"/>
    </row>
    <row r="656" ht="15.75" customHeight="1">
      <c r="A656" s="78"/>
      <c r="B656" s="78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7"/>
      <c r="N656" s="118"/>
      <c r="O656" s="118"/>
      <c r="P656" s="118"/>
      <c r="Q656" s="116"/>
      <c r="R656" s="116"/>
      <c r="S656" s="116"/>
      <c r="T656" s="78"/>
      <c r="U656" s="78"/>
      <c r="V656" s="78"/>
      <c r="W656" s="78"/>
    </row>
    <row r="657" ht="15.75" customHeight="1">
      <c r="A657" s="78"/>
      <c r="B657" s="78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7"/>
      <c r="N657" s="118"/>
      <c r="O657" s="118"/>
      <c r="P657" s="118"/>
      <c r="Q657" s="116"/>
      <c r="R657" s="116"/>
      <c r="S657" s="116"/>
      <c r="T657" s="78"/>
      <c r="U657" s="78"/>
      <c r="V657" s="78"/>
      <c r="W657" s="78"/>
    </row>
    <row r="658" ht="15.75" customHeight="1">
      <c r="A658" s="78"/>
      <c r="B658" s="78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7"/>
      <c r="N658" s="118"/>
      <c r="O658" s="118"/>
      <c r="P658" s="118"/>
      <c r="Q658" s="116"/>
      <c r="R658" s="116"/>
      <c r="S658" s="116"/>
      <c r="T658" s="78"/>
      <c r="U658" s="78"/>
      <c r="V658" s="78"/>
      <c r="W658" s="78"/>
    </row>
    <row r="659" ht="15.75" customHeight="1">
      <c r="A659" s="78"/>
      <c r="B659" s="78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7"/>
      <c r="N659" s="118"/>
      <c r="O659" s="118"/>
      <c r="P659" s="118"/>
      <c r="Q659" s="116"/>
      <c r="R659" s="116"/>
      <c r="S659" s="116"/>
      <c r="T659" s="78"/>
      <c r="U659" s="78"/>
      <c r="V659" s="78"/>
      <c r="W659" s="78"/>
    </row>
    <row r="660" ht="15.75" customHeight="1">
      <c r="A660" s="78"/>
      <c r="B660" s="78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7"/>
      <c r="N660" s="118"/>
      <c r="O660" s="118"/>
      <c r="P660" s="118"/>
      <c r="Q660" s="116"/>
      <c r="R660" s="116"/>
      <c r="S660" s="116"/>
      <c r="T660" s="78"/>
      <c r="U660" s="78"/>
      <c r="V660" s="78"/>
      <c r="W660" s="78"/>
    </row>
    <row r="661" ht="15.75" customHeight="1">
      <c r="A661" s="78"/>
      <c r="B661" s="78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7"/>
      <c r="N661" s="118"/>
      <c r="O661" s="118"/>
      <c r="P661" s="118"/>
      <c r="Q661" s="116"/>
      <c r="R661" s="116"/>
      <c r="S661" s="116"/>
      <c r="T661" s="78"/>
      <c r="U661" s="78"/>
      <c r="V661" s="78"/>
      <c r="W661" s="78"/>
    </row>
    <row r="662" ht="15.75" customHeight="1">
      <c r="A662" s="78"/>
      <c r="B662" s="78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7"/>
      <c r="N662" s="118"/>
      <c r="O662" s="118"/>
      <c r="P662" s="118"/>
      <c r="Q662" s="116"/>
      <c r="R662" s="116"/>
      <c r="S662" s="116"/>
      <c r="T662" s="78"/>
      <c r="U662" s="78"/>
      <c r="V662" s="78"/>
      <c r="W662" s="78"/>
    </row>
    <row r="663" ht="15.75" customHeight="1">
      <c r="A663" s="78"/>
      <c r="B663" s="78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7"/>
      <c r="N663" s="118"/>
      <c r="O663" s="118"/>
      <c r="P663" s="118"/>
      <c r="Q663" s="116"/>
      <c r="R663" s="116"/>
      <c r="S663" s="116"/>
      <c r="T663" s="78"/>
      <c r="U663" s="78"/>
      <c r="V663" s="78"/>
      <c r="W663" s="78"/>
    </row>
    <row r="664" ht="15.75" customHeight="1">
      <c r="A664" s="78"/>
      <c r="B664" s="78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7"/>
      <c r="N664" s="118"/>
      <c r="O664" s="118"/>
      <c r="P664" s="118"/>
      <c r="Q664" s="116"/>
      <c r="R664" s="116"/>
      <c r="S664" s="116"/>
      <c r="T664" s="78"/>
      <c r="U664" s="78"/>
      <c r="V664" s="78"/>
      <c r="W664" s="78"/>
    </row>
    <row r="665" ht="15.75" customHeight="1">
      <c r="A665" s="78"/>
      <c r="B665" s="78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7"/>
      <c r="N665" s="118"/>
      <c r="O665" s="118"/>
      <c r="P665" s="118"/>
      <c r="Q665" s="116"/>
      <c r="R665" s="116"/>
      <c r="S665" s="116"/>
      <c r="T665" s="78"/>
      <c r="U665" s="78"/>
      <c r="V665" s="78"/>
      <c r="W665" s="78"/>
    </row>
    <row r="666" ht="15.75" customHeight="1">
      <c r="A666" s="78"/>
      <c r="B666" s="78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7"/>
      <c r="N666" s="118"/>
      <c r="O666" s="118"/>
      <c r="P666" s="118"/>
      <c r="Q666" s="116"/>
      <c r="R666" s="116"/>
      <c r="S666" s="116"/>
      <c r="T666" s="78"/>
      <c r="U666" s="78"/>
      <c r="V666" s="78"/>
      <c r="W666" s="78"/>
    </row>
    <row r="667" ht="15.75" customHeight="1">
      <c r="A667" s="78"/>
      <c r="B667" s="78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7"/>
      <c r="N667" s="118"/>
      <c r="O667" s="118"/>
      <c r="P667" s="118"/>
      <c r="Q667" s="116"/>
      <c r="R667" s="116"/>
      <c r="S667" s="116"/>
      <c r="T667" s="78"/>
      <c r="U667" s="78"/>
      <c r="V667" s="78"/>
      <c r="W667" s="78"/>
    </row>
    <row r="668" ht="15.75" customHeight="1">
      <c r="A668" s="78"/>
      <c r="B668" s="78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7"/>
      <c r="N668" s="118"/>
      <c r="O668" s="118"/>
      <c r="P668" s="118"/>
      <c r="Q668" s="116"/>
      <c r="R668" s="116"/>
      <c r="S668" s="116"/>
      <c r="T668" s="78"/>
      <c r="U668" s="78"/>
      <c r="V668" s="78"/>
      <c r="W668" s="78"/>
    </row>
    <row r="669" ht="15.75" customHeight="1">
      <c r="A669" s="78"/>
      <c r="B669" s="78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7"/>
      <c r="N669" s="118"/>
      <c r="O669" s="118"/>
      <c r="P669" s="118"/>
      <c r="Q669" s="116"/>
      <c r="R669" s="116"/>
      <c r="S669" s="116"/>
      <c r="T669" s="78"/>
      <c r="U669" s="78"/>
      <c r="V669" s="78"/>
      <c r="W669" s="78"/>
    </row>
    <row r="670" ht="15.75" customHeight="1">
      <c r="A670" s="78"/>
      <c r="B670" s="78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7"/>
      <c r="N670" s="118"/>
      <c r="O670" s="118"/>
      <c r="P670" s="118"/>
      <c r="Q670" s="116"/>
      <c r="R670" s="116"/>
      <c r="S670" s="116"/>
      <c r="T670" s="78"/>
      <c r="U670" s="78"/>
      <c r="V670" s="78"/>
      <c r="W670" s="78"/>
    </row>
    <row r="671" ht="15.75" customHeight="1">
      <c r="A671" s="78"/>
      <c r="B671" s="78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7"/>
      <c r="N671" s="118"/>
      <c r="O671" s="118"/>
      <c r="P671" s="118"/>
      <c r="Q671" s="116"/>
      <c r="R671" s="116"/>
      <c r="S671" s="116"/>
      <c r="T671" s="78"/>
      <c r="U671" s="78"/>
      <c r="V671" s="78"/>
      <c r="W671" s="78"/>
    </row>
    <row r="672" ht="15.75" customHeight="1">
      <c r="A672" s="78"/>
      <c r="B672" s="78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7"/>
      <c r="N672" s="118"/>
      <c r="O672" s="118"/>
      <c r="P672" s="118"/>
      <c r="Q672" s="116"/>
      <c r="R672" s="116"/>
      <c r="S672" s="116"/>
      <c r="T672" s="78"/>
      <c r="U672" s="78"/>
      <c r="V672" s="78"/>
      <c r="W672" s="78"/>
    </row>
    <row r="673" ht="15.75" customHeight="1">
      <c r="A673" s="78"/>
      <c r="B673" s="78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7"/>
      <c r="N673" s="118"/>
      <c r="O673" s="118"/>
      <c r="P673" s="118"/>
      <c r="Q673" s="116"/>
      <c r="R673" s="116"/>
      <c r="S673" s="116"/>
      <c r="T673" s="78"/>
      <c r="U673" s="78"/>
      <c r="V673" s="78"/>
      <c r="W673" s="78"/>
    </row>
    <row r="674" ht="15.75" customHeight="1">
      <c r="A674" s="78"/>
      <c r="B674" s="78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7"/>
      <c r="N674" s="118"/>
      <c r="O674" s="118"/>
      <c r="P674" s="118"/>
      <c r="Q674" s="116"/>
      <c r="R674" s="116"/>
      <c r="S674" s="116"/>
      <c r="T674" s="78"/>
      <c r="U674" s="78"/>
      <c r="V674" s="78"/>
      <c r="W674" s="78"/>
    </row>
    <row r="675" ht="15.75" customHeight="1">
      <c r="A675" s="78"/>
      <c r="B675" s="78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7"/>
      <c r="N675" s="118"/>
      <c r="O675" s="118"/>
      <c r="P675" s="118"/>
      <c r="Q675" s="116"/>
      <c r="R675" s="116"/>
      <c r="S675" s="116"/>
      <c r="T675" s="78"/>
      <c r="U675" s="78"/>
      <c r="V675" s="78"/>
      <c r="W675" s="78"/>
    </row>
    <row r="676" ht="15.75" customHeight="1">
      <c r="A676" s="78"/>
      <c r="B676" s="78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7"/>
      <c r="N676" s="118"/>
      <c r="O676" s="118"/>
      <c r="P676" s="118"/>
      <c r="Q676" s="116"/>
      <c r="R676" s="116"/>
      <c r="S676" s="116"/>
      <c r="T676" s="78"/>
      <c r="U676" s="78"/>
      <c r="V676" s="78"/>
      <c r="W676" s="78"/>
    </row>
    <row r="677" ht="15.75" customHeight="1">
      <c r="A677" s="78"/>
      <c r="B677" s="78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7"/>
      <c r="N677" s="118"/>
      <c r="O677" s="118"/>
      <c r="P677" s="118"/>
      <c r="Q677" s="116"/>
      <c r="R677" s="116"/>
      <c r="S677" s="116"/>
      <c r="T677" s="78"/>
      <c r="U677" s="78"/>
      <c r="V677" s="78"/>
      <c r="W677" s="78"/>
    </row>
    <row r="678" ht="15.75" customHeight="1">
      <c r="A678" s="78"/>
      <c r="B678" s="78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7"/>
      <c r="N678" s="118"/>
      <c r="O678" s="118"/>
      <c r="P678" s="118"/>
      <c r="Q678" s="116"/>
      <c r="R678" s="116"/>
      <c r="S678" s="116"/>
      <c r="T678" s="78"/>
      <c r="U678" s="78"/>
      <c r="V678" s="78"/>
      <c r="W678" s="78"/>
    </row>
    <row r="679" ht="15.75" customHeight="1">
      <c r="A679" s="78"/>
      <c r="B679" s="78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7"/>
      <c r="N679" s="118"/>
      <c r="O679" s="118"/>
      <c r="P679" s="118"/>
      <c r="Q679" s="116"/>
      <c r="R679" s="116"/>
      <c r="S679" s="116"/>
      <c r="T679" s="78"/>
      <c r="U679" s="78"/>
      <c r="V679" s="78"/>
      <c r="W679" s="78"/>
    </row>
    <row r="680" ht="15.75" customHeight="1">
      <c r="A680" s="78"/>
      <c r="B680" s="78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7"/>
      <c r="N680" s="118"/>
      <c r="O680" s="118"/>
      <c r="P680" s="118"/>
      <c r="Q680" s="116"/>
      <c r="R680" s="116"/>
      <c r="S680" s="116"/>
      <c r="T680" s="78"/>
      <c r="U680" s="78"/>
      <c r="V680" s="78"/>
      <c r="W680" s="78"/>
    </row>
    <row r="681" ht="15.75" customHeight="1">
      <c r="A681" s="78"/>
      <c r="B681" s="78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7"/>
      <c r="N681" s="118"/>
      <c r="O681" s="118"/>
      <c r="P681" s="118"/>
      <c r="Q681" s="116"/>
      <c r="R681" s="116"/>
      <c r="S681" s="116"/>
      <c r="T681" s="78"/>
      <c r="U681" s="78"/>
      <c r="V681" s="78"/>
      <c r="W681" s="78"/>
    </row>
    <row r="682" ht="15.75" customHeight="1">
      <c r="A682" s="78"/>
      <c r="B682" s="78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7"/>
      <c r="N682" s="118"/>
      <c r="O682" s="118"/>
      <c r="P682" s="118"/>
      <c r="Q682" s="116"/>
      <c r="R682" s="116"/>
      <c r="S682" s="116"/>
      <c r="T682" s="78"/>
      <c r="U682" s="78"/>
      <c r="V682" s="78"/>
      <c r="W682" s="78"/>
    </row>
    <row r="683" ht="15.75" customHeight="1">
      <c r="A683" s="78"/>
      <c r="B683" s="78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7"/>
      <c r="N683" s="118"/>
      <c r="O683" s="118"/>
      <c r="P683" s="118"/>
      <c r="Q683" s="116"/>
      <c r="R683" s="116"/>
      <c r="S683" s="116"/>
      <c r="T683" s="78"/>
      <c r="U683" s="78"/>
      <c r="V683" s="78"/>
      <c r="W683" s="78"/>
    </row>
    <row r="684" ht="15.75" customHeight="1">
      <c r="A684" s="78"/>
      <c r="B684" s="78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7"/>
      <c r="N684" s="118"/>
      <c r="O684" s="118"/>
      <c r="P684" s="118"/>
      <c r="Q684" s="116"/>
      <c r="R684" s="116"/>
      <c r="S684" s="116"/>
      <c r="T684" s="78"/>
      <c r="U684" s="78"/>
      <c r="V684" s="78"/>
      <c r="W684" s="78"/>
    </row>
    <row r="685" ht="15.75" customHeight="1">
      <c r="A685" s="78"/>
      <c r="B685" s="78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7"/>
      <c r="N685" s="118"/>
      <c r="O685" s="118"/>
      <c r="P685" s="118"/>
      <c r="Q685" s="116"/>
      <c r="R685" s="116"/>
      <c r="S685" s="116"/>
      <c r="T685" s="78"/>
      <c r="U685" s="78"/>
      <c r="V685" s="78"/>
      <c r="W685" s="78"/>
    </row>
    <row r="686" ht="15.75" customHeight="1">
      <c r="A686" s="78"/>
      <c r="B686" s="78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7"/>
      <c r="N686" s="118"/>
      <c r="O686" s="118"/>
      <c r="P686" s="118"/>
      <c r="Q686" s="116"/>
      <c r="R686" s="116"/>
      <c r="S686" s="116"/>
      <c r="T686" s="78"/>
      <c r="U686" s="78"/>
      <c r="V686" s="78"/>
      <c r="W686" s="78"/>
    </row>
    <row r="687" ht="15.75" customHeight="1">
      <c r="A687" s="78"/>
      <c r="B687" s="78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7"/>
      <c r="N687" s="118"/>
      <c r="O687" s="118"/>
      <c r="P687" s="118"/>
      <c r="Q687" s="116"/>
      <c r="R687" s="116"/>
      <c r="S687" s="116"/>
      <c r="T687" s="78"/>
      <c r="U687" s="78"/>
      <c r="V687" s="78"/>
      <c r="W687" s="78"/>
    </row>
    <row r="688" ht="15.75" customHeight="1">
      <c r="A688" s="78"/>
      <c r="B688" s="78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7"/>
      <c r="N688" s="118"/>
      <c r="O688" s="118"/>
      <c r="P688" s="118"/>
      <c r="Q688" s="116"/>
      <c r="R688" s="116"/>
      <c r="S688" s="116"/>
      <c r="T688" s="78"/>
      <c r="U688" s="78"/>
      <c r="V688" s="78"/>
      <c r="W688" s="78"/>
    </row>
    <row r="689" ht="15.75" customHeight="1">
      <c r="A689" s="78"/>
      <c r="B689" s="78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7"/>
      <c r="N689" s="118"/>
      <c r="O689" s="118"/>
      <c r="P689" s="118"/>
      <c r="Q689" s="116"/>
      <c r="R689" s="116"/>
      <c r="S689" s="116"/>
      <c r="T689" s="78"/>
      <c r="U689" s="78"/>
      <c r="V689" s="78"/>
      <c r="W689" s="78"/>
    </row>
    <row r="690" ht="15.75" customHeight="1">
      <c r="A690" s="78"/>
      <c r="B690" s="78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7"/>
      <c r="N690" s="118"/>
      <c r="O690" s="118"/>
      <c r="P690" s="118"/>
      <c r="Q690" s="116"/>
      <c r="R690" s="116"/>
      <c r="S690" s="116"/>
      <c r="T690" s="78"/>
      <c r="U690" s="78"/>
      <c r="V690" s="78"/>
      <c r="W690" s="78"/>
    </row>
    <row r="691" ht="15.75" customHeight="1">
      <c r="A691" s="78"/>
      <c r="B691" s="78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7"/>
      <c r="N691" s="118"/>
      <c r="O691" s="118"/>
      <c r="P691" s="118"/>
      <c r="Q691" s="116"/>
      <c r="R691" s="116"/>
      <c r="S691" s="116"/>
      <c r="T691" s="78"/>
      <c r="U691" s="78"/>
      <c r="V691" s="78"/>
      <c r="W691" s="78"/>
    </row>
    <row r="692" ht="15.75" customHeight="1">
      <c r="A692" s="78"/>
      <c r="B692" s="78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7"/>
      <c r="N692" s="118"/>
      <c r="O692" s="118"/>
      <c r="P692" s="118"/>
      <c r="Q692" s="116"/>
      <c r="R692" s="116"/>
      <c r="S692" s="116"/>
      <c r="T692" s="78"/>
      <c r="U692" s="78"/>
      <c r="V692" s="78"/>
      <c r="W692" s="78"/>
    </row>
    <row r="693" ht="15.75" customHeight="1">
      <c r="A693" s="78"/>
      <c r="B693" s="78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7"/>
      <c r="N693" s="118"/>
      <c r="O693" s="118"/>
      <c r="P693" s="118"/>
      <c r="Q693" s="116"/>
      <c r="R693" s="116"/>
      <c r="S693" s="116"/>
      <c r="T693" s="78"/>
      <c r="U693" s="78"/>
      <c r="V693" s="78"/>
      <c r="W693" s="78"/>
    </row>
    <row r="694" ht="15.75" customHeight="1">
      <c r="A694" s="78"/>
      <c r="B694" s="78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7"/>
      <c r="N694" s="118"/>
      <c r="O694" s="118"/>
      <c r="P694" s="118"/>
      <c r="Q694" s="116"/>
      <c r="R694" s="116"/>
      <c r="S694" s="116"/>
      <c r="T694" s="78"/>
      <c r="U694" s="78"/>
      <c r="V694" s="78"/>
      <c r="W694" s="78"/>
    </row>
    <row r="695" ht="15.75" customHeight="1">
      <c r="A695" s="78"/>
      <c r="B695" s="78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7"/>
      <c r="N695" s="118"/>
      <c r="O695" s="118"/>
      <c r="P695" s="118"/>
      <c r="Q695" s="116"/>
      <c r="R695" s="116"/>
      <c r="S695" s="116"/>
      <c r="T695" s="78"/>
      <c r="U695" s="78"/>
      <c r="V695" s="78"/>
      <c r="W695" s="78"/>
    </row>
    <row r="696" ht="15.75" customHeight="1">
      <c r="A696" s="78"/>
      <c r="B696" s="78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7"/>
      <c r="N696" s="118"/>
      <c r="O696" s="118"/>
      <c r="P696" s="118"/>
      <c r="Q696" s="116"/>
      <c r="R696" s="116"/>
      <c r="S696" s="116"/>
      <c r="T696" s="78"/>
      <c r="U696" s="78"/>
      <c r="V696" s="78"/>
      <c r="W696" s="78"/>
    </row>
    <row r="697" ht="15.75" customHeight="1">
      <c r="A697" s="78"/>
      <c r="B697" s="78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7"/>
      <c r="N697" s="118"/>
      <c r="O697" s="118"/>
      <c r="P697" s="118"/>
      <c r="Q697" s="116"/>
      <c r="R697" s="116"/>
      <c r="S697" s="116"/>
      <c r="T697" s="78"/>
      <c r="U697" s="78"/>
      <c r="V697" s="78"/>
      <c r="W697" s="78"/>
    </row>
    <row r="698" ht="15.75" customHeight="1">
      <c r="A698" s="78"/>
      <c r="B698" s="78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7"/>
      <c r="N698" s="118"/>
      <c r="O698" s="118"/>
      <c r="P698" s="118"/>
      <c r="Q698" s="116"/>
      <c r="R698" s="116"/>
      <c r="S698" s="116"/>
      <c r="T698" s="78"/>
      <c r="U698" s="78"/>
      <c r="V698" s="78"/>
      <c r="W698" s="78"/>
    </row>
    <row r="699" ht="15.75" customHeight="1">
      <c r="A699" s="78"/>
      <c r="B699" s="78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7"/>
      <c r="N699" s="118"/>
      <c r="O699" s="118"/>
      <c r="P699" s="118"/>
      <c r="Q699" s="116"/>
      <c r="R699" s="116"/>
      <c r="S699" s="116"/>
      <c r="T699" s="78"/>
      <c r="U699" s="78"/>
      <c r="V699" s="78"/>
      <c r="W699" s="78"/>
    </row>
    <row r="700" ht="15.75" customHeight="1">
      <c r="A700" s="78"/>
      <c r="B700" s="78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7"/>
      <c r="N700" s="118"/>
      <c r="O700" s="118"/>
      <c r="P700" s="118"/>
      <c r="Q700" s="116"/>
      <c r="R700" s="116"/>
      <c r="S700" s="116"/>
      <c r="T700" s="78"/>
      <c r="U700" s="78"/>
      <c r="V700" s="78"/>
      <c r="W700" s="78"/>
    </row>
    <row r="701" ht="15.75" customHeight="1">
      <c r="A701" s="78"/>
      <c r="B701" s="78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7"/>
      <c r="N701" s="118"/>
      <c r="O701" s="118"/>
      <c r="P701" s="118"/>
      <c r="Q701" s="116"/>
      <c r="R701" s="116"/>
      <c r="S701" s="116"/>
      <c r="T701" s="78"/>
      <c r="U701" s="78"/>
      <c r="V701" s="78"/>
      <c r="W701" s="78"/>
    </row>
    <row r="702" ht="15.75" customHeight="1">
      <c r="A702" s="78"/>
      <c r="B702" s="78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7"/>
      <c r="N702" s="118"/>
      <c r="O702" s="118"/>
      <c r="P702" s="118"/>
      <c r="Q702" s="116"/>
      <c r="R702" s="116"/>
      <c r="S702" s="116"/>
      <c r="T702" s="78"/>
      <c r="U702" s="78"/>
      <c r="V702" s="78"/>
      <c r="W702" s="78"/>
    </row>
    <row r="703" ht="15.75" customHeight="1">
      <c r="A703" s="78"/>
      <c r="B703" s="78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7"/>
      <c r="N703" s="118"/>
      <c r="O703" s="118"/>
      <c r="P703" s="118"/>
      <c r="Q703" s="116"/>
      <c r="R703" s="116"/>
      <c r="S703" s="116"/>
      <c r="T703" s="78"/>
      <c r="U703" s="78"/>
      <c r="V703" s="78"/>
      <c r="W703" s="78"/>
    </row>
    <row r="704" ht="15.75" customHeight="1">
      <c r="A704" s="78"/>
      <c r="B704" s="78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7"/>
      <c r="N704" s="118"/>
      <c r="O704" s="118"/>
      <c r="P704" s="118"/>
      <c r="Q704" s="116"/>
      <c r="R704" s="116"/>
      <c r="S704" s="116"/>
      <c r="T704" s="78"/>
      <c r="U704" s="78"/>
      <c r="V704" s="78"/>
      <c r="W704" s="78"/>
    </row>
    <row r="705" ht="15.75" customHeight="1">
      <c r="A705" s="78"/>
      <c r="B705" s="78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7"/>
      <c r="N705" s="118"/>
      <c r="O705" s="118"/>
      <c r="P705" s="118"/>
      <c r="Q705" s="116"/>
      <c r="R705" s="116"/>
      <c r="S705" s="116"/>
      <c r="T705" s="78"/>
      <c r="U705" s="78"/>
      <c r="V705" s="78"/>
      <c r="W705" s="78"/>
    </row>
    <row r="706" ht="15.75" customHeight="1">
      <c r="A706" s="78"/>
      <c r="B706" s="78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7"/>
      <c r="N706" s="118"/>
      <c r="O706" s="118"/>
      <c r="P706" s="118"/>
      <c r="Q706" s="116"/>
      <c r="R706" s="116"/>
      <c r="S706" s="116"/>
      <c r="T706" s="78"/>
      <c r="U706" s="78"/>
      <c r="V706" s="78"/>
      <c r="W706" s="78"/>
    </row>
    <row r="707" ht="15.75" customHeight="1">
      <c r="A707" s="78"/>
      <c r="B707" s="78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7"/>
      <c r="N707" s="118"/>
      <c r="O707" s="118"/>
      <c r="P707" s="118"/>
      <c r="Q707" s="116"/>
      <c r="R707" s="116"/>
      <c r="S707" s="116"/>
      <c r="T707" s="78"/>
      <c r="U707" s="78"/>
      <c r="V707" s="78"/>
      <c r="W707" s="78"/>
    </row>
    <row r="708" ht="15.75" customHeight="1">
      <c r="A708" s="78"/>
      <c r="B708" s="78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7"/>
      <c r="N708" s="118"/>
      <c r="O708" s="118"/>
      <c r="P708" s="118"/>
      <c r="Q708" s="116"/>
      <c r="R708" s="116"/>
      <c r="S708" s="116"/>
      <c r="T708" s="78"/>
      <c r="U708" s="78"/>
      <c r="V708" s="78"/>
      <c r="W708" s="78"/>
    </row>
    <row r="709" ht="15.75" customHeight="1">
      <c r="A709" s="78"/>
      <c r="B709" s="78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7"/>
      <c r="N709" s="118"/>
      <c r="O709" s="118"/>
      <c r="P709" s="118"/>
      <c r="Q709" s="116"/>
      <c r="R709" s="116"/>
      <c r="S709" s="116"/>
      <c r="T709" s="78"/>
      <c r="U709" s="78"/>
      <c r="V709" s="78"/>
      <c r="W709" s="78"/>
    </row>
    <row r="710" ht="15.75" customHeight="1">
      <c r="A710" s="78"/>
      <c r="B710" s="78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7"/>
      <c r="N710" s="118"/>
      <c r="O710" s="118"/>
      <c r="P710" s="118"/>
      <c r="Q710" s="116"/>
      <c r="R710" s="116"/>
      <c r="S710" s="116"/>
      <c r="T710" s="78"/>
      <c r="U710" s="78"/>
      <c r="V710" s="78"/>
      <c r="W710" s="78"/>
    </row>
    <row r="711" ht="15.75" customHeight="1">
      <c r="A711" s="78"/>
      <c r="B711" s="78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7"/>
      <c r="N711" s="118"/>
      <c r="O711" s="118"/>
      <c r="P711" s="118"/>
      <c r="Q711" s="116"/>
      <c r="R711" s="116"/>
      <c r="S711" s="116"/>
      <c r="T711" s="78"/>
      <c r="U711" s="78"/>
      <c r="V711" s="78"/>
      <c r="W711" s="78"/>
    </row>
    <row r="712" ht="15.75" customHeight="1">
      <c r="A712" s="78"/>
      <c r="B712" s="78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7"/>
      <c r="N712" s="118"/>
      <c r="O712" s="118"/>
      <c r="P712" s="118"/>
      <c r="Q712" s="116"/>
      <c r="R712" s="116"/>
      <c r="S712" s="116"/>
      <c r="T712" s="78"/>
      <c r="U712" s="78"/>
      <c r="V712" s="78"/>
      <c r="W712" s="78"/>
    </row>
    <row r="713" ht="15.75" customHeight="1">
      <c r="A713" s="78"/>
      <c r="B713" s="78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7"/>
      <c r="N713" s="118"/>
      <c r="O713" s="118"/>
      <c r="P713" s="118"/>
      <c r="Q713" s="116"/>
      <c r="R713" s="116"/>
      <c r="S713" s="116"/>
      <c r="T713" s="78"/>
      <c r="U713" s="78"/>
      <c r="V713" s="78"/>
      <c r="W713" s="78"/>
    </row>
    <row r="714" ht="15.75" customHeight="1">
      <c r="A714" s="78"/>
      <c r="B714" s="78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7"/>
      <c r="N714" s="118"/>
      <c r="O714" s="118"/>
      <c r="P714" s="118"/>
      <c r="Q714" s="116"/>
      <c r="R714" s="116"/>
      <c r="S714" s="116"/>
      <c r="T714" s="78"/>
      <c r="U714" s="78"/>
      <c r="V714" s="78"/>
      <c r="W714" s="78"/>
    </row>
    <row r="715" ht="15.75" customHeight="1">
      <c r="A715" s="78"/>
      <c r="B715" s="78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7"/>
      <c r="N715" s="118"/>
      <c r="O715" s="118"/>
      <c r="P715" s="118"/>
      <c r="Q715" s="116"/>
      <c r="R715" s="116"/>
      <c r="S715" s="116"/>
      <c r="T715" s="78"/>
      <c r="U715" s="78"/>
      <c r="V715" s="78"/>
      <c r="W715" s="78"/>
    </row>
    <row r="716" ht="15.75" customHeight="1">
      <c r="A716" s="78"/>
      <c r="B716" s="78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7"/>
      <c r="N716" s="118"/>
      <c r="O716" s="118"/>
      <c r="P716" s="118"/>
      <c r="Q716" s="116"/>
      <c r="R716" s="116"/>
      <c r="S716" s="116"/>
      <c r="T716" s="78"/>
      <c r="U716" s="78"/>
      <c r="V716" s="78"/>
      <c r="W716" s="78"/>
    </row>
    <row r="717" ht="15.75" customHeight="1">
      <c r="A717" s="78"/>
      <c r="B717" s="78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7"/>
      <c r="N717" s="118"/>
      <c r="O717" s="118"/>
      <c r="P717" s="118"/>
      <c r="Q717" s="116"/>
      <c r="R717" s="116"/>
      <c r="S717" s="116"/>
      <c r="T717" s="78"/>
      <c r="U717" s="78"/>
      <c r="V717" s="78"/>
      <c r="W717" s="78"/>
    </row>
    <row r="718" ht="15.75" customHeight="1">
      <c r="A718" s="78"/>
      <c r="B718" s="78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7"/>
      <c r="N718" s="118"/>
      <c r="O718" s="118"/>
      <c r="P718" s="118"/>
      <c r="Q718" s="116"/>
      <c r="R718" s="116"/>
      <c r="S718" s="116"/>
      <c r="T718" s="78"/>
      <c r="U718" s="78"/>
      <c r="V718" s="78"/>
      <c r="W718" s="78"/>
    </row>
    <row r="719" ht="15.75" customHeight="1">
      <c r="A719" s="78"/>
      <c r="B719" s="78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7"/>
      <c r="N719" s="118"/>
      <c r="O719" s="118"/>
      <c r="P719" s="118"/>
      <c r="Q719" s="116"/>
      <c r="R719" s="116"/>
      <c r="S719" s="116"/>
      <c r="T719" s="78"/>
      <c r="U719" s="78"/>
      <c r="V719" s="78"/>
      <c r="W719" s="78"/>
    </row>
    <row r="720" ht="15.75" customHeight="1">
      <c r="A720" s="78"/>
      <c r="B720" s="78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7"/>
      <c r="N720" s="118"/>
      <c r="O720" s="118"/>
      <c r="P720" s="118"/>
      <c r="Q720" s="116"/>
      <c r="R720" s="116"/>
      <c r="S720" s="116"/>
      <c r="T720" s="78"/>
      <c r="U720" s="78"/>
      <c r="V720" s="78"/>
      <c r="W720" s="78"/>
    </row>
    <row r="721" ht="15.75" customHeight="1">
      <c r="A721" s="78"/>
      <c r="B721" s="78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7"/>
      <c r="N721" s="118"/>
      <c r="O721" s="118"/>
      <c r="P721" s="118"/>
      <c r="Q721" s="116"/>
      <c r="R721" s="116"/>
      <c r="S721" s="116"/>
      <c r="T721" s="78"/>
      <c r="U721" s="78"/>
      <c r="V721" s="78"/>
      <c r="W721" s="78"/>
    </row>
    <row r="722" ht="15.75" customHeight="1">
      <c r="A722" s="78"/>
      <c r="B722" s="78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7"/>
      <c r="N722" s="118"/>
      <c r="O722" s="118"/>
      <c r="P722" s="118"/>
      <c r="Q722" s="116"/>
      <c r="R722" s="116"/>
      <c r="S722" s="116"/>
      <c r="T722" s="78"/>
      <c r="U722" s="78"/>
      <c r="V722" s="78"/>
      <c r="W722" s="78"/>
    </row>
    <row r="723" ht="15.75" customHeight="1">
      <c r="A723" s="78"/>
      <c r="B723" s="78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7"/>
      <c r="N723" s="118"/>
      <c r="O723" s="118"/>
      <c r="P723" s="118"/>
      <c r="Q723" s="116"/>
      <c r="R723" s="116"/>
      <c r="S723" s="116"/>
      <c r="T723" s="78"/>
      <c r="U723" s="78"/>
      <c r="V723" s="78"/>
      <c r="W723" s="78"/>
    </row>
    <row r="724" ht="15.75" customHeight="1">
      <c r="A724" s="78"/>
      <c r="B724" s="78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7"/>
      <c r="N724" s="118"/>
      <c r="O724" s="118"/>
      <c r="P724" s="118"/>
      <c r="Q724" s="116"/>
      <c r="R724" s="116"/>
      <c r="S724" s="116"/>
      <c r="T724" s="78"/>
      <c r="U724" s="78"/>
      <c r="V724" s="78"/>
      <c r="W724" s="78"/>
    </row>
    <row r="725" ht="15.75" customHeight="1">
      <c r="A725" s="78"/>
      <c r="B725" s="78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7"/>
      <c r="N725" s="118"/>
      <c r="O725" s="118"/>
      <c r="P725" s="118"/>
      <c r="Q725" s="116"/>
      <c r="R725" s="116"/>
      <c r="S725" s="116"/>
      <c r="T725" s="78"/>
      <c r="U725" s="78"/>
      <c r="V725" s="78"/>
      <c r="W725" s="78"/>
    </row>
    <row r="726" ht="15.75" customHeight="1">
      <c r="A726" s="78"/>
      <c r="B726" s="78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7"/>
      <c r="N726" s="118"/>
      <c r="O726" s="118"/>
      <c r="P726" s="118"/>
      <c r="Q726" s="116"/>
      <c r="R726" s="116"/>
      <c r="S726" s="116"/>
      <c r="T726" s="78"/>
      <c r="U726" s="78"/>
      <c r="V726" s="78"/>
      <c r="W726" s="78"/>
    </row>
    <row r="727" ht="15.75" customHeight="1">
      <c r="A727" s="78"/>
      <c r="B727" s="78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7"/>
      <c r="N727" s="118"/>
      <c r="O727" s="118"/>
      <c r="P727" s="118"/>
      <c r="Q727" s="116"/>
      <c r="R727" s="116"/>
      <c r="S727" s="116"/>
      <c r="T727" s="78"/>
      <c r="U727" s="78"/>
      <c r="V727" s="78"/>
      <c r="W727" s="78"/>
    </row>
    <row r="728" ht="15.75" customHeight="1">
      <c r="A728" s="78"/>
      <c r="B728" s="78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7"/>
      <c r="N728" s="118"/>
      <c r="O728" s="118"/>
      <c r="P728" s="118"/>
      <c r="Q728" s="116"/>
      <c r="R728" s="116"/>
      <c r="S728" s="116"/>
      <c r="T728" s="78"/>
      <c r="U728" s="78"/>
      <c r="V728" s="78"/>
      <c r="W728" s="78"/>
    </row>
    <row r="729" ht="15.75" customHeight="1">
      <c r="A729" s="78"/>
      <c r="B729" s="78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7"/>
      <c r="N729" s="118"/>
      <c r="O729" s="118"/>
      <c r="P729" s="118"/>
      <c r="Q729" s="116"/>
      <c r="R729" s="116"/>
      <c r="S729" s="116"/>
      <c r="T729" s="78"/>
      <c r="U729" s="78"/>
      <c r="V729" s="78"/>
      <c r="W729" s="78"/>
    </row>
    <row r="730" ht="15.75" customHeight="1">
      <c r="A730" s="78"/>
      <c r="B730" s="78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7"/>
      <c r="N730" s="118"/>
      <c r="O730" s="118"/>
      <c r="P730" s="118"/>
      <c r="Q730" s="116"/>
      <c r="R730" s="116"/>
      <c r="S730" s="116"/>
      <c r="T730" s="78"/>
      <c r="U730" s="78"/>
      <c r="V730" s="78"/>
      <c r="W730" s="78"/>
    </row>
    <row r="731" ht="15.75" customHeight="1">
      <c r="A731" s="78"/>
      <c r="B731" s="78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7"/>
      <c r="N731" s="118"/>
      <c r="O731" s="118"/>
      <c r="P731" s="118"/>
      <c r="Q731" s="116"/>
      <c r="R731" s="116"/>
      <c r="S731" s="116"/>
      <c r="T731" s="78"/>
      <c r="U731" s="78"/>
      <c r="V731" s="78"/>
      <c r="W731" s="78"/>
    </row>
    <row r="732" ht="15.75" customHeight="1">
      <c r="A732" s="78"/>
      <c r="B732" s="78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7"/>
      <c r="N732" s="118"/>
      <c r="O732" s="118"/>
      <c r="P732" s="118"/>
      <c r="Q732" s="116"/>
      <c r="R732" s="116"/>
      <c r="S732" s="116"/>
      <c r="T732" s="78"/>
      <c r="U732" s="78"/>
      <c r="V732" s="78"/>
      <c r="W732" s="78"/>
    </row>
    <row r="733" ht="15.75" customHeight="1">
      <c r="A733" s="78"/>
      <c r="B733" s="78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7"/>
      <c r="N733" s="118"/>
      <c r="O733" s="118"/>
      <c r="P733" s="118"/>
      <c r="Q733" s="116"/>
      <c r="R733" s="116"/>
      <c r="S733" s="116"/>
      <c r="T733" s="78"/>
      <c r="U733" s="78"/>
      <c r="V733" s="78"/>
      <c r="W733" s="78"/>
    </row>
    <row r="734" ht="15.75" customHeight="1">
      <c r="A734" s="78"/>
      <c r="B734" s="78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7"/>
      <c r="N734" s="118"/>
      <c r="O734" s="118"/>
      <c r="P734" s="118"/>
      <c r="Q734" s="116"/>
      <c r="R734" s="116"/>
      <c r="S734" s="116"/>
      <c r="T734" s="78"/>
      <c r="U734" s="78"/>
      <c r="V734" s="78"/>
      <c r="W734" s="78"/>
    </row>
    <row r="735" ht="15.75" customHeight="1">
      <c r="A735" s="78"/>
      <c r="B735" s="78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7"/>
      <c r="N735" s="118"/>
      <c r="O735" s="118"/>
      <c r="P735" s="118"/>
      <c r="Q735" s="116"/>
      <c r="R735" s="116"/>
      <c r="S735" s="116"/>
      <c r="T735" s="78"/>
      <c r="U735" s="78"/>
      <c r="V735" s="78"/>
      <c r="W735" s="78"/>
    </row>
    <row r="736" ht="15.75" customHeight="1">
      <c r="A736" s="78"/>
      <c r="B736" s="78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7"/>
      <c r="N736" s="118"/>
      <c r="O736" s="118"/>
      <c r="P736" s="118"/>
      <c r="Q736" s="116"/>
      <c r="R736" s="116"/>
      <c r="S736" s="116"/>
      <c r="T736" s="78"/>
      <c r="U736" s="78"/>
      <c r="V736" s="78"/>
      <c r="W736" s="78"/>
    </row>
    <row r="737" ht="15.75" customHeight="1">
      <c r="A737" s="78"/>
      <c r="B737" s="78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7"/>
      <c r="N737" s="118"/>
      <c r="O737" s="118"/>
      <c r="P737" s="118"/>
      <c r="Q737" s="116"/>
      <c r="R737" s="116"/>
      <c r="S737" s="116"/>
      <c r="T737" s="78"/>
      <c r="U737" s="78"/>
      <c r="V737" s="78"/>
      <c r="W737" s="78"/>
    </row>
    <row r="738" ht="15.75" customHeight="1">
      <c r="A738" s="78"/>
      <c r="B738" s="78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7"/>
      <c r="N738" s="118"/>
      <c r="O738" s="118"/>
      <c r="P738" s="118"/>
      <c r="Q738" s="116"/>
      <c r="R738" s="116"/>
      <c r="S738" s="116"/>
      <c r="T738" s="78"/>
      <c r="U738" s="78"/>
      <c r="V738" s="78"/>
      <c r="W738" s="78"/>
    </row>
    <row r="739" ht="15.75" customHeight="1">
      <c r="A739" s="78"/>
      <c r="B739" s="78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7"/>
      <c r="N739" s="118"/>
      <c r="O739" s="118"/>
      <c r="P739" s="118"/>
      <c r="Q739" s="116"/>
      <c r="R739" s="116"/>
      <c r="S739" s="116"/>
      <c r="T739" s="78"/>
      <c r="U739" s="78"/>
      <c r="V739" s="78"/>
      <c r="W739" s="78"/>
    </row>
    <row r="740" ht="15.75" customHeight="1">
      <c r="A740" s="78"/>
      <c r="B740" s="78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7"/>
      <c r="N740" s="118"/>
      <c r="O740" s="118"/>
      <c r="P740" s="118"/>
      <c r="Q740" s="116"/>
      <c r="R740" s="116"/>
      <c r="S740" s="116"/>
      <c r="T740" s="78"/>
      <c r="U740" s="78"/>
      <c r="V740" s="78"/>
      <c r="W740" s="78"/>
    </row>
    <row r="741" ht="15.75" customHeight="1">
      <c r="A741" s="78"/>
      <c r="B741" s="78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7"/>
      <c r="N741" s="118"/>
      <c r="O741" s="118"/>
      <c r="P741" s="118"/>
      <c r="Q741" s="116"/>
      <c r="R741" s="116"/>
      <c r="S741" s="116"/>
      <c r="T741" s="78"/>
      <c r="U741" s="78"/>
      <c r="V741" s="78"/>
      <c r="W741" s="78"/>
    </row>
    <row r="742" ht="15.75" customHeight="1">
      <c r="A742" s="78"/>
      <c r="B742" s="78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7"/>
      <c r="N742" s="118"/>
      <c r="O742" s="118"/>
      <c r="P742" s="118"/>
      <c r="Q742" s="116"/>
      <c r="R742" s="116"/>
      <c r="S742" s="116"/>
      <c r="T742" s="78"/>
      <c r="U742" s="78"/>
      <c r="V742" s="78"/>
      <c r="W742" s="78"/>
    </row>
    <row r="743" ht="15.75" customHeight="1">
      <c r="A743" s="78"/>
      <c r="B743" s="78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7"/>
      <c r="N743" s="118"/>
      <c r="O743" s="118"/>
      <c r="P743" s="118"/>
      <c r="Q743" s="116"/>
      <c r="R743" s="116"/>
      <c r="S743" s="116"/>
      <c r="T743" s="78"/>
      <c r="U743" s="78"/>
      <c r="V743" s="78"/>
      <c r="W743" s="78"/>
    </row>
    <row r="744" ht="15.75" customHeight="1">
      <c r="A744" s="78"/>
      <c r="B744" s="78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7"/>
      <c r="N744" s="118"/>
      <c r="O744" s="118"/>
      <c r="P744" s="118"/>
      <c r="Q744" s="116"/>
      <c r="R744" s="116"/>
      <c r="S744" s="116"/>
      <c r="T744" s="78"/>
      <c r="U744" s="78"/>
      <c r="V744" s="78"/>
      <c r="W744" s="78"/>
    </row>
    <row r="745" ht="15.75" customHeight="1">
      <c r="A745" s="78"/>
      <c r="B745" s="78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7"/>
      <c r="N745" s="118"/>
      <c r="O745" s="118"/>
      <c r="P745" s="118"/>
      <c r="Q745" s="116"/>
      <c r="R745" s="116"/>
      <c r="S745" s="116"/>
      <c r="T745" s="78"/>
      <c r="U745" s="78"/>
      <c r="V745" s="78"/>
      <c r="W745" s="78"/>
    </row>
    <row r="746" ht="15.75" customHeight="1">
      <c r="A746" s="78"/>
      <c r="B746" s="78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7"/>
      <c r="N746" s="118"/>
      <c r="O746" s="118"/>
      <c r="P746" s="118"/>
      <c r="Q746" s="116"/>
      <c r="R746" s="116"/>
      <c r="S746" s="116"/>
      <c r="T746" s="78"/>
      <c r="U746" s="78"/>
      <c r="V746" s="78"/>
      <c r="W746" s="78"/>
    </row>
    <row r="747" ht="15.75" customHeight="1">
      <c r="A747" s="78"/>
      <c r="B747" s="78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7"/>
      <c r="N747" s="118"/>
      <c r="O747" s="118"/>
      <c r="P747" s="118"/>
      <c r="Q747" s="116"/>
      <c r="R747" s="116"/>
      <c r="S747" s="116"/>
      <c r="T747" s="78"/>
      <c r="U747" s="78"/>
      <c r="V747" s="78"/>
      <c r="W747" s="78"/>
    </row>
    <row r="748" ht="15.75" customHeight="1">
      <c r="A748" s="78"/>
      <c r="B748" s="78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7"/>
      <c r="N748" s="118"/>
      <c r="O748" s="118"/>
      <c r="P748" s="118"/>
      <c r="Q748" s="116"/>
      <c r="R748" s="116"/>
      <c r="S748" s="116"/>
      <c r="T748" s="78"/>
      <c r="U748" s="78"/>
      <c r="V748" s="78"/>
      <c r="W748" s="78"/>
    </row>
    <row r="749" ht="15.75" customHeight="1">
      <c r="A749" s="78"/>
      <c r="B749" s="78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7"/>
      <c r="N749" s="118"/>
      <c r="O749" s="118"/>
      <c r="P749" s="118"/>
      <c r="Q749" s="116"/>
      <c r="R749" s="116"/>
      <c r="S749" s="116"/>
      <c r="T749" s="78"/>
      <c r="U749" s="78"/>
      <c r="V749" s="78"/>
      <c r="W749" s="78"/>
    </row>
    <row r="750" ht="15.75" customHeight="1">
      <c r="A750" s="78"/>
      <c r="B750" s="78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7"/>
      <c r="N750" s="118"/>
      <c r="O750" s="118"/>
      <c r="P750" s="118"/>
      <c r="Q750" s="116"/>
      <c r="R750" s="116"/>
      <c r="S750" s="116"/>
      <c r="T750" s="78"/>
      <c r="U750" s="78"/>
      <c r="V750" s="78"/>
      <c r="W750" s="78"/>
    </row>
    <row r="751" ht="15.75" customHeight="1">
      <c r="A751" s="78"/>
      <c r="B751" s="78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7"/>
      <c r="N751" s="118"/>
      <c r="O751" s="118"/>
      <c r="P751" s="118"/>
      <c r="Q751" s="116"/>
      <c r="R751" s="116"/>
      <c r="S751" s="116"/>
      <c r="T751" s="78"/>
      <c r="U751" s="78"/>
      <c r="V751" s="78"/>
      <c r="W751" s="78"/>
    </row>
    <row r="752" ht="15.75" customHeight="1">
      <c r="A752" s="78"/>
      <c r="B752" s="78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7"/>
      <c r="N752" s="118"/>
      <c r="O752" s="118"/>
      <c r="P752" s="118"/>
      <c r="Q752" s="116"/>
      <c r="R752" s="116"/>
      <c r="S752" s="116"/>
      <c r="T752" s="78"/>
      <c r="U752" s="78"/>
      <c r="V752" s="78"/>
      <c r="W752" s="78"/>
    </row>
    <row r="753" ht="15.75" customHeight="1">
      <c r="A753" s="78"/>
      <c r="B753" s="78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7"/>
      <c r="N753" s="118"/>
      <c r="O753" s="118"/>
      <c r="P753" s="118"/>
      <c r="Q753" s="116"/>
      <c r="R753" s="116"/>
      <c r="S753" s="116"/>
      <c r="T753" s="78"/>
      <c r="U753" s="78"/>
      <c r="V753" s="78"/>
      <c r="W753" s="78"/>
    </row>
    <row r="754" ht="15.75" customHeight="1">
      <c r="A754" s="78"/>
      <c r="B754" s="78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7"/>
      <c r="N754" s="118"/>
      <c r="O754" s="118"/>
      <c r="P754" s="118"/>
      <c r="Q754" s="116"/>
      <c r="R754" s="116"/>
      <c r="S754" s="116"/>
      <c r="T754" s="78"/>
      <c r="U754" s="78"/>
      <c r="V754" s="78"/>
      <c r="W754" s="78"/>
    </row>
    <row r="755" ht="15.75" customHeight="1">
      <c r="A755" s="78"/>
      <c r="B755" s="78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7"/>
      <c r="N755" s="118"/>
      <c r="O755" s="118"/>
      <c r="P755" s="118"/>
      <c r="Q755" s="116"/>
      <c r="R755" s="116"/>
      <c r="S755" s="116"/>
      <c r="T755" s="78"/>
      <c r="U755" s="78"/>
      <c r="V755" s="78"/>
      <c r="W755" s="78"/>
    </row>
    <row r="756" ht="15.75" customHeight="1">
      <c r="A756" s="78"/>
      <c r="B756" s="78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7"/>
      <c r="N756" s="118"/>
      <c r="O756" s="118"/>
      <c r="P756" s="118"/>
      <c r="Q756" s="116"/>
      <c r="R756" s="116"/>
      <c r="S756" s="116"/>
      <c r="T756" s="78"/>
      <c r="U756" s="78"/>
      <c r="V756" s="78"/>
      <c r="W756" s="78"/>
    </row>
    <row r="757" ht="15.75" customHeight="1">
      <c r="A757" s="78"/>
      <c r="B757" s="78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7"/>
      <c r="N757" s="118"/>
      <c r="O757" s="118"/>
      <c r="P757" s="118"/>
      <c r="Q757" s="116"/>
      <c r="R757" s="116"/>
      <c r="S757" s="116"/>
      <c r="T757" s="78"/>
      <c r="U757" s="78"/>
      <c r="V757" s="78"/>
      <c r="W757" s="78"/>
    </row>
    <row r="758" ht="15.75" customHeight="1">
      <c r="A758" s="78"/>
      <c r="B758" s="78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7"/>
      <c r="N758" s="118"/>
      <c r="O758" s="118"/>
      <c r="P758" s="118"/>
      <c r="Q758" s="116"/>
      <c r="R758" s="116"/>
      <c r="S758" s="116"/>
      <c r="T758" s="78"/>
      <c r="U758" s="78"/>
      <c r="V758" s="78"/>
      <c r="W758" s="78"/>
    </row>
    <row r="759" ht="15.75" customHeight="1">
      <c r="A759" s="78"/>
      <c r="B759" s="78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7"/>
      <c r="N759" s="118"/>
      <c r="O759" s="118"/>
      <c r="P759" s="118"/>
      <c r="Q759" s="116"/>
      <c r="R759" s="116"/>
      <c r="S759" s="116"/>
      <c r="T759" s="78"/>
      <c r="U759" s="78"/>
      <c r="V759" s="78"/>
      <c r="W759" s="78"/>
    </row>
    <row r="760" ht="15.75" customHeight="1">
      <c r="A760" s="78"/>
      <c r="B760" s="78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7"/>
      <c r="N760" s="118"/>
      <c r="O760" s="118"/>
      <c r="P760" s="118"/>
      <c r="Q760" s="116"/>
      <c r="R760" s="116"/>
      <c r="S760" s="116"/>
      <c r="T760" s="78"/>
      <c r="U760" s="78"/>
      <c r="V760" s="78"/>
      <c r="W760" s="78"/>
    </row>
    <row r="761" ht="15.75" customHeight="1">
      <c r="A761" s="78"/>
      <c r="B761" s="78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7"/>
      <c r="N761" s="118"/>
      <c r="O761" s="118"/>
      <c r="P761" s="118"/>
      <c r="Q761" s="116"/>
      <c r="R761" s="116"/>
      <c r="S761" s="116"/>
      <c r="T761" s="78"/>
      <c r="U761" s="78"/>
      <c r="V761" s="78"/>
      <c r="W761" s="78"/>
    </row>
    <row r="762" ht="15.75" customHeight="1">
      <c r="A762" s="78"/>
      <c r="B762" s="78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7"/>
      <c r="N762" s="118"/>
      <c r="O762" s="118"/>
      <c r="P762" s="118"/>
      <c r="Q762" s="116"/>
      <c r="R762" s="116"/>
      <c r="S762" s="116"/>
      <c r="T762" s="78"/>
      <c r="U762" s="78"/>
      <c r="V762" s="78"/>
      <c r="W762" s="78"/>
    </row>
    <row r="763" ht="15.75" customHeight="1">
      <c r="A763" s="78"/>
      <c r="B763" s="78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7"/>
      <c r="N763" s="118"/>
      <c r="O763" s="118"/>
      <c r="P763" s="118"/>
      <c r="Q763" s="116"/>
      <c r="R763" s="116"/>
      <c r="S763" s="116"/>
      <c r="T763" s="78"/>
      <c r="U763" s="78"/>
      <c r="V763" s="78"/>
      <c r="W763" s="78"/>
    </row>
    <row r="764" ht="15.75" customHeight="1">
      <c r="A764" s="78"/>
      <c r="B764" s="78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7"/>
      <c r="N764" s="118"/>
      <c r="O764" s="118"/>
      <c r="P764" s="118"/>
      <c r="Q764" s="116"/>
      <c r="R764" s="116"/>
      <c r="S764" s="116"/>
      <c r="T764" s="78"/>
      <c r="U764" s="78"/>
      <c r="V764" s="78"/>
      <c r="W764" s="78"/>
    </row>
    <row r="765" ht="15.75" customHeight="1">
      <c r="A765" s="78"/>
      <c r="B765" s="78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7"/>
      <c r="N765" s="118"/>
      <c r="O765" s="118"/>
      <c r="P765" s="118"/>
      <c r="Q765" s="116"/>
      <c r="R765" s="116"/>
      <c r="S765" s="116"/>
      <c r="T765" s="78"/>
      <c r="U765" s="78"/>
      <c r="V765" s="78"/>
      <c r="W765" s="78"/>
    </row>
    <row r="766" ht="15.75" customHeight="1">
      <c r="A766" s="78"/>
      <c r="B766" s="78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7"/>
      <c r="N766" s="118"/>
      <c r="O766" s="118"/>
      <c r="P766" s="118"/>
      <c r="Q766" s="116"/>
      <c r="R766" s="116"/>
      <c r="S766" s="116"/>
      <c r="T766" s="78"/>
      <c r="U766" s="78"/>
      <c r="V766" s="78"/>
      <c r="W766" s="78"/>
    </row>
    <row r="767" ht="15.75" customHeight="1">
      <c r="A767" s="78"/>
      <c r="B767" s="78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7"/>
      <c r="N767" s="118"/>
      <c r="O767" s="118"/>
      <c r="P767" s="118"/>
      <c r="Q767" s="116"/>
      <c r="R767" s="116"/>
      <c r="S767" s="116"/>
      <c r="T767" s="78"/>
      <c r="U767" s="78"/>
      <c r="V767" s="78"/>
      <c r="W767" s="78"/>
    </row>
    <row r="768" ht="15.75" customHeight="1">
      <c r="A768" s="78"/>
      <c r="B768" s="78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7"/>
      <c r="N768" s="118"/>
      <c r="O768" s="118"/>
      <c r="P768" s="118"/>
      <c r="Q768" s="116"/>
      <c r="R768" s="116"/>
      <c r="S768" s="116"/>
      <c r="T768" s="78"/>
      <c r="U768" s="78"/>
      <c r="V768" s="78"/>
      <c r="W768" s="78"/>
    </row>
    <row r="769" ht="15.75" customHeight="1">
      <c r="A769" s="78"/>
      <c r="B769" s="78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7"/>
      <c r="N769" s="118"/>
      <c r="O769" s="118"/>
      <c r="P769" s="118"/>
      <c r="Q769" s="116"/>
      <c r="R769" s="116"/>
      <c r="S769" s="116"/>
      <c r="T769" s="78"/>
      <c r="U769" s="78"/>
      <c r="V769" s="78"/>
      <c r="W769" s="78"/>
    </row>
    <row r="770" ht="15.75" customHeight="1">
      <c r="A770" s="78"/>
      <c r="B770" s="78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7"/>
      <c r="N770" s="118"/>
      <c r="O770" s="118"/>
      <c r="P770" s="118"/>
      <c r="Q770" s="116"/>
      <c r="R770" s="116"/>
      <c r="S770" s="116"/>
      <c r="T770" s="78"/>
      <c r="U770" s="78"/>
      <c r="V770" s="78"/>
      <c r="W770" s="78"/>
    </row>
    <row r="771" ht="15.75" customHeight="1">
      <c r="A771" s="78"/>
      <c r="B771" s="78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7"/>
      <c r="N771" s="118"/>
      <c r="O771" s="118"/>
      <c r="P771" s="118"/>
      <c r="Q771" s="116"/>
      <c r="R771" s="116"/>
      <c r="S771" s="116"/>
      <c r="T771" s="78"/>
      <c r="U771" s="78"/>
      <c r="V771" s="78"/>
      <c r="W771" s="78"/>
    </row>
    <row r="772" ht="15.75" customHeight="1">
      <c r="A772" s="78"/>
      <c r="B772" s="78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7"/>
      <c r="N772" s="118"/>
      <c r="O772" s="118"/>
      <c r="P772" s="118"/>
      <c r="Q772" s="116"/>
      <c r="R772" s="116"/>
      <c r="S772" s="116"/>
      <c r="T772" s="78"/>
      <c r="U772" s="78"/>
      <c r="V772" s="78"/>
      <c r="W772" s="78"/>
    </row>
    <row r="773" ht="15.75" customHeight="1">
      <c r="A773" s="78"/>
      <c r="B773" s="78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7"/>
      <c r="N773" s="118"/>
      <c r="O773" s="118"/>
      <c r="P773" s="118"/>
      <c r="Q773" s="116"/>
      <c r="R773" s="116"/>
      <c r="S773" s="116"/>
      <c r="T773" s="78"/>
      <c r="U773" s="78"/>
      <c r="V773" s="78"/>
      <c r="W773" s="78"/>
    </row>
    <row r="774" ht="15.75" customHeight="1">
      <c r="A774" s="78"/>
      <c r="B774" s="78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7"/>
      <c r="N774" s="118"/>
      <c r="O774" s="118"/>
      <c r="P774" s="118"/>
      <c r="Q774" s="116"/>
      <c r="R774" s="116"/>
      <c r="S774" s="116"/>
      <c r="T774" s="78"/>
      <c r="U774" s="78"/>
      <c r="V774" s="78"/>
      <c r="W774" s="78"/>
    </row>
    <row r="775" ht="15.75" customHeight="1">
      <c r="A775" s="78"/>
      <c r="B775" s="78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7"/>
      <c r="N775" s="118"/>
      <c r="O775" s="118"/>
      <c r="P775" s="118"/>
      <c r="Q775" s="116"/>
      <c r="R775" s="116"/>
      <c r="S775" s="116"/>
      <c r="T775" s="78"/>
      <c r="U775" s="78"/>
      <c r="V775" s="78"/>
      <c r="W775" s="78"/>
    </row>
    <row r="776" ht="15.75" customHeight="1">
      <c r="A776" s="78"/>
      <c r="B776" s="78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7"/>
      <c r="N776" s="118"/>
      <c r="O776" s="118"/>
      <c r="P776" s="118"/>
      <c r="Q776" s="116"/>
      <c r="R776" s="116"/>
      <c r="S776" s="116"/>
      <c r="T776" s="78"/>
      <c r="U776" s="78"/>
      <c r="V776" s="78"/>
      <c r="W776" s="78"/>
    </row>
    <row r="777" ht="15.75" customHeight="1">
      <c r="A777" s="78"/>
      <c r="B777" s="78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7"/>
      <c r="N777" s="118"/>
      <c r="O777" s="118"/>
      <c r="P777" s="118"/>
      <c r="Q777" s="116"/>
      <c r="R777" s="116"/>
      <c r="S777" s="116"/>
      <c r="T777" s="78"/>
      <c r="U777" s="78"/>
      <c r="V777" s="78"/>
      <c r="W777" s="78"/>
    </row>
    <row r="778" ht="15.75" customHeight="1">
      <c r="A778" s="78"/>
      <c r="B778" s="78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7"/>
      <c r="N778" s="118"/>
      <c r="O778" s="118"/>
      <c r="P778" s="118"/>
      <c r="Q778" s="116"/>
      <c r="R778" s="116"/>
      <c r="S778" s="116"/>
      <c r="T778" s="78"/>
      <c r="U778" s="78"/>
      <c r="V778" s="78"/>
      <c r="W778" s="78"/>
    </row>
    <row r="779" ht="15.75" customHeight="1">
      <c r="A779" s="78"/>
      <c r="B779" s="78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7"/>
      <c r="N779" s="118"/>
      <c r="O779" s="118"/>
      <c r="P779" s="118"/>
      <c r="Q779" s="116"/>
      <c r="R779" s="116"/>
      <c r="S779" s="116"/>
      <c r="T779" s="78"/>
      <c r="U779" s="78"/>
      <c r="V779" s="78"/>
      <c r="W779" s="78"/>
    </row>
    <row r="780" ht="15.75" customHeight="1">
      <c r="A780" s="78"/>
      <c r="B780" s="78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7"/>
      <c r="N780" s="118"/>
      <c r="O780" s="118"/>
      <c r="P780" s="118"/>
      <c r="Q780" s="116"/>
      <c r="R780" s="116"/>
      <c r="S780" s="116"/>
      <c r="T780" s="78"/>
      <c r="U780" s="78"/>
      <c r="V780" s="78"/>
      <c r="W780" s="78"/>
    </row>
    <row r="781" ht="15.75" customHeight="1">
      <c r="A781" s="78"/>
      <c r="B781" s="78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7"/>
      <c r="N781" s="118"/>
      <c r="O781" s="118"/>
      <c r="P781" s="118"/>
      <c r="Q781" s="116"/>
      <c r="R781" s="116"/>
      <c r="S781" s="116"/>
      <c r="T781" s="78"/>
      <c r="U781" s="78"/>
      <c r="V781" s="78"/>
      <c r="W781" s="78"/>
    </row>
    <row r="782" ht="15.75" customHeight="1">
      <c r="A782" s="78"/>
      <c r="B782" s="78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7"/>
      <c r="N782" s="118"/>
      <c r="O782" s="118"/>
      <c r="P782" s="118"/>
      <c r="Q782" s="116"/>
      <c r="R782" s="116"/>
      <c r="S782" s="116"/>
      <c r="T782" s="78"/>
      <c r="U782" s="78"/>
      <c r="V782" s="78"/>
      <c r="W782" s="78"/>
    </row>
    <row r="783" ht="15.75" customHeight="1">
      <c r="A783" s="78"/>
      <c r="B783" s="78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7"/>
      <c r="N783" s="118"/>
      <c r="O783" s="118"/>
      <c r="P783" s="118"/>
      <c r="Q783" s="116"/>
      <c r="R783" s="116"/>
      <c r="S783" s="116"/>
      <c r="T783" s="78"/>
      <c r="U783" s="78"/>
      <c r="V783" s="78"/>
      <c r="W783" s="78"/>
    </row>
    <row r="784" ht="15.75" customHeight="1">
      <c r="A784" s="78"/>
      <c r="B784" s="78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7"/>
      <c r="N784" s="118"/>
      <c r="O784" s="118"/>
      <c r="P784" s="118"/>
      <c r="Q784" s="116"/>
      <c r="R784" s="116"/>
      <c r="S784" s="116"/>
      <c r="T784" s="78"/>
      <c r="U784" s="78"/>
      <c r="V784" s="78"/>
      <c r="W784" s="78"/>
    </row>
    <row r="785" ht="15.75" customHeight="1">
      <c r="A785" s="78"/>
      <c r="B785" s="78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7"/>
      <c r="N785" s="118"/>
      <c r="O785" s="118"/>
      <c r="P785" s="118"/>
      <c r="Q785" s="116"/>
      <c r="R785" s="116"/>
      <c r="S785" s="116"/>
      <c r="T785" s="78"/>
      <c r="U785" s="78"/>
      <c r="V785" s="78"/>
      <c r="W785" s="78"/>
    </row>
    <row r="786" ht="15.75" customHeight="1">
      <c r="A786" s="78"/>
      <c r="B786" s="78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7"/>
      <c r="N786" s="118"/>
      <c r="O786" s="118"/>
      <c r="P786" s="118"/>
      <c r="Q786" s="116"/>
      <c r="R786" s="116"/>
      <c r="S786" s="116"/>
      <c r="T786" s="78"/>
      <c r="U786" s="78"/>
      <c r="V786" s="78"/>
      <c r="W786" s="78"/>
    </row>
    <row r="787" ht="15.75" customHeight="1">
      <c r="A787" s="78"/>
      <c r="B787" s="78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7"/>
      <c r="N787" s="118"/>
      <c r="O787" s="118"/>
      <c r="P787" s="118"/>
      <c r="Q787" s="116"/>
      <c r="R787" s="116"/>
      <c r="S787" s="116"/>
      <c r="T787" s="78"/>
      <c r="U787" s="78"/>
      <c r="V787" s="78"/>
      <c r="W787" s="78"/>
    </row>
    <row r="788" ht="15.75" customHeight="1">
      <c r="A788" s="78"/>
      <c r="B788" s="78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7"/>
      <c r="N788" s="118"/>
      <c r="O788" s="118"/>
      <c r="P788" s="118"/>
      <c r="Q788" s="116"/>
      <c r="R788" s="116"/>
      <c r="S788" s="116"/>
      <c r="T788" s="78"/>
      <c r="U788" s="78"/>
      <c r="V788" s="78"/>
      <c r="W788" s="78"/>
    </row>
    <row r="789" ht="15.75" customHeight="1">
      <c r="A789" s="78"/>
      <c r="B789" s="78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7"/>
      <c r="N789" s="118"/>
      <c r="O789" s="118"/>
      <c r="P789" s="118"/>
      <c r="Q789" s="116"/>
      <c r="R789" s="116"/>
      <c r="S789" s="116"/>
      <c r="T789" s="78"/>
      <c r="U789" s="78"/>
      <c r="V789" s="78"/>
      <c r="W789" s="78"/>
    </row>
    <row r="790" ht="15.75" customHeight="1">
      <c r="A790" s="78"/>
      <c r="B790" s="78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7"/>
      <c r="N790" s="118"/>
      <c r="O790" s="118"/>
      <c r="P790" s="118"/>
      <c r="Q790" s="116"/>
      <c r="R790" s="116"/>
      <c r="S790" s="116"/>
      <c r="T790" s="78"/>
      <c r="U790" s="78"/>
      <c r="V790" s="78"/>
      <c r="W790" s="78"/>
    </row>
    <row r="791" ht="15.75" customHeight="1">
      <c r="A791" s="78"/>
      <c r="B791" s="78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7"/>
      <c r="N791" s="118"/>
      <c r="O791" s="118"/>
      <c r="P791" s="118"/>
      <c r="Q791" s="116"/>
      <c r="R791" s="116"/>
      <c r="S791" s="116"/>
      <c r="T791" s="78"/>
      <c r="U791" s="78"/>
      <c r="V791" s="78"/>
      <c r="W791" s="78"/>
    </row>
    <row r="792" ht="15.75" customHeight="1">
      <c r="A792" s="78"/>
      <c r="B792" s="78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7"/>
      <c r="N792" s="118"/>
      <c r="O792" s="118"/>
      <c r="P792" s="118"/>
      <c r="Q792" s="116"/>
      <c r="R792" s="116"/>
      <c r="S792" s="116"/>
      <c r="T792" s="78"/>
      <c r="U792" s="78"/>
      <c r="V792" s="78"/>
      <c r="W792" s="78"/>
    </row>
    <row r="793" ht="15.75" customHeight="1">
      <c r="A793" s="78"/>
      <c r="B793" s="78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7"/>
      <c r="N793" s="118"/>
      <c r="O793" s="118"/>
      <c r="P793" s="118"/>
      <c r="Q793" s="116"/>
      <c r="R793" s="116"/>
      <c r="S793" s="116"/>
      <c r="T793" s="78"/>
      <c r="U793" s="78"/>
      <c r="V793" s="78"/>
      <c r="W793" s="78"/>
    </row>
    <row r="794" ht="15.75" customHeight="1">
      <c r="A794" s="78"/>
      <c r="B794" s="78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7"/>
      <c r="N794" s="118"/>
      <c r="O794" s="118"/>
      <c r="P794" s="118"/>
      <c r="Q794" s="116"/>
      <c r="R794" s="116"/>
      <c r="S794" s="116"/>
      <c r="T794" s="78"/>
      <c r="U794" s="78"/>
      <c r="V794" s="78"/>
      <c r="W794" s="78"/>
    </row>
    <row r="795" ht="15.75" customHeight="1">
      <c r="A795" s="78"/>
      <c r="B795" s="78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7"/>
      <c r="N795" s="118"/>
      <c r="O795" s="118"/>
      <c r="P795" s="118"/>
      <c r="Q795" s="116"/>
      <c r="R795" s="116"/>
      <c r="S795" s="116"/>
      <c r="T795" s="78"/>
      <c r="U795" s="78"/>
      <c r="V795" s="78"/>
      <c r="W795" s="78"/>
    </row>
    <row r="796" ht="15.75" customHeight="1">
      <c r="A796" s="78"/>
      <c r="B796" s="78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7"/>
      <c r="N796" s="118"/>
      <c r="O796" s="118"/>
      <c r="P796" s="118"/>
      <c r="Q796" s="116"/>
      <c r="R796" s="116"/>
      <c r="S796" s="116"/>
      <c r="T796" s="78"/>
      <c r="U796" s="78"/>
      <c r="V796" s="78"/>
      <c r="W796" s="78"/>
    </row>
    <row r="797" ht="15.75" customHeight="1">
      <c r="A797" s="78"/>
      <c r="B797" s="78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7"/>
      <c r="N797" s="118"/>
      <c r="O797" s="118"/>
      <c r="P797" s="118"/>
      <c r="Q797" s="116"/>
      <c r="R797" s="116"/>
      <c r="S797" s="116"/>
      <c r="T797" s="78"/>
      <c r="U797" s="78"/>
      <c r="V797" s="78"/>
      <c r="W797" s="78"/>
    </row>
    <row r="798" ht="15.75" customHeight="1">
      <c r="A798" s="78"/>
      <c r="B798" s="78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7"/>
      <c r="N798" s="118"/>
      <c r="O798" s="118"/>
      <c r="P798" s="118"/>
      <c r="Q798" s="116"/>
      <c r="R798" s="116"/>
      <c r="S798" s="116"/>
      <c r="T798" s="78"/>
      <c r="U798" s="78"/>
      <c r="V798" s="78"/>
      <c r="W798" s="78"/>
    </row>
    <row r="799" ht="15.75" customHeight="1">
      <c r="A799" s="78"/>
      <c r="B799" s="78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7"/>
      <c r="N799" s="118"/>
      <c r="O799" s="118"/>
      <c r="P799" s="118"/>
      <c r="Q799" s="116"/>
      <c r="R799" s="116"/>
      <c r="S799" s="116"/>
      <c r="T799" s="78"/>
      <c r="U799" s="78"/>
      <c r="V799" s="78"/>
      <c r="W799" s="78"/>
    </row>
    <row r="800" ht="15.75" customHeight="1">
      <c r="A800" s="78"/>
      <c r="B800" s="78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7"/>
      <c r="N800" s="118"/>
      <c r="O800" s="118"/>
      <c r="P800" s="118"/>
      <c r="Q800" s="116"/>
      <c r="R800" s="116"/>
      <c r="S800" s="116"/>
      <c r="T800" s="78"/>
      <c r="U800" s="78"/>
      <c r="V800" s="78"/>
      <c r="W800" s="78"/>
    </row>
    <row r="801" ht="15.75" customHeight="1">
      <c r="A801" s="78"/>
      <c r="B801" s="78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7"/>
      <c r="N801" s="118"/>
      <c r="O801" s="118"/>
      <c r="P801" s="118"/>
      <c r="Q801" s="116"/>
      <c r="R801" s="116"/>
      <c r="S801" s="116"/>
      <c r="T801" s="78"/>
      <c r="U801" s="78"/>
      <c r="V801" s="78"/>
      <c r="W801" s="78"/>
    </row>
    <row r="802" ht="15.75" customHeight="1">
      <c r="A802" s="78"/>
      <c r="B802" s="78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7"/>
      <c r="N802" s="118"/>
      <c r="O802" s="118"/>
      <c r="P802" s="118"/>
      <c r="Q802" s="116"/>
      <c r="R802" s="116"/>
      <c r="S802" s="116"/>
      <c r="T802" s="78"/>
      <c r="U802" s="78"/>
      <c r="V802" s="78"/>
      <c r="W802" s="78"/>
    </row>
    <row r="803" ht="15.75" customHeight="1">
      <c r="A803" s="78"/>
      <c r="B803" s="78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7"/>
      <c r="N803" s="118"/>
      <c r="O803" s="118"/>
      <c r="P803" s="118"/>
      <c r="Q803" s="116"/>
      <c r="R803" s="116"/>
      <c r="S803" s="116"/>
      <c r="T803" s="78"/>
      <c r="U803" s="78"/>
      <c r="V803" s="78"/>
      <c r="W803" s="78"/>
    </row>
    <row r="804" ht="15.75" customHeight="1">
      <c r="A804" s="78"/>
      <c r="B804" s="78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7"/>
      <c r="N804" s="118"/>
      <c r="O804" s="118"/>
      <c r="P804" s="118"/>
      <c r="Q804" s="116"/>
      <c r="R804" s="116"/>
      <c r="S804" s="116"/>
      <c r="T804" s="78"/>
      <c r="U804" s="78"/>
      <c r="V804" s="78"/>
      <c r="W804" s="78"/>
    </row>
    <row r="805" ht="15.75" customHeight="1">
      <c r="A805" s="78"/>
      <c r="B805" s="78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7"/>
      <c r="N805" s="118"/>
      <c r="O805" s="118"/>
      <c r="P805" s="118"/>
      <c r="Q805" s="116"/>
      <c r="R805" s="116"/>
      <c r="S805" s="116"/>
      <c r="T805" s="78"/>
      <c r="U805" s="78"/>
      <c r="V805" s="78"/>
      <c r="W805" s="78"/>
    </row>
    <row r="806" ht="15.75" customHeight="1">
      <c r="A806" s="78"/>
      <c r="B806" s="78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7"/>
      <c r="N806" s="118"/>
      <c r="O806" s="118"/>
      <c r="P806" s="118"/>
      <c r="Q806" s="116"/>
      <c r="R806" s="116"/>
      <c r="S806" s="116"/>
      <c r="T806" s="78"/>
      <c r="U806" s="78"/>
      <c r="V806" s="78"/>
      <c r="W806" s="78"/>
    </row>
    <row r="807" ht="15.75" customHeight="1">
      <c r="A807" s="78"/>
      <c r="B807" s="78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7"/>
      <c r="N807" s="118"/>
      <c r="O807" s="118"/>
      <c r="P807" s="118"/>
      <c r="Q807" s="116"/>
      <c r="R807" s="116"/>
      <c r="S807" s="116"/>
      <c r="T807" s="78"/>
      <c r="U807" s="78"/>
      <c r="V807" s="78"/>
      <c r="W807" s="78"/>
    </row>
    <row r="808" ht="15.75" customHeight="1">
      <c r="A808" s="78"/>
      <c r="B808" s="78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7"/>
      <c r="N808" s="118"/>
      <c r="O808" s="118"/>
      <c r="P808" s="118"/>
      <c r="Q808" s="116"/>
      <c r="R808" s="116"/>
      <c r="S808" s="116"/>
      <c r="T808" s="78"/>
      <c r="U808" s="78"/>
      <c r="V808" s="78"/>
      <c r="W808" s="78"/>
    </row>
    <row r="809" ht="15.75" customHeight="1">
      <c r="A809" s="78"/>
      <c r="B809" s="78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7"/>
      <c r="N809" s="118"/>
      <c r="O809" s="118"/>
      <c r="P809" s="118"/>
      <c r="Q809" s="116"/>
      <c r="R809" s="116"/>
      <c r="S809" s="116"/>
      <c r="T809" s="78"/>
      <c r="U809" s="78"/>
      <c r="V809" s="78"/>
      <c r="W809" s="78"/>
    </row>
    <row r="810" ht="15.75" customHeight="1">
      <c r="A810" s="78"/>
      <c r="B810" s="78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7"/>
      <c r="N810" s="118"/>
      <c r="O810" s="118"/>
      <c r="P810" s="118"/>
      <c r="Q810" s="116"/>
      <c r="R810" s="116"/>
      <c r="S810" s="116"/>
      <c r="T810" s="78"/>
      <c r="U810" s="78"/>
      <c r="V810" s="78"/>
      <c r="W810" s="78"/>
    </row>
    <row r="811" ht="15.75" customHeight="1">
      <c r="A811" s="78"/>
      <c r="B811" s="78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7"/>
      <c r="N811" s="118"/>
      <c r="O811" s="118"/>
      <c r="P811" s="118"/>
      <c r="Q811" s="116"/>
      <c r="R811" s="116"/>
      <c r="S811" s="116"/>
      <c r="T811" s="78"/>
      <c r="U811" s="78"/>
      <c r="V811" s="78"/>
      <c r="W811" s="78"/>
    </row>
    <row r="812" ht="15.75" customHeight="1">
      <c r="A812" s="78"/>
      <c r="B812" s="78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7"/>
      <c r="N812" s="118"/>
      <c r="O812" s="118"/>
      <c r="P812" s="118"/>
      <c r="Q812" s="116"/>
      <c r="R812" s="116"/>
      <c r="S812" s="116"/>
      <c r="T812" s="78"/>
      <c r="U812" s="78"/>
      <c r="V812" s="78"/>
      <c r="W812" s="78"/>
    </row>
    <row r="813" ht="15.75" customHeight="1">
      <c r="A813" s="78"/>
      <c r="B813" s="78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7"/>
      <c r="N813" s="118"/>
      <c r="O813" s="118"/>
      <c r="P813" s="118"/>
      <c r="Q813" s="116"/>
      <c r="R813" s="116"/>
      <c r="S813" s="116"/>
      <c r="T813" s="78"/>
      <c r="U813" s="78"/>
      <c r="V813" s="78"/>
      <c r="W813" s="78"/>
    </row>
    <row r="814" ht="15.75" customHeight="1">
      <c r="A814" s="78"/>
      <c r="B814" s="78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7"/>
      <c r="N814" s="118"/>
      <c r="O814" s="118"/>
      <c r="P814" s="118"/>
      <c r="Q814" s="116"/>
      <c r="R814" s="116"/>
      <c r="S814" s="116"/>
      <c r="T814" s="78"/>
      <c r="U814" s="78"/>
      <c r="V814" s="78"/>
      <c r="W814" s="78"/>
    </row>
    <row r="815" ht="15.75" customHeight="1">
      <c r="A815" s="78"/>
      <c r="B815" s="78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7"/>
      <c r="N815" s="118"/>
      <c r="O815" s="118"/>
      <c r="P815" s="118"/>
      <c r="Q815" s="116"/>
      <c r="R815" s="116"/>
      <c r="S815" s="116"/>
      <c r="T815" s="78"/>
      <c r="U815" s="78"/>
      <c r="V815" s="78"/>
      <c r="W815" s="78"/>
    </row>
    <row r="816" ht="15.75" customHeight="1">
      <c r="A816" s="78"/>
      <c r="B816" s="78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7"/>
      <c r="N816" s="118"/>
      <c r="O816" s="118"/>
      <c r="P816" s="118"/>
      <c r="Q816" s="116"/>
      <c r="R816" s="116"/>
      <c r="S816" s="116"/>
      <c r="T816" s="78"/>
      <c r="U816" s="78"/>
      <c r="V816" s="78"/>
      <c r="W816" s="78"/>
    </row>
    <row r="817" ht="15.75" customHeight="1">
      <c r="A817" s="78"/>
      <c r="B817" s="78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7"/>
      <c r="N817" s="118"/>
      <c r="O817" s="118"/>
      <c r="P817" s="118"/>
      <c r="Q817" s="116"/>
      <c r="R817" s="116"/>
      <c r="S817" s="116"/>
      <c r="T817" s="78"/>
      <c r="U817" s="78"/>
      <c r="V817" s="78"/>
      <c r="W817" s="78"/>
    </row>
    <row r="818" ht="15.75" customHeight="1">
      <c r="A818" s="78"/>
      <c r="B818" s="78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7"/>
      <c r="N818" s="118"/>
      <c r="O818" s="118"/>
      <c r="P818" s="118"/>
      <c r="Q818" s="116"/>
      <c r="R818" s="116"/>
      <c r="S818" s="116"/>
      <c r="T818" s="78"/>
      <c r="U818" s="78"/>
      <c r="V818" s="78"/>
      <c r="W818" s="78"/>
    </row>
    <row r="819" ht="15.75" customHeight="1">
      <c r="A819" s="78"/>
      <c r="B819" s="78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7"/>
      <c r="N819" s="118"/>
      <c r="O819" s="118"/>
      <c r="P819" s="118"/>
      <c r="Q819" s="116"/>
      <c r="R819" s="116"/>
      <c r="S819" s="116"/>
      <c r="T819" s="78"/>
      <c r="U819" s="78"/>
      <c r="V819" s="78"/>
      <c r="W819" s="78"/>
    </row>
    <row r="820" ht="15.75" customHeight="1">
      <c r="A820" s="78"/>
      <c r="B820" s="78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7"/>
      <c r="N820" s="118"/>
      <c r="O820" s="118"/>
      <c r="P820" s="118"/>
      <c r="Q820" s="116"/>
      <c r="R820" s="116"/>
      <c r="S820" s="116"/>
      <c r="T820" s="78"/>
      <c r="U820" s="78"/>
      <c r="V820" s="78"/>
      <c r="W820" s="78"/>
    </row>
    <row r="821" ht="15.75" customHeight="1">
      <c r="A821" s="78"/>
      <c r="B821" s="78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7"/>
      <c r="N821" s="118"/>
      <c r="O821" s="118"/>
      <c r="P821" s="118"/>
      <c r="Q821" s="116"/>
      <c r="R821" s="116"/>
      <c r="S821" s="116"/>
      <c r="T821" s="78"/>
      <c r="U821" s="78"/>
      <c r="V821" s="78"/>
      <c r="W821" s="78"/>
    </row>
    <row r="822" ht="15.75" customHeight="1">
      <c r="A822" s="78"/>
      <c r="B822" s="78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7"/>
      <c r="N822" s="118"/>
      <c r="O822" s="118"/>
      <c r="P822" s="118"/>
      <c r="Q822" s="116"/>
      <c r="R822" s="116"/>
      <c r="S822" s="116"/>
      <c r="T822" s="78"/>
      <c r="U822" s="78"/>
      <c r="V822" s="78"/>
      <c r="W822" s="78"/>
    </row>
    <row r="823" ht="15.75" customHeight="1">
      <c r="A823" s="78"/>
      <c r="B823" s="78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7"/>
      <c r="N823" s="118"/>
      <c r="O823" s="118"/>
      <c r="P823" s="118"/>
      <c r="Q823" s="116"/>
      <c r="R823" s="116"/>
      <c r="S823" s="116"/>
      <c r="T823" s="78"/>
      <c r="U823" s="78"/>
      <c r="V823" s="78"/>
      <c r="W823" s="78"/>
    </row>
    <row r="824" ht="15.75" customHeight="1">
      <c r="A824" s="78"/>
      <c r="B824" s="78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7"/>
      <c r="N824" s="118"/>
      <c r="O824" s="118"/>
      <c r="P824" s="118"/>
      <c r="Q824" s="116"/>
      <c r="R824" s="116"/>
      <c r="S824" s="116"/>
      <c r="T824" s="78"/>
      <c r="U824" s="78"/>
      <c r="V824" s="78"/>
      <c r="W824" s="78"/>
    </row>
    <row r="825" ht="15.75" customHeight="1">
      <c r="A825" s="78"/>
      <c r="B825" s="78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7"/>
      <c r="N825" s="118"/>
      <c r="O825" s="118"/>
      <c r="P825" s="118"/>
      <c r="Q825" s="116"/>
      <c r="R825" s="116"/>
      <c r="S825" s="116"/>
      <c r="T825" s="78"/>
      <c r="U825" s="78"/>
      <c r="V825" s="78"/>
      <c r="W825" s="78"/>
    </row>
    <row r="826" ht="15.75" customHeight="1">
      <c r="A826" s="78"/>
      <c r="B826" s="78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7"/>
      <c r="N826" s="118"/>
      <c r="O826" s="118"/>
      <c r="P826" s="118"/>
      <c r="Q826" s="116"/>
      <c r="R826" s="116"/>
      <c r="S826" s="116"/>
      <c r="T826" s="78"/>
      <c r="U826" s="78"/>
      <c r="V826" s="78"/>
      <c r="W826" s="78"/>
    </row>
    <row r="827" ht="15.75" customHeight="1">
      <c r="A827" s="78"/>
      <c r="B827" s="78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7"/>
      <c r="N827" s="118"/>
      <c r="O827" s="118"/>
      <c r="P827" s="118"/>
      <c r="Q827" s="116"/>
      <c r="R827" s="116"/>
      <c r="S827" s="116"/>
      <c r="T827" s="78"/>
      <c r="U827" s="78"/>
      <c r="V827" s="78"/>
      <c r="W827" s="78"/>
    </row>
    <row r="828" ht="15.75" customHeight="1">
      <c r="A828" s="78"/>
      <c r="B828" s="78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7"/>
      <c r="N828" s="118"/>
      <c r="O828" s="118"/>
      <c r="P828" s="118"/>
      <c r="Q828" s="116"/>
      <c r="R828" s="116"/>
      <c r="S828" s="116"/>
      <c r="T828" s="78"/>
      <c r="U828" s="78"/>
      <c r="V828" s="78"/>
      <c r="W828" s="78"/>
    </row>
    <row r="829" ht="15.75" customHeight="1">
      <c r="A829" s="78"/>
      <c r="B829" s="78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7"/>
      <c r="N829" s="118"/>
      <c r="O829" s="118"/>
      <c r="P829" s="118"/>
      <c r="Q829" s="116"/>
      <c r="R829" s="116"/>
      <c r="S829" s="116"/>
      <c r="T829" s="78"/>
      <c r="U829" s="78"/>
      <c r="V829" s="78"/>
      <c r="W829" s="78"/>
    </row>
    <row r="830" ht="15.75" customHeight="1">
      <c r="A830" s="78"/>
      <c r="B830" s="78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7"/>
      <c r="N830" s="118"/>
      <c r="O830" s="118"/>
      <c r="P830" s="118"/>
      <c r="Q830" s="116"/>
      <c r="R830" s="116"/>
      <c r="S830" s="116"/>
      <c r="T830" s="78"/>
      <c r="U830" s="78"/>
      <c r="V830" s="78"/>
      <c r="W830" s="78"/>
    </row>
    <row r="831" ht="15.75" customHeight="1">
      <c r="A831" s="78"/>
      <c r="B831" s="78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7"/>
      <c r="N831" s="118"/>
      <c r="O831" s="118"/>
      <c r="P831" s="118"/>
      <c r="Q831" s="116"/>
      <c r="R831" s="116"/>
      <c r="S831" s="116"/>
      <c r="T831" s="78"/>
      <c r="U831" s="78"/>
      <c r="V831" s="78"/>
      <c r="W831" s="78"/>
    </row>
    <row r="832" ht="15.75" customHeight="1">
      <c r="A832" s="78"/>
      <c r="B832" s="78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7"/>
      <c r="N832" s="118"/>
      <c r="O832" s="118"/>
      <c r="P832" s="118"/>
      <c r="Q832" s="116"/>
      <c r="R832" s="116"/>
      <c r="S832" s="116"/>
      <c r="T832" s="78"/>
      <c r="U832" s="78"/>
      <c r="V832" s="78"/>
      <c r="W832" s="78"/>
    </row>
    <row r="833" ht="15.75" customHeight="1">
      <c r="A833" s="78"/>
      <c r="B833" s="78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7"/>
      <c r="N833" s="118"/>
      <c r="O833" s="118"/>
      <c r="P833" s="118"/>
      <c r="Q833" s="116"/>
      <c r="R833" s="116"/>
      <c r="S833" s="116"/>
      <c r="T833" s="78"/>
      <c r="U833" s="78"/>
      <c r="V833" s="78"/>
      <c r="W833" s="78"/>
    </row>
    <row r="834" ht="15.75" customHeight="1">
      <c r="A834" s="78"/>
      <c r="B834" s="78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7"/>
      <c r="N834" s="118"/>
      <c r="O834" s="118"/>
      <c r="P834" s="118"/>
      <c r="Q834" s="116"/>
      <c r="R834" s="116"/>
      <c r="S834" s="116"/>
      <c r="T834" s="78"/>
      <c r="U834" s="78"/>
      <c r="V834" s="78"/>
      <c r="W834" s="78"/>
    </row>
    <row r="835" ht="15.75" customHeight="1">
      <c r="A835" s="78"/>
      <c r="B835" s="78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7"/>
      <c r="N835" s="118"/>
      <c r="O835" s="118"/>
      <c r="P835" s="118"/>
      <c r="Q835" s="116"/>
      <c r="R835" s="116"/>
      <c r="S835" s="116"/>
      <c r="T835" s="78"/>
      <c r="U835" s="78"/>
      <c r="V835" s="78"/>
      <c r="W835" s="78"/>
    </row>
    <row r="836" ht="15.75" customHeight="1">
      <c r="A836" s="78"/>
      <c r="B836" s="78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7"/>
      <c r="N836" s="118"/>
      <c r="O836" s="118"/>
      <c r="P836" s="118"/>
      <c r="Q836" s="116"/>
      <c r="R836" s="116"/>
      <c r="S836" s="116"/>
      <c r="T836" s="78"/>
      <c r="U836" s="78"/>
      <c r="V836" s="78"/>
      <c r="W836" s="78"/>
    </row>
    <row r="837" ht="15.75" customHeight="1">
      <c r="A837" s="78"/>
      <c r="B837" s="78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7"/>
      <c r="N837" s="118"/>
      <c r="O837" s="118"/>
      <c r="P837" s="118"/>
      <c r="Q837" s="116"/>
      <c r="R837" s="116"/>
      <c r="S837" s="116"/>
      <c r="T837" s="78"/>
      <c r="U837" s="78"/>
      <c r="V837" s="78"/>
      <c r="W837" s="78"/>
    </row>
    <row r="838" ht="15.75" customHeight="1">
      <c r="A838" s="78"/>
      <c r="B838" s="78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7"/>
      <c r="N838" s="118"/>
      <c r="O838" s="118"/>
      <c r="P838" s="118"/>
      <c r="Q838" s="116"/>
      <c r="R838" s="116"/>
      <c r="S838" s="116"/>
      <c r="T838" s="78"/>
      <c r="U838" s="78"/>
      <c r="V838" s="78"/>
      <c r="W838" s="78"/>
    </row>
    <row r="839" ht="15.75" customHeight="1">
      <c r="A839" s="78"/>
      <c r="B839" s="78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7"/>
      <c r="N839" s="118"/>
      <c r="O839" s="118"/>
      <c r="P839" s="118"/>
      <c r="Q839" s="116"/>
      <c r="R839" s="116"/>
      <c r="S839" s="116"/>
      <c r="T839" s="78"/>
      <c r="U839" s="78"/>
      <c r="V839" s="78"/>
      <c r="W839" s="78"/>
    </row>
    <row r="840" ht="15.75" customHeight="1">
      <c r="A840" s="78"/>
      <c r="B840" s="78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7"/>
      <c r="N840" s="118"/>
      <c r="O840" s="118"/>
      <c r="P840" s="118"/>
      <c r="Q840" s="116"/>
      <c r="R840" s="116"/>
      <c r="S840" s="116"/>
      <c r="T840" s="78"/>
      <c r="U840" s="78"/>
      <c r="V840" s="78"/>
      <c r="W840" s="78"/>
    </row>
    <row r="841" ht="15.75" customHeight="1">
      <c r="A841" s="78"/>
      <c r="B841" s="78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7"/>
      <c r="N841" s="118"/>
      <c r="O841" s="118"/>
      <c r="P841" s="118"/>
      <c r="Q841" s="116"/>
      <c r="R841" s="116"/>
      <c r="S841" s="116"/>
      <c r="T841" s="78"/>
      <c r="U841" s="78"/>
      <c r="V841" s="78"/>
      <c r="W841" s="78"/>
    </row>
    <row r="842" ht="15.75" customHeight="1">
      <c r="A842" s="78"/>
      <c r="B842" s="78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7"/>
      <c r="N842" s="118"/>
      <c r="O842" s="118"/>
      <c r="P842" s="118"/>
      <c r="Q842" s="116"/>
      <c r="R842" s="116"/>
      <c r="S842" s="116"/>
      <c r="T842" s="78"/>
      <c r="U842" s="78"/>
      <c r="V842" s="78"/>
      <c r="W842" s="78"/>
    </row>
    <row r="843" ht="15.75" customHeight="1">
      <c r="A843" s="78"/>
      <c r="B843" s="78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7"/>
      <c r="N843" s="118"/>
      <c r="O843" s="118"/>
      <c r="P843" s="118"/>
      <c r="Q843" s="116"/>
      <c r="R843" s="116"/>
      <c r="S843" s="116"/>
      <c r="T843" s="78"/>
      <c r="U843" s="78"/>
      <c r="V843" s="78"/>
      <c r="W843" s="78"/>
    </row>
    <row r="844" ht="15.75" customHeight="1">
      <c r="A844" s="78"/>
      <c r="B844" s="78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7"/>
      <c r="N844" s="118"/>
      <c r="O844" s="118"/>
      <c r="P844" s="118"/>
      <c r="Q844" s="116"/>
      <c r="R844" s="116"/>
      <c r="S844" s="116"/>
      <c r="T844" s="78"/>
      <c r="U844" s="78"/>
      <c r="V844" s="78"/>
      <c r="W844" s="78"/>
    </row>
    <row r="845" ht="15.75" customHeight="1">
      <c r="A845" s="78"/>
      <c r="B845" s="78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7"/>
      <c r="N845" s="118"/>
      <c r="O845" s="118"/>
      <c r="P845" s="118"/>
      <c r="Q845" s="116"/>
      <c r="R845" s="116"/>
      <c r="S845" s="116"/>
      <c r="T845" s="78"/>
      <c r="U845" s="78"/>
      <c r="V845" s="78"/>
      <c r="W845" s="78"/>
    </row>
    <row r="846" ht="15.75" customHeight="1">
      <c r="A846" s="78"/>
      <c r="B846" s="78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7"/>
      <c r="N846" s="118"/>
      <c r="O846" s="118"/>
      <c r="P846" s="118"/>
      <c r="Q846" s="116"/>
      <c r="R846" s="116"/>
      <c r="S846" s="116"/>
      <c r="T846" s="78"/>
      <c r="U846" s="78"/>
      <c r="V846" s="78"/>
      <c r="W846" s="78"/>
    </row>
    <row r="847" ht="15.75" customHeight="1">
      <c r="A847" s="78"/>
      <c r="B847" s="78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7"/>
      <c r="N847" s="118"/>
      <c r="O847" s="118"/>
      <c r="P847" s="118"/>
      <c r="Q847" s="116"/>
      <c r="R847" s="116"/>
      <c r="S847" s="116"/>
      <c r="T847" s="78"/>
      <c r="U847" s="78"/>
      <c r="V847" s="78"/>
      <c r="W847" s="78"/>
    </row>
    <row r="848" ht="15.75" customHeight="1">
      <c r="A848" s="78"/>
      <c r="B848" s="78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7"/>
      <c r="N848" s="118"/>
      <c r="O848" s="118"/>
      <c r="P848" s="118"/>
      <c r="Q848" s="116"/>
      <c r="R848" s="116"/>
      <c r="S848" s="116"/>
      <c r="T848" s="78"/>
      <c r="U848" s="78"/>
      <c r="V848" s="78"/>
      <c r="W848" s="78"/>
    </row>
    <row r="849" ht="15.75" customHeight="1">
      <c r="A849" s="78"/>
      <c r="B849" s="78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7"/>
      <c r="N849" s="118"/>
      <c r="O849" s="118"/>
      <c r="P849" s="118"/>
      <c r="Q849" s="116"/>
      <c r="R849" s="116"/>
      <c r="S849" s="116"/>
      <c r="T849" s="78"/>
      <c r="U849" s="78"/>
      <c r="V849" s="78"/>
      <c r="W849" s="78"/>
    </row>
    <row r="850" ht="15.75" customHeight="1">
      <c r="A850" s="78"/>
      <c r="B850" s="78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7"/>
      <c r="N850" s="118"/>
      <c r="O850" s="118"/>
      <c r="P850" s="118"/>
      <c r="Q850" s="116"/>
      <c r="R850" s="116"/>
      <c r="S850" s="116"/>
      <c r="T850" s="78"/>
      <c r="U850" s="78"/>
      <c r="V850" s="78"/>
      <c r="W850" s="78"/>
    </row>
    <row r="851" ht="15.75" customHeight="1">
      <c r="A851" s="78"/>
      <c r="B851" s="78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7"/>
      <c r="N851" s="118"/>
      <c r="O851" s="118"/>
      <c r="P851" s="118"/>
      <c r="Q851" s="116"/>
      <c r="R851" s="116"/>
      <c r="S851" s="116"/>
      <c r="T851" s="78"/>
      <c r="U851" s="78"/>
      <c r="V851" s="78"/>
      <c r="W851" s="78"/>
    </row>
    <row r="852" ht="15.75" customHeight="1">
      <c r="A852" s="78"/>
      <c r="B852" s="78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7"/>
      <c r="N852" s="118"/>
      <c r="O852" s="118"/>
      <c r="P852" s="118"/>
      <c r="Q852" s="116"/>
      <c r="R852" s="116"/>
      <c r="S852" s="116"/>
      <c r="T852" s="78"/>
      <c r="U852" s="78"/>
      <c r="V852" s="78"/>
      <c r="W852" s="78"/>
    </row>
    <row r="853" ht="15.75" customHeight="1">
      <c r="A853" s="78"/>
      <c r="B853" s="78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7"/>
      <c r="N853" s="118"/>
      <c r="O853" s="118"/>
      <c r="P853" s="118"/>
      <c r="Q853" s="116"/>
      <c r="R853" s="116"/>
      <c r="S853" s="116"/>
      <c r="T853" s="78"/>
      <c r="U853" s="78"/>
      <c r="V853" s="78"/>
      <c r="W853" s="78"/>
    </row>
    <row r="854" ht="15.75" customHeight="1">
      <c r="A854" s="78"/>
      <c r="B854" s="78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7"/>
      <c r="N854" s="118"/>
      <c r="O854" s="118"/>
      <c r="P854" s="118"/>
      <c r="Q854" s="116"/>
      <c r="R854" s="116"/>
      <c r="S854" s="116"/>
      <c r="T854" s="78"/>
      <c r="U854" s="78"/>
      <c r="V854" s="78"/>
      <c r="W854" s="78"/>
    </row>
    <row r="855" ht="15.75" customHeight="1">
      <c r="A855" s="78"/>
      <c r="B855" s="78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7"/>
      <c r="N855" s="118"/>
      <c r="O855" s="118"/>
      <c r="P855" s="118"/>
      <c r="Q855" s="116"/>
      <c r="R855" s="116"/>
      <c r="S855" s="116"/>
      <c r="T855" s="78"/>
      <c r="U855" s="78"/>
      <c r="V855" s="78"/>
      <c r="W855" s="78"/>
    </row>
    <row r="856" ht="15.75" customHeight="1">
      <c r="A856" s="78"/>
      <c r="B856" s="78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7"/>
      <c r="N856" s="118"/>
      <c r="O856" s="118"/>
      <c r="P856" s="118"/>
      <c r="Q856" s="116"/>
      <c r="R856" s="116"/>
      <c r="S856" s="116"/>
      <c r="T856" s="78"/>
      <c r="U856" s="78"/>
      <c r="V856" s="78"/>
      <c r="W856" s="78"/>
    </row>
    <row r="857" ht="15.75" customHeight="1">
      <c r="A857" s="78"/>
      <c r="B857" s="78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7"/>
      <c r="N857" s="118"/>
      <c r="O857" s="118"/>
      <c r="P857" s="118"/>
      <c r="Q857" s="116"/>
      <c r="R857" s="116"/>
      <c r="S857" s="116"/>
      <c r="T857" s="78"/>
      <c r="U857" s="78"/>
      <c r="V857" s="78"/>
      <c r="W857" s="78"/>
    </row>
    <row r="858" ht="15.75" customHeight="1">
      <c r="A858" s="78"/>
      <c r="B858" s="78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7"/>
      <c r="N858" s="118"/>
      <c r="O858" s="118"/>
      <c r="P858" s="118"/>
      <c r="Q858" s="116"/>
      <c r="R858" s="116"/>
      <c r="S858" s="116"/>
      <c r="T858" s="78"/>
      <c r="U858" s="78"/>
      <c r="V858" s="78"/>
      <c r="W858" s="78"/>
    </row>
    <row r="859" ht="15.75" customHeight="1">
      <c r="A859" s="78"/>
      <c r="B859" s="78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7"/>
      <c r="N859" s="118"/>
      <c r="O859" s="118"/>
      <c r="P859" s="118"/>
      <c r="Q859" s="116"/>
      <c r="R859" s="116"/>
      <c r="S859" s="116"/>
      <c r="T859" s="78"/>
      <c r="U859" s="78"/>
      <c r="V859" s="78"/>
      <c r="W859" s="78"/>
    </row>
    <row r="860" ht="15.75" customHeight="1">
      <c r="A860" s="78"/>
      <c r="B860" s="78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7"/>
      <c r="N860" s="118"/>
      <c r="O860" s="118"/>
      <c r="P860" s="118"/>
      <c r="Q860" s="116"/>
      <c r="R860" s="116"/>
      <c r="S860" s="116"/>
      <c r="T860" s="78"/>
      <c r="U860" s="78"/>
      <c r="V860" s="78"/>
      <c r="W860" s="78"/>
    </row>
    <row r="861" ht="15.75" customHeight="1">
      <c r="A861" s="78"/>
      <c r="B861" s="78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7"/>
      <c r="N861" s="118"/>
      <c r="O861" s="118"/>
      <c r="P861" s="118"/>
      <c r="Q861" s="116"/>
      <c r="R861" s="116"/>
      <c r="S861" s="116"/>
      <c r="T861" s="78"/>
      <c r="U861" s="78"/>
      <c r="V861" s="78"/>
      <c r="W861" s="78"/>
    </row>
    <row r="862" ht="15.75" customHeight="1">
      <c r="A862" s="78"/>
      <c r="B862" s="78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7"/>
      <c r="N862" s="118"/>
      <c r="O862" s="118"/>
      <c r="P862" s="118"/>
      <c r="Q862" s="116"/>
      <c r="R862" s="116"/>
      <c r="S862" s="116"/>
      <c r="T862" s="78"/>
      <c r="U862" s="78"/>
      <c r="V862" s="78"/>
      <c r="W862" s="78"/>
    </row>
    <row r="863" ht="15.75" customHeight="1">
      <c r="A863" s="78"/>
      <c r="B863" s="78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7"/>
      <c r="N863" s="118"/>
      <c r="O863" s="118"/>
      <c r="P863" s="118"/>
      <c r="Q863" s="116"/>
      <c r="R863" s="116"/>
      <c r="S863" s="116"/>
      <c r="T863" s="78"/>
      <c r="U863" s="78"/>
      <c r="V863" s="78"/>
      <c r="W863" s="78"/>
    </row>
    <row r="864" ht="15.75" customHeight="1">
      <c r="A864" s="78"/>
      <c r="B864" s="78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7"/>
      <c r="N864" s="118"/>
      <c r="O864" s="118"/>
      <c r="P864" s="118"/>
      <c r="Q864" s="116"/>
      <c r="R864" s="116"/>
      <c r="S864" s="116"/>
      <c r="T864" s="78"/>
      <c r="U864" s="78"/>
      <c r="V864" s="78"/>
      <c r="W864" s="78"/>
    </row>
    <row r="865" ht="15.75" customHeight="1">
      <c r="A865" s="78"/>
      <c r="B865" s="78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7"/>
      <c r="N865" s="118"/>
      <c r="O865" s="118"/>
      <c r="P865" s="118"/>
      <c r="Q865" s="116"/>
      <c r="R865" s="116"/>
      <c r="S865" s="116"/>
      <c r="T865" s="78"/>
      <c r="U865" s="78"/>
      <c r="V865" s="78"/>
      <c r="W865" s="78"/>
    </row>
    <row r="866" ht="15.75" customHeight="1">
      <c r="A866" s="78"/>
      <c r="B866" s="78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7"/>
      <c r="N866" s="118"/>
      <c r="O866" s="118"/>
      <c r="P866" s="118"/>
      <c r="Q866" s="116"/>
      <c r="R866" s="116"/>
      <c r="S866" s="116"/>
      <c r="T866" s="78"/>
      <c r="U866" s="78"/>
      <c r="V866" s="78"/>
      <c r="W866" s="78"/>
    </row>
    <row r="867" ht="15.75" customHeight="1">
      <c r="A867" s="78"/>
      <c r="B867" s="78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7"/>
      <c r="N867" s="118"/>
      <c r="O867" s="118"/>
      <c r="P867" s="118"/>
      <c r="Q867" s="116"/>
      <c r="R867" s="116"/>
      <c r="S867" s="116"/>
      <c r="T867" s="78"/>
      <c r="U867" s="78"/>
      <c r="V867" s="78"/>
      <c r="W867" s="78"/>
    </row>
    <row r="868" ht="15.75" customHeight="1">
      <c r="A868" s="78"/>
      <c r="B868" s="78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7"/>
      <c r="N868" s="118"/>
      <c r="O868" s="118"/>
      <c r="P868" s="118"/>
      <c r="Q868" s="116"/>
      <c r="R868" s="116"/>
      <c r="S868" s="116"/>
      <c r="T868" s="78"/>
      <c r="U868" s="78"/>
      <c r="V868" s="78"/>
      <c r="W868" s="78"/>
    </row>
    <row r="869" ht="15.75" customHeight="1">
      <c r="A869" s="78"/>
      <c r="B869" s="78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7"/>
      <c r="N869" s="118"/>
      <c r="O869" s="118"/>
      <c r="P869" s="118"/>
      <c r="Q869" s="116"/>
      <c r="R869" s="116"/>
      <c r="S869" s="116"/>
      <c r="T869" s="78"/>
      <c r="U869" s="78"/>
      <c r="V869" s="78"/>
      <c r="W869" s="78"/>
    </row>
    <row r="870" ht="15.75" customHeight="1">
      <c r="A870" s="78"/>
      <c r="B870" s="78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7"/>
      <c r="N870" s="118"/>
      <c r="O870" s="118"/>
      <c r="P870" s="118"/>
      <c r="Q870" s="116"/>
      <c r="R870" s="116"/>
      <c r="S870" s="116"/>
      <c r="T870" s="78"/>
      <c r="U870" s="78"/>
      <c r="V870" s="78"/>
      <c r="W870" s="78"/>
    </row>
    <row r="871" ht="15.75" customHeight="1">
      <c r="A871" s="78"/>
      <c r="B871" s="78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7"/>
      <c r="N871" s="118"/>
      <c r="O871" s="118"/>
      <c r="P871" s="118"/>
      <c r="Q871" s="116"/>
      <c r="R871" s="116"/>
      <c r="S871" s="116"/>
      <c r="T871" s="78"/>
      <c r="U871" s="78"/>
      <c r="V871" s="78"/>
      <c r="W871" s="78"/>
    </row>
    <row r="872" ht="15.75" customHeight="1">
      <c r="A872" s="78"/>
      <c r="B872" s="78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7"/>
      <c r="N872" s="118"/>
      <c r="O872" s="118"/>
      <c r="P872" s="118"/>
      <c r="Q872" s="116"/>
      <c r="R872" s="116"/>
      <c r="S872" s="116"/>
      <c r="T872" s="78"/>
      <c r="U872" s="78"/>
      <c r="V872" s="78"/>
      <c r="W872" s="78"/>
    </row>
    <row r="873" ht="15.75" customHeight="1">
      <c r="A873" s="78"/>
      <c r="B873" s="78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7"/>
      <c r="N873" s="118"/>
      <c r="O873" s="118"/>
      <c r="P873" s="118"/>
      <c r="Q873" s="116"/>
      <c r="R873" s="116"/>
      <c r="S873" s="116"/>
      <c r="T873" s="78"/>
      <c r="U873" s="78"/>
      <c r="V873" s="78"/>
      <c r="W873" s="78"/>
    </row>
    <row r="874" ht="15.75" customHeight="1">
      <c r="A874" s="78"/>
      <c r="B874" s="78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7"/>
      <c r="N874" s="118"/>
      <c r="O874" s="118"/>
      <c r="P874" s="118"/>
      <c r="Q874" s="116"/>
      <c r="R874" s="116"/>
      <c r="S874" s="116"/>
      <c r="T874" s="78"/>
      <c r="U874" s="78"/>
      <c r="V874" s="78"/>
      <c r="W874" s="78"/>
    </row>
    <row r="875" ht="15.75" customHeight="1">
      <c r="A875" s="78"/>
      <c r="B875" s="78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7"/>
      <c r="N875" s="118"/>
      <c r="O875" s="118"/>
      <c r="P875" s="118"/>
      <c r="Q875" s="116"/>
      <c r="R875" s="116"/>
      <c r="S875" s="116"/>
      <c r="T875" s="78"/>
      <c r="U875" s="78"/>
      <c r="V875" s="78"/>
      <c r="W875" s="78"/>
    </row>
    <row r="876" ht="15.75" customHeight="1">
      <c r="A876" s="78"/>
      <c r="B876" s="78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7"/>
      <c r="N876" s="118"/>
      <c r="O876" s="118"/>
      <c r="P876" s="118"/>
      <c r="Q876" s="116"/>
      <c r="R876" s="116"/>
      <c r="S876" s="116"/>
      <c r="T876" s="78"/>
      <c r="U876" s="78"/>
      <c r="V876" s="78"/>
      <c r="W876" s="78"/>
    </row>
    <row r="877" ht="15.75" customHeight="1">
      <c r="A877" s="78"/>
      <c r="B877" s="78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7"/>
      <c r="N877" s="118"/>
      <c r="O877" s="118"/>
      <c r="P877" s="118"/>
      <c r="Q877" s="116"/>
      <c r="R877" s="116"/>
      <c r="S877" s="116"/>
      <c r="T877" s="78"/>
      <c r="U877" s="78"/>
      <c r="V877" s="78"/>
      <c r="W877" s="78"/>
    </row>
    <row r="878" ht="15.75" customHeight="1">
      <c r="A878" s="78"/>
      <c r="B878" s="78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7"/>
      <c r="N878" s="118"/>
      <c r="O878" s="118"/>
      <c r="P878" s="118"/>
      <c r="Q878" s="116"/>
      <c r="R878" s="116"/>
      <c r="S878" s="116"/>
      <c r="T878" s="78"/>
      <c r="U878" s="78"/>
      <c r="V878" s="78"/>
      <c r="W878" s="78"/>
    </row>
    <row r="879" ht="15.75" customHeight="1">
      <c r="A879" s="78"/>
      <c r="B879" s="78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7"/>
      <c r="N879" s="118"/>
      <c r="O879" s="118"/>
      <c r="P879" s="118"/>
      <c r="Q879" s="116"/>
      <c r="R879" s="116"/>
      <c r="S879" s="116"/>
      <c r="T879" s="78"/>
      <c r="U879" s="78"/>
      <c r="V879" s="78"/>
      <c r="W879" s="78"/>
    </row>
    <row r="880" ht="15.75" customHeight="1">
      <c r="A880" s="78"/>
      <c r="B880" s="78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7"/>
      <c r="N880" s="118"/>
      <c r="O880" s="118"/>
      <c r="P880" s="118"/>
      <c r="Q880" s="116"/>
      <c r="R880" s="116"/>
      <c r="S880" s="116"/>
      <c r="T880" s="78"/>
      <c r="U880" s="78"/>
      <c r="V880" s="78"/>
      <c r="W880" s="78"/>
    </row>
    <row r="881" ht="15.75" customHeight="1">
      <c r="A881" s="78"/>
      <c r="B881" s="78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7"/>
      <c r="N881" s="118"/>
      <c r="O881" s="118"/>
      <c r="P881" s="118"/>
      <c r="Q881" s="116"/>
      <c r="R881" s="116"/>
      <c r="S881" s="116"/>
      <c r="T881" s="78"/>
      <c r="U881" s="78"/>
      <c r="V881" s="78"/>
      <c r="W881" s="78"/>
    </row>
    <row r="882" ht="15.75" customHeight="1">
      <c r="A882" s="78"/>
      <c r="B882" s="78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7"/>
      <c r="N882" s="118"/>
      <c r="O882" s="118"/>
      <c r="P882" s="118"/>
      <c r="Q882" s="116"/>
      <c r="R882" s="116"/>
      <c r="S882" s="116"/>
      <c r="T882" s="78"/>
      <c r="U882" s="78"/>
      <c r="V882" s="78"/>
      <c r="W882" s="78"/>
    </row>
    <row r="883" ht="15.75" customHeight="1">
      <c r="A883" s="78"/>
      <c r="B883" s="78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7"/>
      <c r="N883" s="118"/>
      <c r="O883" s="118"/>
      <c r="P883" s="118"/>
      <c r="Q883" s="116"/>
      <c r="R883" s="116"/>
      <c r="S883" s="116"/>
      <c r="T883" s="78"/>
      <c r="U883" s="78"/>
      <c r="V883" s="78"/>
      <c r="W883" s="78"/>
    </row>
    <row r="884" ht="15.75" customHeight="1">
      <c r="A884" s="78"/>
      <c r="B884" s="78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7"/>
      <c r="N884" s="118"/>
      <c r="O884" s="118"/>
      <c r="P884" s="118"/>
      <c r="Q884" s="116"/>
      <c r="R884" s="116"/>
      <c r="S884" s="116"/>
      <c r="T884" s="78"/>
      <c r="U884" s="78"/>
      <c r="V884" s="78"/>
      <c r="W884" s="78"/>
    </row>
    <row r="885" ht="15.75" customHeight="1">
      <c r="A885" s="78"/>
      <c r="B885" s="78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7"/>
      <c r="N885" s="118"/>
      <c r="O885" s="118"/>
      <c r="P885" s="118"/>
      <c r="Q885" s="116"/>
      <c r="R885" s="116"/>
      <c r="S885" s="116"/>
      <c r="T885" s="78"/>
      <c r="U885" s="78"/>
      <c r="V885" s="78"/>
      <c r="W885" s="78"/>
    </row>
    <row r="886" ht="15.75" customHeight="1">
      <c r="A886" s="78"/>
      <c r="B886" s="78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7"/>
      <c r="N886" s="118"/>
      <c r="O886" s="118"/>
      <c r="P886" s="118"/>
      <c r="Q886" s="116"/>
      <c r="R886" s="116"/>
      <c r="S886" s="116"/>
      <c r="T886" s="78"/>
      <c r="U886" s="78"/>
      <c r="V886" s="78"/>
      <c r="W886" s="78"/>
    </row>
    <row r="887" ht="15.75" customHeight="1">
      <c r="A887" s="78"/>
      <c r="B887" s="78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7"/>
      <c r="N887" s="118"/>
      <c r="O887" s="118"/>
      <c r="P887" s="118"/>
      <c r="Q887" s="116"/>
      <c r="R887" s="116"/>
      <c r="S887" s="116"/>
      <c r="T887" s="78"/>
      <c r="U887" s="78"/>
      <c r="V887" s="78"/>
      <c r="W887" s="78"/>
    </row>
    <row r="888" ht="15.75" customHeight="1">
      <c r="A888" s="78"/>
      <c r="B888" s="78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7"/>
      <c r="N888" s="118"/>
      <c r="O888" s="118"/>
      <c r="P888" s="118"/>
      <c r="Q888" s="116"/>
      <c r="R888" s="116"/>
      <c r="S888" s="116"/>
      <c r="T888" s="78"/>
      <c r="U888" s="78"/>
      <c r="V888" s="78"/>
      <c r="W888" s="78"/>
    </row>
    <row r="889" ht="15.75" customHeight="1">
      <c r="A889" s="78"/>
      <c r="B889" s="78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7"/>
      <c r="N889" s="118"/>
      <c r="O889" s="118"/>
      <c r="P889" s="118"/>
      <c r="Q889" s="116"/>
      <c r="R889" s="116"/>
      <c r="S889" s="116"/>
      <c r="T889" s="78"/>
      <c r="U889" s="78"/>
      <c r="V889" s="78"/>
      <c r="W889" s="78"/>
    </row>
    <row r="890" ht="15.75" customHeight="1">
      <c r="A890" s="78"/>
      <c r="B890" s="78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7"/>
      <c r="N890" s="118"/>
      <c r="O890" s="118"/>
      <c r="P890" s="118"/>
      <c r="Q890" s="116"/>
      <c r="R890" s="116"/>
      <c r="S890" s="116"/>
      <c r="T890" s="78"/>
      <c r="U890" s="78"/>
      <c r="V890" s="78"/>
      <c r="W890" s="78"/>
    </row>
    <row r="891" ht="15.75" customHeight="1">
      <c r="A891" s="78"/>
      <c r="B891" s="78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7"/>
      <c r="N891" s="118"/>
      <c r="O891" s="118"/>
      <c r="P891" s="118"/>
      <c r="Q891" s="116"/>
      <c r="R891" s="116"/>
      <c r="S891" s="116"/>
      <c r="T891" s="78"/>
      <c r="U891" s="78"/>
      <c r="V891" s="78"/>
      <c r="W891" s="78"/>
    </row>
    <row r="892" ht="15.75" customHeight="1">
      <c r="A892" s="78"/>
      <c r="B892" s="78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7"/>
      <c r="N892" s="118"/>
      <c r="O892" s="118"/>
      <c r="P892" s="118"/>
      <c r="Q892" s="116"/>
      <c r="R892" s="116"/>
      <c r="S892" s="116"/>
      <c r="T892" s="78"/>
      <c r="U892" s="78"/>
      <c r="V892" s="78"/>
      <c r="W892" s="78"/>
    </row>
    <row r="893" ht="15.75" customHeight="1">
      <c r="A893" s="78"/>
      <c r="B893" s="78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7"/>
      <c r="N893" s="118"/>
      <c r="O893" s="118"/>
      <c r="P893" s="118"/>
      <c r="Q893" s="116"/>
      <c r="R893" s="116"/>
      <c r="S893" s="116"/>
      <c r="T893" s="78"/>
      <c r="U893" s="78"/>
      <c r="V893" s="78"/>
      <c r="W893" s="78"/>
    </row>
    <row r="894" ht="15.75" customHeight="1">
      <c r="A894" s="78"/>
      <c r="B894" s="78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7"/>
      <c r="N894" s="118"/>
      <c r="O894" s="118"/>
      <c r="P894" s="118"/>
      <c r="Q894" s="116"/>
      <c r="R894" s="116"/>
      <c r="S894" s="116"/>
      <c r="T894" s="78"/>
      <c r="U894" s="78"/>
      <c r="V894" s="78"/>
      <c r="W894" s="78"/>
    </row>
    <row r="895" ht="15.75" customHeight="1">
      <c r="A895" s="78"/>
      <c r="B895" s="78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7"/>
      <c r="N895" s="118"/>
      <c r="O895" s="118"/>
      <c r="P895" s="118"/>
      <c r="Q895" s="116"/>
      <c r="R895" s="116"/>
      <c r="S895" s="116"/>
      <c r="T895" s="78"/>
      <c r="U895" s="78"/>
      <c r="V895" s="78"/>
      <c r="W895" s="78"/>
    </row>
    <row r="896" ht="15.75" customHeight="1">
      <c r="A896" s="78"/>
      <c r="B896" s="78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7"/>
      <c r="N896" s="118"/>
      <c r="O896" s="118"/>
      <c r="P896" s="118"/>
      <c r="Q896" s="116"/>
      <c r="R896" s="116"/>
      <c r="S896" s="116"/>
      <c r="T896" s="78"/>
      <c r="U896" s="78"/>
      <c r="V896" s="78"/>
      <c r="W896" s="78"/>
    </row>
    <row r="897" ht="15.75" customHeight="1">
      <c r="A897" s="78"/>
      <c r="B897" s="78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7"/>
      <c r="N897" s="118"/>
      <c r="O897" s="118"/>
      <c r="P897" s="118"/>
      <c r="Q897" s="116"/>
      <c r="R897" s="116"/>
      <c r="S897" s="116"/>
      <c r="T897" s="78"/>
      <c r="U897" s="78"/>
      <c r="V897" s="78"/>
      <c r="W897" s="78"/>
    </row>
    <row r="898" ht="15.75" customHeight="1">
      <c r="A898" s="78"/>
      <c r="B898" s="78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7"/>
      <c r="N898" s="118"/>
      <c r="O898" s="118"/>
      <c r="P898" s="118"/>
      <c r="Q898" s="116"/>
      <c r="R898" s="116"/>
      <c r="S898" s="116"/>
      <c r="T898" s="78"/>
      <c r="U898" s="78"/>
      <c r="V898" s="78"/>
      <c r="W898" s="78"/>
    </row>
    <row r="899" ht="15.75" customHeight="1">
      <c r="A899" s="78"/>
      <c r="B899" s="78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7"/>
      <c r="N899" s="118"/>
      <c r="O899" s="118"/>
      <c r="P899" s="118"/>
      <c r="Q899" s="116"/>
      <c r="R899" s="116"/>
      <c r="S899" s="116"/>
      <c r="T899" s="78"/>
      <c r="U899" s="78"/>
      <c r="V899" s="78"/>
      <c r="W899" s="78"/>
    </row>
    <row r="900" ht="15.75" customHeight="1">
      <c r="A900" s="78"/>
      <c r="B900" s="78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7"/>
      <c r="N900" s="118"/>
      <c r="O900" s="118"/>
      <c r="P900" s="118"/>
      <c r="Q900" s="116"/>
      <c r="R900" s="116"/>
      <c r="S900" s="116"/>
      <c r="T900" s="78"/>
      <c r="U900" s="78"/>
      <c r="V900" s="78"/>
      <c r="W900" s="78"/>
    </row>
    <row r="901" ht="15.75" customHeight="1">
      <c r="A901" s="78"/>
      <c r="B901" s="78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7"/>
      <c r="N901" s="118"/>
      <c r="O901" s="118"/>
      <c r="P901" s="118"/>
      <c r="Q901" s="116"/>
      <c r="R901" s="116"/>
      <c r="S901" s="116"/>
      <c r="T901" s="78"/>
      <c r="U901" s="78"/>
      <c r="V901" s="78"/>
      <c r="W901" s="78"/>
    </row>
    <row r="902" ht="15.75" customHeight="1">
      <c r="A902" s="78"/>
      <c r="B902" s="78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7"/>
      <c r="N902" s="118"/>
      <c r="O902" s="118"/>
      <c r="P902" s="118"/>
      <c r="Q902" s="116"/>
      <c r="R902" s="116"/>
      <c r="S902" s="116"/>
      <c r="T902" s="78"/>
      <c r="U902" s="78"/>
      <c r="V902" s="78"/>
      <c r="W902" s="78"/>
    </row>
    <row r="903" ht="15.75" customHeight="1">
      <c r="A903" s="78"/>
      <c r="B903" s="78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7"/>
      <c r="N903" s="118"/>
      <c r="O903" s="118"/>
      <c r="P903" s="118"/>
      <c r="Q903" s="116"/>
      <c r="R903" s="116"/>
      <c r="S903" s="116"/>
      <c r="T903" s="78"/>
      <c r="U903" s="78"/>
      <c r="V903" s="78"/>
      <c r="W903" s="78"/>
    </row>
    <row r="904" ht="15.75" customHeight="1">
      <c r="A904" s="78"/>
      <c r="B904" s="78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7"/>
      <c r="N904" s="118"/>
      <c r="O904" s="118"/>
      <c r="P904" s="118"/>
      <c r="Q904" s="116"/>
      <c r="R904" s="116"/>
      <c r="S904" s="116"/>
      <c r="T904" s="78"/>
      <c r="U904" s="78"/>
      <c r="V904" s="78"/>
      <c r="W904" s="78"/>
    </row>
    <row r="905" ht="15.75" customHeight="1">
      <c r="A905" s="78"/>
      <c r="B905" s="78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7"/>
      <c r="N905" s="118"/>
      <c r="O905" s="118"/>
      <c r="P905" s="118"/>
      <c r="Q905" s="116"/>
      <c r="R905" s="116"/>
      <c r="S905" s="116"/>
      <c r="T905" s="78"/>
      <c r="U905" s="78"/>
      <c r="V905" s="78"/>
      <c r="W905" s="78"/>
    </row>
    <row r="906" ht="15.75" customHeight="1">
      <c r="A906" s="78"/>
      <c r="B906" s="78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7"/>
      <c r="N906" s="118"/>
      <c r="O906" s="118"/>
      <c r="P906" s="118"/>
      <c r="Q906" s="116"/>
      <c r="R906" s="116"/>
      <c r="S906" s="116"/>
      <c r="T906" s="78"/>
      <c r="U906" s="78"/>
      <c r="V906" s="78"/>
      <c r="W906" s="78"/>
    </row>
    <row r="907" ht="15.75" customHeight="1">
      <c r="A907" s="78"/>
      <c r="B907" s="78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7"/>
      <c r="N907" s="118"/>
      <c r="O907" s="118"/>
      <c r="P907" s="118"/>
      <c r="Q907" s="116"/>
      <c r="R907" s="116"/>
      <c r="S907" s="116"/>
      <c r="T907" s="78"/>
      <c r="U907" s="78"/>
      <c r="V907" s="78"/>
      <c r="W907" s="78"/>
    </row>
    <row r="908" ht="15.75" customHeight="1">
      <c r="A908" s="78"/>
      <c r="B908" s="78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7"/>
      <c r="N908" s="118"/>
      <c r="O908" s="118"/>
      <c r="P908" s="118"/>
      <c r="Q908" s="116"/>
      <c r="R908" s="116"/>
      <c r="S908" s="116"/>
      <c r="T908" s="78"/>
      <c r="U908" s="78"/>
      <c r="V908" s="78"/>
      <c r="W908" s="78"/>
    </row>
    <row r="909" ht="15.75" customHeight="1">
      <c r="A909" s="78"/>
      <c r="B909" s="78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7"/>
      <c r="N909" s="118"/>
      <c r="O909" s="118"/>
      <c r="P909" s="118"/>
      <c r="Q909" s="116"/>
      <c r="R909" s="116"/>
      <c r="S909" s="116"/>
      <c r="T909" s="78"/>
      <c r="U909" s="78"/>
      <c r="V909" s="78"/>
      <c r="W909" s="78"/>
    </row>
    <row r="910" ht="15.75" customHeight="1">
      <c r="A910" s="78"/>
      <c r="B910" s="78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7"/>
      <c r="N910" s="118"/>
      <c r="O910" s="118"/>
      <c r="P910" s="118"/>
      <c r="Q910" s="116"/>
      <c r="R910" s="116"/>
      <c r="S910" s="116"/>
      <c r="T910" s="78"/>
      <c r="U910" s="78"/>
      <c r="V910" s="78"/>
      <c r="W910" s="78"/>
    </row>
    <row r="911" ht="15.75" customHeight="1">
      <c r="A911" s="78"/>
      <c r="B911" s="78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7"/>
      <c r="N911" s="118"/>
      <c r="O911" s="118"/>
      <c r="P911" s="118"/>
      <c r="Q911" s="116"/>
      <c r="R911" s="116"/>
      <c r="S911" s="116"/>
      <c r="T911" s="78"/>
      <c r="U911" s="78"/>
      <c r="V911" s="78"/>
      <c r="W911" s="78"/>
    </row>
    <row r="912" ht="15.75" customHeight="1">
      <c r="A912" s="78"/>
      <c r="B912" s="78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7"/>
      <c r="N912" s="118"/>
      <c r="O912" s="118"/>
      <c r="P912" s="118"/>
      <c r="Q912" s="116"/>
      <c r="R912" s="116"/>
      <c r="S912" s="116"/>
      <c r="T912" s="78"/>
      <c r="U912" s="78"/>
      <c r="V912" s="78"/>
      <c r="W912" s="78"/>
    </row>
    <row r="913" ht="15.75" customHeight="1">
      <c r="A913" s="78"/>
      <c r="B913" s="78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7"/>
      <c r="N913" s="118"/>
      <c r="O913" s="118"/>
      <c r="P913" s="118"/>
      <c r="Q913" s="116"/>
      <c r="R913" s="116"/>
      <c r="S913" s="116"/>
      <c r="T913" s="78"/>
      <c r="U913" s="78"/>
      <c r="V913" s="78"/>
      <c r="W913" s="78"/>
    </row>
    <row r="914" ht="15.75" customHeight="1">
      <c r="A914" s="78"/>
      <c r="B914" s="78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7"/>
      <c r="N914" s="118"/>
      <c r="O914" s="118"/>
      <c r="P914" s="118"/>
      <c r="Q914" s="116"/>
      <c r="R914" s="116"/>
      <c r="S914" s="116"/>
      <c r="T914" s="78"/>
      <c r="U914" s="78"/>
      <c r="V914" s="78"/>
      <c r="W914" s="78"/>
    </row>
    <row r="915" ht="15.75" customHeight="1">
      <c r="A915" s="78"/>
      <c r="B915" s="78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7"/>
      <c r="N915" s="118"/>
      <c r="O915" s="118"/>
      <c r="P915" s="118"/>
      <c r="Q915" s="116"/>
      <c r="R915" s="116"/>
      <c r="S915" s="116"/>
      <c r="T915" s="78"/>
      <c r="U915" s="78"/>
      <c r="V915" s="78"/>
      <c r="W915" s="78"/>
    </row>
    <row r="916" ht="15.75" customHeight="1">
      <c r="A916" s="78"/>
      <c r="B916" s="78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7"/>
      <c r="N916" s="118"/>
      <c r="O916" s="118"/>
      <c r="P916" s="118"/>
      <c r="Q916" s="116"/>
      <c r="R916" s="116"/>
      <c r="S916" s="116"/>
      <c r="T916" s="78"/>
      <c r="U916" s="78"/>
      <c r="V916" s="78"/>
      <c r="W916" s="78"/>
    </row>
    <row r="917" ht="15.75" customHeight="1">
      <c r="A917" s="78"/>
      <c r="B917" s="78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7"/>
      <c r="N917" s="118"/>
      <c r="O917" s="118"/>
      <c r="P917" s="118"/>
      <c r="Q917" s="116"/>
      <c r="R917" s="116"/>
      <c r="S917" s="116"/>
      <c r="T917" s="78"/>
      <c r="U917" s="78"/>
      <c r="V917" s="78"/>
      <c r="W917" s="78"/>
    </row>
    <row r="918" ht="15.75" customHeight="1">
      <c r="A918" s="78"/>
      <c r="B918" s="78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7"/>
      <c r="N918" s="118"/>
      <c r="O918" s="118"/>
      <c r="P918" s="118"/>
      <c r="Q918" s="116"/>
      <c r="R918" s="116"/>
      <c r="S918" s="116"/>
      <c r="T918" s="78"/>
      <c r="U918" s="78"/>
      <c r="V918" s="78"/>
      <c r="W918" s="78"/>
    </row>
    <row r="919" ht="15.75" customHeight="1">
      <c r="A919" s="78"/>
      <c r="B919" s="78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7"/>
      <c r="N919" s="118"/>
      <c r="O919" s="118"/>
      <c r="P919" s="118"/>
      <c r="Q919" s="116"/>
      <c r="R919" s="116"/>
      <c r="S919" s="116"/>
      <c r="T919" s="78"/>
      <c r="U919" s="78"/>
      <c r="V919" s="78"/>
      <c r="W919" s="78"/>
    </row>
    <row r="920" ht="15.75" customHeight="1">
      <c r="A920" s="78"/>
      <c r="B920" s="78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7"/>
      <c r="N920" s="118"/>
      <c r="O920" s="118"/>
      <c r="P920" s="118"/>
      <c r="Q920" s="116"/>
      <c r="R920" s="116"/>
      <c r="S920" s="116"/>
      <c r="T920" s="78"/>
      <c r="U920" s="78"/>
      <c r="V920" s="78"/>
      <c r="W920" s="78"/>
    </row>
    <row r="921" ht="15.75" customHeight="1">
      <c r="A921" s="78"/>
      <c r="B921" s="78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7"/>
      <c r="N921" s="118"/>
      <c r="O921" s="118"/>
      <c r="P921" s="118"/>
      <c r="Q921" s="116"/>
      <c r="R921" s="116"/>
      <c r="S921" s="116"/>
      <c r="T921" s="78"/>
      <c r="U921" s="78"/>
      <c r="V921" s="78"/>
      <c r="W921" s="78"/>
    </row>
    <row r="922" ht="15.75" customHeight="1">
      <c r="A922" s="78"/>
      <c r="B922" s="78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7"/>
      <c r="N922" s="118"/>
      <c r="O922" s="118"/>
      <c r="P922" s="118"/>
      <c r="Q922" s="116"/>
      <c r="R922" s="116"/>
      <c r="S922" s="116"/>
      <c r="T922" s="78"/>
      <c r="U922" s="78"/>
      <c r="V922" s="78"/>
      <c r="W922" s="78"/>
    </row>
    <row r="923" ht="15.75" customHeight="1">
      <c r="A923" s="78"/>
      <c r="B923" s="78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7"/>
      <c r="N923" s="118"/>
      <c r="O923" s="118"/>
      <c r="P923" s="118"/>
      <c r="Q923" s="116"/>
      <c r="R923" s="116"/>
      <c r="S923" s="116"/>
      <c r="T923" s="78"/>
      <c r="U923" s="78"/>
      <c r="V923" s="78"/>
      <c r="W923" s="78"/>
    </row>
    <row r="924" ht="15.75" customHeight="1">
      <c r="A924" s="78"/>
      <c r="B924" s="78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7"/>
      <c r="N924" s="118"/>
      <c r="O924" s="118"/>
      <c r="P924" s="118"/>
      <c r="Q924" s="116"/>
      <c r="R924" s="116"/>
      <c r="S924" s="116"/>
      <c r="T924" s="78"/>
      <c r="U924" s="78"/>
      <c r="V924" s="78"/>
      <c r="W924" s="78"/>
    </row>
    <row r="925" ht="15.75" customHeight="1">
      <c r="A925" s="78"/>
      <c r="B925" s="78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7"/>
      <c r="N925" s="118"/>
      <c r="O925" s="118"/>
      <c r="P925" s="118"/>
      <c r="Q925" s="116"/>
      <c r="R925" s="116"/>
      <c r="S925" s="116"/>
      <c r="T925" s="78"/>
      <c r="U925" s="78"/>
      <c r="V925" s="78"/>
      <c r="W925" s="78"/>
    </row>
    <row r="926" ht="15.75" customHeight="1">
      <c r="A926" s="78"/>
      <c r="B926" s="78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7"/>
      <c r="N926" s="118"/>
      <c r="O926" s="118"/>
      <c r="P926" s="118"/>
      <c r="Q926" s="116"/>
      <c r="R926" s="116"/>
      <c r="S926" s="116"/>
      <c r="T926" s="78"/>
      <c r="U926" s="78"/>
      <c r="V926" s="78"/>
      <c r="W926" s="78"/>
    </row>
    <row r="927" ht="15.75" customHeight="1">
      <c r="A927" s="78"/>
      <c r="B927" s="78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7"/>
      <c r="N927" s="118"/>
      <c r="O927" s="118"/>
      <c r="P927" s="118"/>
      <c r="Q927" s="116"/>
      <c r="R927" s="116"/>
      <c r="S927" s="116"/>
      <c r="T927" s="78"/>
      <c r="U927" s="78"/>
      <c r="V927" s="78"/>
      <c r="W927" s="78"/>
    </row>
    <row r="928" ht="15.75" customHeight="1">
      <c r="A928" s="78"/>
      <c r="B928" s="78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7"/>
      <c r="N928" s="118"/>
      <c r="O928" s="118"/>
      <c r="P928" s="118"/>
      <c r="Q928" s="116"/>
      <c r="R928" s="116"/>
      <c r="S928" s="116"/>
      <c r="T928" s="78"/>
      <c r="U928" s="78"/>
      <c r="V928" s="78"/>
      <c r="W928" s="78"/>
    </row>
    <row r="929" ht="15.75" customHeight="1">
      <c r="A929" s="78"/>
      <c r="B929" s="78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7"/>
      <c r="N929" s="118"/>
      <c r="O929" s="118"/>
      <c r="P929" s="118"/>
      <c r="Q929" s="116"/>
      <c r="R929" s="116"/>
      <c r="S929" s="116"/>
      <c r="T929" s="78"/>
      <c r="U929" s="78"/>
      <c r="V929" s="78"/>
      <c r="W929" s="78"/>
    </row>
    <row r="930" ht="15.75" customHeight="1">
      <c r="A930" s="78"/>
      <c r="B930" s="78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7"/>
      <c r="N930" s="118"/>
      <c r="O930" s="118"/>
      <c r="P930" s="118"/>
      <c r="Q930" s="116"/>
      <c r="R930" s="116"/>
      <c r="S930" s="116"/>
      <c r="T930" s="78"/>
      <c r="U930" s="78"/>
      <c r="V930" s="78"/>
      <c r="W930" s="78"/>
    </row>
    <row r="931" ht="15.75" customHeight="1">
      <c r="A931" s="78"/>
      <c r="B931" s="78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7"/>
      <c r="N931" s="118"/>
      <c r="O931" s="118"/>
      <c r="P931" s="118"/>
      <c r="Q931" s="116"/>
      <c r="R931" s="116"/>
      <c r="S931" s="116"/>
      <c r="T931" s="78"/>
      <c r="U931" s="78"/>
      <c r="V931" s="78"/>
      <c r="W931" s="78"/>
    </row>
    <row r="932" ht="15.75" customHeight="1">
      <c r="A932" s="78"/>
      <c r="B932" s="78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7"/>
      <c r="N932" s="118"/>
      <c r="O932" s="118"/>
      <c r="P932" s="118"/>
      <c r="Q932" s="116"/>
      <c r="R932" s="116"/>
      <c r="S932" s="116"/>
      <c r="T932" s="78"/>
      <c r="U932" s="78"/>
      <c r="V932" s="78"/>
      <c r="W932" s="78"/>
    </row>
    <row r="933" ht="15.75" customHeight="1">
      <c r="A933" s="78"/>
      <c r="B933" s="78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7"/>
      <c r="N933" s="118"/>
      <c r="O933" s="118"/>
      <c r="P933" s="118"/>
      <c r="Q933" s="116"/>
      <c r="R933" s="116"/>
      <c r="S933" s="116"/>
      <c r="T933" s="78"/>
      <c r="U933" s="78"/>
      <c r="V933" s="78"/>
      <c r="W933" s="78"/>
    </row>
    <row r="934" ht="15.75" customHeight="1">
      <c r="A934" s="78"/>
      <c r="B934" s="78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7"/>
      <c r="N934" s="118"/>
      <c r="O934" s="118"/>
      <c r="P934" s="118"/>
      <c r="Q934" s="116"/>
      <c r="R934" s="116"/>
      <c r="S934" s="116"/>
      <c r="T934" s="78"/>
      <c r="U934" s="78"/>
      <c r="V934" s="78"/>
      <c r="W934" s="78"/>
    </row>
    <row r="935" ht="15.75" customHeight="1">
      <c r="A935" s="78"/>
      <c r="B935" s="78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7"/>
      <c r="N935" s="118"/>
      <c r="O935" s="118"/>
      <c r="P935" s="118"/>
      <c r="Q935" s="116"/>
      <c r="R935" s="116"/>
      <c r="S935" s="116"/>
      <c r="T935" s="78"/>
      <c r="U935" s="78"/>
      <c r="V935" s="78"/>
      <c r="W935" s="78"/>
    </row>
    <row r="936" ht="15.75" customHeight="1">
      <c r="A936" s="78"/>
      <c r="B936" s="78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7"/>
      <c r="N936" s="118"/>
      <c r="O936" s="118"/>
      <c r="P936" s="118"/>
      <c r="Q936" s="116"/>
      <c r="R936" s="116"/>
      <c r="S936" s="116"/>
      <c r="T936" s="78"/>
      <c r="U936" s="78"/>
      <c r="V936" s="78"/>
      <c r="W936" s="78"/>
    </row>
    <row r="937" ht="15.75" customHeight="1">
      <c r="A937" s="78"/>
      <c r="B937" s="78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7"/>
      <c r="N937" s="118"/>
      <c r="O937" s="118"/>
      <c r="P937" s="118"/>
      <c r="Q937" s="116"/>
      <c r="R937" s="116"/>
      <c r="S937" s="116"/>
      <c r="T937" s="78"/>
      <c r="U937" s="78"/>
      <c r="V937" s="78"/>
      <c r="W937" s="78"/>
    </row>
    <row r="938" ht="15.75" customHeight="1">
      <c r="A938" s="78"/>
      <c r="B938" s="78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7"/>
      <c r="N938" s="118"/>
      <c r="O938" s="118"/>
      <c r="P938" s="118"/>
      <c r="Q938" s="116"/>
      <c r="R938" s="116"/>
      <c r="S938" s="116"/>
      <c r="T938" s="78"/>
      <c r="U938" s="78"/>
      <c r="V938" s="78"/>
      <c r="W938" s="78"/>
    </row>
    <row r="939" ht="15.75" customHeight="1">
      <c r="A939" s="78"/>
      <c r="B939" s="78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7"/>
      <c r="N939" s="118"/>
      <c r="O939" s="118"/>
      <c r="P939" s="118"/>
      <c r="Q939" s="116"/>
      <c r="R939" s="116"/>
      <c r="S939" s="116"/>
      <c r="T939" s="78"/>
      <c r="U939" s="78"/>
      <c r="V939" s="78"/>
      <c r="W939" s="78"/>
    </row>
    <row r="940" ht="15.75" customHeight="1">
      <c r="A940" s="78"/>
      <c r="B940" s="78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7"/>
      <c r="N940" s="118"/>
      <c r="O940" s="118"/>
      <c r="P940" s="118"/>
      <c r="Q940" s="116"/>
      <c r="R940" s="116"/>
      <c r="S940" s="116"/>
      <c r="T940" s="78"/>
      <c r="U940" s="78"/>
      <c r="V940" s="78"/>
      <c r="W940" s="78"/>
    </row>
    <row r="941" ht="15.75" customHeight="1">
      <c r="A941" s="78"/>
      <c r="B941" s="78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7"/>
      <c r="N941" s="118"/>
      <c r="O941" s="118"/>
      <c r="P941" s="118"/>
      <c r="Q941" s="116"/>
      <c r="R941" s="116"/>
      <c r="S941" s="116"/>
      <c r="T941" s="78"/>
      <c r="U941" s="78"/>
      <c r="V941" s="78"/>
      <c r="W941" s="78"/>
    </row>
    <row r="942" ht="15.75" customHeight="1">
      <c r="A942" s="78"/>
      <c r="B942" s="78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7"/>
      <c r="N942" s="118"/>
      <c r="O942" s="118"/>
      <c r="P942" s="118"/>
      <c r="Q942" s="116"/>
      <c r="R942" s="116"/>
      <c r="S942" s="116"/>
      <c r="T942" s="78"/>
      <c r="U942" s="78"/>
      <c r="V942" s="78"/>
      <c r="W942" s="78"/>
    </row>
    <row r="943" ht="15.75" customHeight="1">
      <c r="A943" s="78"/>
      <c r="B943" s="78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7"/>
      <c r="N943" s="118"/>
      <c r="O943" s="118"/>
      <c r="P943" s="118"/>
      <c r="Q943" s="116"/>
      <c r="R943" s="116"/>
      <c r="S943" s="116"/>
      <c r="T943" s="78"/>
      <c r="U943" s="78"/>
      <c r="V943" s="78"/>
      <c r="W943" s="78"/>
    </row>
    <row r="944" ht="15.75" customHeight="1">
      <c r="A944" s="78"/>
      <c r="B944" s="78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7"/>
      <c r="N944" s="118"/>
      <c r="O944" s="118"/>
      <c r="P944" s="118"/>
      <c r="Q944" s="116"/>
      <c r="R944" s="116"/>
      <c r="S944" s="116"/>
      <c r="T944" s="78"/>
      <c r="U944" s="78"/>
      <c r="V944" s="78"/>
      <c r="W944" s="78"/>
    </row>
    <row r="945" ht="15.75" customHeight="1">
      <c r="A945" s="78"/>
      <c r="B945" s="78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7"/>
      <c r="N945" s="118"/>
      <c r="O945" s="118"/>
      <c r="P945" s="118"/>
      <c r="Q945" s="116"/>
      <c r="R945" s="116"/>
      <c r="S945" s="116"/>
      <c r="T945" s="78"/>
      <c r="U945" s="78"/>
      <c r="V945" s="78"/>
      <c r="W945" s="78"/>
    </row>
    <row r="946" ht="15.75" customHeight="1">
      <c r="A946" s="78"/>
      <c r="B946" s="78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7"/>
      <c r="N946" s="118"/>
      <c r="O946" s="118"/>
      <c r="P946" s="118"/>
      <c r="Q946" s="116"/>
      <c r="R946" s="116"/>
      <c r="S946" s="116"/>
      <c r="T946" s="78"/>
      <c r="U946" s="78"/>
      <c r="V946" s="78"/>
      <c r="W946" s="78"/>
    </row>
    <row r="947" ht="15.75" customHeight="1">
      <c r="A947" s="78"/>
      <c r="B947" s="78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7"/>
      <c r="N947" s="118"/>
      <c r="O947" s="118"/>
      <c r="P947" s="118"/>
      <c r="Q947" s="116"/>
      <c r="R947" s="116"/>
      <c r="S947" s="116"/>
      <c r="T947" s="78"/>
      <c r="U947" s="78"/>
      <c r="V947" s="78"/>
      <c r="W947" s="78"/>
    </row>
    <row r="948" ht="15.75" customHeight="1">
      <c r="A948" s="78"/>
      <c r="B948" s="78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7"/>
      <c r="N948" s="118"/>
      <c r="O948" s="118"/>
      <c r="P948" s="118"/>
      <c r="Q948" s="116"/>
      <c r="R948" s="116"/>
      <c r="S948" s="116"/>
      <c r="T948" s="78"/>
      <c r="U948" s="78"/>
      <c r="V948" s="78"/>
      <c r="W948" s="78"/>
    </row>
    <row r="949" ht="15.75" customHeight="1">
      <c r="A949" s="78"/>
      <c r="B949" s="78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7"/>
      <c r="N949" s="118"/>
      <c r="O949" s="118"/>
      <c r="P949" s="118"/>
      <c r="Q949" s="116"/>
      <c r="R949" s="116"/>
      <c r="S949" s="116"/>
      <c r="T949" s="78"/>
      <c r="U949" s="78"/>
      <c r="V949" s="78"/>
      <c r="W949" s="78"/>
    </row>
    <row r="950" ht="15.75" customHeight="1">
      <c r="A950" s="78"/>
      <c r="B950" s="78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7"/>
      <c r="N950" s="118"/>
      <c r="O950" s="118"/>
      <c r="P950" s="118"/>
      <c r="Q950" s="116"/>
      <c r="R950" s="116"/>
      <c r="S950" s="116"/>
      <c r="T950" s="78"/>
      <c r="U950" s="78"/>
      <c r="V950" s="78"/>
      <c r="W950" s="78"/>
    </row>
    <row r="951" ht="15.75" customHeight="1">
      <c r="A951" s="78"/>
      <c r="B951" s="78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7"/>
      <c r="N951" s="118"/>
      <c r="O951" s="118"/>
      <c r="P951" s="118"/>
      <c r="Q951" s="116"/>
      <c r="R951" s="116"/>
      <c r="S951" s="116"/>
      <c r="T951" s="78"/>
      <c r="U951" s="78"/>
      <c r="V951" s="78"/>
      <c r="W951" s="78"/>
    </row>
    <row r="952" ht="15.75" customHeight="1">
      <c r="A952" s="78"/>
      <c r="B952" s="78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7"/>
      <c r="N952" s="118"/>
      <c r="O952" s="118"/>
      <c r="P952" s="118"/>
      <c r="Q952" s="116"/>
      <c r="R952" s="116"/>
      <c r="S952" s="116"/>
      <c r="T952" s="78"/>
      <c r="U952" s="78"/>
      <c r="V952" s="78"/>
      <c r="W952" s="78"/>
    </row>
    <row r="953" ht="15.75" customHeight="1">
      <c r="A953" s="78"/>
      <c r="B953" s="78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7"/>
      <c r="N953" s="118"/>
      <c r="O953" s="118"/>
      <c r="P953" s="118"/>
      <c r="Q953" s="116"/>
      <c r="R953" s="116"/>
      <c r="S953" s="116"/>
      <c r="T953" s="78"/>
      <c r="U953" s="78"/>
      <c r="V953" s="78"/>
      <c r="W953" s="78"/>
    </row>
    <row r="954" ht="15.75" customHeight="1">
      <c r="A954" s="78"/>
      <c r="B954" s="78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7"/>
      <c r="N954" s="118"/>
      <c r="O954" s="118"/>
      <c r="P954" s="118"/>
      <c r="Q954" s="116"/>
      <c r="R954" s="116"/>
      <c r="S954" s="116"/>
      <c r="T954" s="78"/>
      <c r="U954" s="78"/>
      <c r="V954" s="78"/>
      <c r="W954" s="78"/>
    </row>
    <row r="955" ht="15.75" customHeight="1">
      <c r="A955" s="78"/>
      <c r="B955" s="78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7"/>
      <c r="N955" s="118"/>
      <c r="O955" s="118"/>
      <c r="P955" s="118"/>
      <c r="Q955" s="116"/>
      <c r="R955" s="116"/>
      <c r="S955" s="116"/>
      <c r="T955" s="78"/>
      <c r="U955" s="78"/>
      <c r="V955" s="78"/>
      <c r="W955" s="78"/>
    </row>
    <row r="956" ht="15.75" customHeight="1">
      <c r="A956" s="78"/>
      <c r="B956" s="78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7"/>
      <c r="N956" s="118"/>
      <c r="O956" s="118"/>
      <c r="P956" s="118"/>
      <c r="Q956" s="116"/>
      <c r="R956" s="116"/>
      <c r="S956" s="116"/>
      <c r="T956" s="78"/>
      <c r="U956" s="78"/>
      <c r="V956" s="78"/>
      <c r="W956" s="78"/>
    </row>
    <row r="957" ht="15.75" customHeight="1">
      <c r="A957" s="78"/>
      <c r="B957" s="78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7"/>
      <c r="N957" s="118"/>
      <c r="O957" s="118"/>
      <c r="P957" s="118"/>
      <c r="Q957" s="116"/>
      <c r="R957" s="116"/>
      <c r="S957" s="116"/>
      <c r="T957" s="78"/>
      <c r="U957" s="78"/>
      <c r="V957" s="78"/>
      <c r="W957" s="78"/>
    </row>
    <row r="958" ht="15.75" customHeight="1">
      <c r="A958" s="78"/>
      <c r="B958" s="78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7"/>
      <c r="N958" s="118"/>
      <c r="O958" s="118"/>
      <c r="P958" s="118"/>
      <c r="Q958" s="116"/>
      <c r="R958" s="116"/>
      <c r="S958" s="116"/>
      <c r="T958" s="78"/>
      <c r="U958" s="78"/>
      <c r="V958" s="78"/>
      <c r="W958" s="78"/>
    </row>
    <row r="959" ht="15.75" customHeight="1">
      <c r="A959" s="78"/>
      <c r="B959" s="78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7"/>
      <c r="N959" s="118"/>
      <c r="O959" s="118"/>
      <c r="P959" s="118"/>
      <c r="Q959" s="116"/>
      <c r="R959" s="116"/>
      <c r="S959" s="116"/>
      <c r="T959" s="78"/>
      <c r="U959" s="78"/>
      <c r="V959" s="78"/>
      <c r="W959" s="78"/>
    </row>
    <row r="960" ht="15.75" customHeight="1">
      <c r="A960" s="78"/>
      <c r="B960" s="78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7"/>
      <c r="N960" s="118"/>
      <c r="O960" s="118"/>
      <c r="P960" s="118"/>
      <c r="Q960" s="116"/>
      <c r="R960" s="116"/>
      <c r="S960" s="116"/>
      <c r="T960" s="78"/>
      <c r="U960" s="78"/>
      <c r="V960" s="78"/>
      <c r="W960" s="78"/>
    </row>
    <row r="961" ht="15.75" customHeight="1">
      <c r="A961" s="78"/>
      <c r="B961" s="78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7"/>
      <c r="N961" s="118"/>
      <c r="O961" s="118"/>
      <c r="P961" s="118"/>
      <c r="Q961" s="116"/>
      <c r="R961" s="116"/>
      <c r="S961" s="116"/>
      <c r="T961" s="78"/>
      <c r="U961" s="78"/>
      <c r="V961" s="78"/>
      <c r="W961" s="78"/>
    </row>
    <row r="962" ht="15.75" customHeight="1">
      <c r="A962" s="78"/>
      <c r="B962" s="78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7"/>
      <c r="N962" s="118"/>
      <c r="O962" s="118"/>
      <c r="P962" s="118"/>
      <c r="Q962" s="116"/>
      <c r="R962" s="116"/>
      <c r="S962" s="116"/>
      <c r="T962" s="78"/>
      <c r="U962" s="78"/>
      <c r="V962" s="78"/>
      <c r="W962" s="78"/>
    </row>
    <row r="963" ht="15.75" customHeight="1">
      <c r="A963" s="78"/>
      <c r="B963" s="78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7"/>
      <c r="N963" s="118"/>
      <c r="O963" s="118"/>
      <c r="P963" s="118"/>
      <c r="Q963" s="116"/>
      <c r="R963" s="116"/>
      <c r="S963" s="116"/>
      <c r="T963" s="78"/>
      <c r="U963" s="78"/>
      <c r="V963" s="78"/>
      <c r="W963" s="78"/>
    </row>
    <row r="964" ht="15.75" customHeight="1">
      <c r="A964" s="78"/>
      <c r="B964" s="78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7"/>
      <c r="N964" s="118"/>
      <c r="O964" s="118"/>
      <c r="P964" s="118"/>
      <c r="Q964" s="116"/>
      <c r="R964" s="116"/>
      <c r="S964" s="116"/>
      <c r="T964" s="78"/>
      <c r="U964" s="78"/>
      <c r="V964" s="78"/>
      <c r="W964" s="78"/>
    </row>
    <row r="965" ht="15.75" customHeight="1">
      <c r="A965" s="78"/>
      <c r="B965" s="78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7"/>
      <c r="N965" s="118"/>
      <c r="O965" s="118"/>
      <c r="P965" s="118"/>
      <c r="Q965" s="116"/>
      <c r="R965" s="116"/>
      <c r="S965" s="116"/>
      <c r="T965" s="78"/>
      <c r="U965" s="78"/>
      <c r="V965" s="78"/>
      <c r="W965" s="78"/>
    </row>
    <row r="966" ht="15.75" customHeight="1">
      <c r="A966" s="78"/>
      <c r="B966" s="78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7"/>
      <c r="N966" s="118"/>
      <c r="O966" s="118"/>
      <c r="P966" s="118"/>
      <c r="Q966" s="116"/>
      <c r="R966" s="116"/>
      <c r="S966" s="116"/>
      <c r="T966" s="78"/>
      <c r="U966" s="78"/>
      <c r="V966" s="78"/>
      <c r="W966" s="78"/>
    </row>
    <row r="967" ht="15.75" customHeight="1">
      <c r="A967" s="78"/>
      <c r="B967" s="78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7"/>
      <c r="N967" s="118"/>
      <c r="O967" s="118"/>
      <c r="P967" s="118"/>
      <c r="Q967" s="116"/>
      <c r="R967" s="116"/>
      <c r="S967" s="116"/>
      <c r="T967" s="78"/>
      <c r="U967" s="78"/>
      <c r="V967" s="78"/>
      <c r="W967" s="78"/>
    </row>
    <row r="968" ht="15.75" customHeight="1">
      <c r="A968" s="78"/>
      <c r="B968" s="78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7"/>
      <c r="N968" s="118"/>
      <c r="O968" s="118"/>
      <c r="P968" s="118"/>
      <c r="Q968" s="116"/>
      <c r="R968" s="116"/>
      <c r="S968" s="116"/>
      <c r="T968" s="78"/>
      <c r="U968" s="78"/>
      <c r="V968" s="78"/>
      <c r="W968" s="78"/>
    </row>
  </sheetData>
  <conditionalFormatting sqref="A2:V227">
    <cfRule type="containsBlanks" dxfId="6" priority="1">
      <formula>LEN(TRIM(A2))=0</formula>
    </cfRule>
  </conditionalFormatting>
  <conditionalFormatting sqref="A2:V227">
    <cfRule type="expression" dxfId="7" priority="2">
      <formula>$E:$E= 1</formula>
    </cfRule>
  </conditionalFormatting>
  <conditionalFormatting sqref="A2:V227">
    <cfRule type="expression" dxfId="8" priority="3">
      <formula>$D:$D= "planta permanente"</formula>
    </cfRule>
  </conditionalFormatting>
  <conditionalFormatting sqref="A2:V227">
    <cfRule type="expression" dxfId="9" priority="4">
      <formula>$D:$D = "planta transitoria"</formula>
    </cfRule>
  </conditionalFormatting>
  <dataValidations>
    <dataValidation type="custom" allowBlank="1" showDropDown="1" sqref="H2:H227 K2:K227">
      <formula1>OR(NOT(ISERROR(DATEVALUE(H2))), AND(ISNUMBER(H2), LEFT(CELL("format", H2))="D"))</formula1>
    </dataValidation>
    <dataValidation type="custom" allowBlank="1" showDropDown="1" sqref="M2:Q227">
      <formula1>AND(ISNUMBER(M2),(NOT(OR(NOT(ISERROR(DATEVALUE(M2))), AND(ISNUMBER(M2), LEFT(CELL("format", M2))="D")))))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8.57"/>
    <col customWidth="1" min="3" max="3" width="18.71"/>
    <col customWidth="1" min="5" max="5" width="11.71"/>
    <col customWidth="1" min="6" max="6" width="34.71"/>
    <col customWidth="1" min="11" max="11" width="23.71"/>
    <col customWidth="1" min="16" max="16" width="38.71"/>
    <col customWidth="1" min="20" max="20" width="17.43"/>
  </cols>
  <sheetData>
    <row r="1">
      <c r="A1" s="120"/>
      <c r="B1" s="120" t="s">
        <v>23</v>
      </c>
      <c r="C1" s="120" t="s">
        <v>24</v>
      </c>
      <c r="D1" s="121">
        <v>3.1963497E7</v>
      </c>
      <c r="E1" s="120">
        <v>1.156294264E9</v>
      </c>
      <c r="F1" s="121" t="s">
        <v>33</v>
      </c>
      <c r="G1" s="121" t="s">
        <v>25</v>
      </c>
      <c r="H1" s="121" t="s">
        <v>26</v>
      </c>
      <c r="I1" s="121" t="s">
        <v>31</v>
      </c>
      <c r="J1" s="122">
        <v>0.0</v>
      </c>
      <c r="K1" s="121" t="s">
        <v>27</v>
      </c>
      <c r="L1" s="121">
        <v>1439.0</v>
      </c>
      <c r="M1" s="121" t="s">
        <v>28</v>
      </c>
      <c r="N1" s="121" t="s">
        <v>32</v>
      </c>
      <c r="O1" s="121" t="s">
        <v>29</v>
      </c>
      <c r="P1" s="121" t="s">
        <v>30</v>
      </c>
      <c r="Q1" s="121">
        <v>444.0</v>
      </c>
      <c r="R1" s="61" t="s">
        <v>1147</v>
      </c>
      <c r="S1" s="122">
        <v>42948.0</v>
      </c>
      <c r="T1" s="121" t="s">
        <v>659</v>
      </c>
    </row>
    <row r="2">
      <c r="A2" s="120"/>
      <c r="B2" s="120" t="s">
        <v>34</v>
      </c>
      <c r="C2" s="120" t="s">
        <v>41</v>
      </c>
      <c r="D2" s="121">
        <v>3.8184089E7</v>
      </c>
      <c r="E2" s="121">
        <v>1.12719178E9</v>
      </c>
      <c r="G2" s="121" t="s">
        <v>25</v>
      </c>
      <c r="H2" s="121" t="s">
        <v>26</v>
      </c>
      <c r="I2" s="61" t="s">
        <v>57</v>
      </c>
      <c r="J2" s="122">
        <v>0.0</v>
      </c>
      <c r="K2" s="61" t="s">
        <v>1147</v>
      </c>
      <c r="L2" s="61" t="s">
        <v>1147</v>
      </c>
      <c r="M2" s="61" t="s">
        <v>1147</v>
      </c>
      <c r="N2" s="121" t="s">
        <v>32</v>
      </c>
      <c r="O2" s="61" t="s">
        <v>1147</v>
      </c>
      <c r="P2" s="61" t="s">
        <v>1147</v>
      </c>
      <c r="Q2" s="121">
        <v>2914.0</v>
      </c>
      <c r="R2" s="61" t="s">
        <v>1147</v>
      </c>
      <c r="S2" s="122">
        <v>45112.0</v>
      </c>
      <c r="T2" s="121" t="s">
        <v>659</v>
      </c>
    </row>
    <row r="3">
      <c r="A3" s="120"/>
      <c r="B3" s="120" t="s">
        <v>42</v>
      </c>
      <c r="C3" s="120" t="s">
        <v>43</v>
      </c>
      <c r="D3" s="121">
        <v>3.8894668E7</v>
      </c>
      <c r="E3" s="121">
        <v>1.153205634E9</v>
      </c>
      <c r="F3" s="121" t="s">
        <v>44</v>
      </c>
      <c r="G3" s="121" t="s">
        <v>25</v>
      </c>
      <c r="H3" s="121" t="s">
        <v>26</v>
      </c>
      <c r="I3" s="61" t="s">
        <v>57</v>
      </c>
      <c r="J3" s="122">
        <v>34752.0</v>
      </c>
      <c r="K3" s="61" t="s">
        <v>1147</v>
      </c>
      <c r="L3" s="61" t="s">
        <v>1147</v>
      </c>
      <c r="M3" s="61" t="s">
        <v>1147</v>
      </c>
      <c r="N3" s="121" t="s">
        <v>32</v>
      </c>
      <c r="O3" s="61" t="s">
        <v>1147</v>
      </c>
      <c r="P3" s="61" t="s">
        <v>1147</v>
      </c>
      <c r="Q3" s="121">
        <v>2238.0</v>
      </c>
      <c r="R3" s="61" t="s">
        <v>1147</v>
      </c>
      <c r="S3" s="122">
        <v>45031.0</v>
      </c>
      <c r="T3" s="121" t="s">
        <v>659</v>
      </c>
    </row>
    <row r="4">
      <c r="A4" s="120"/>
      <c r="B4" s="120" t="s">
        <v>45</v>
      </c>
      <c r="C4" s="120" t="s">
        <v>46</v>
      </c>
      <c r="D4" s="121">
        <v>3.9114453E7</v>
      </c>
      <c r="E4" s="120">
        <v>1.133985337E9</v>
      </c>
      <c r="F4" s="121" t="s">
        <v>47</v>
      </c>
      <c r="G4" s="121" t="s">
        <v>25</v>
      </c>
      <c r="H4" s="121" t="s">
        <v>26</v>
      </c>
      <c r="I4" s="61" t="s">
        <v>57</v>
      </c>
      <c r="J4" s="122">
        <v>34957.0</v>
      </c>
      <c r="K4" s="61" t="s">
        <v>1147</v>
      </c>
      <c r="L4" s="61" t="s">
        <v>1147</v>
      </c>
      <c r="M4" s="61" t="s">
        <v>1147</v>
      </c>
      <c r="N4" s="121" t="s">
        <v>32</v>
      </c>
      <c r="O4" s="61" t="s">
        <v>1147</v>
      </c>
      <c r="P4" s="61" t="s">
        <v>1147</v>
      </c>
      <c r="Q4" s="121">
        <v>1572.0</v>
      </c>
      <c r="R4" s="61" t="s">
        <v>1147</v>
      </c>
      <c r="S4" s="122">
        <v>43500.0</v>
      </c>
      <c r="T4" s="121" t="s">
        <v>659</v>
      </c>
    </row>
    <row r="5">
      <c r="A5" s="120"/>
      <c r="B5" s="120" t="s">
        <v>51</v>
      </c>
      <c r="C5" s="120" t="s">
        <v>52</v>
      </c>
      <c r="D5" s="121">
        <v>4.2012262E7</v>
      </c>
      <c r="E5" s="121">
        <v>1.128788904E9</v>
      </c>
      <c r="F5" s="121" t="s">
        <v>53</v>
      </c>
      <c r="G5" s="121" t="s">
        <v>25</v>
      </c>
      <c r="H5" s="121" t="s">
        <v>26</v>
      </c>
      <c r="I5" s="61" t="s">
        <v>57</v>
      </c>
      <c r="J5" s="122">
        <v>36322.0</v>
      </c>
      <c r="K5" s="61" t="s">
        <v>1147</v>
      </c>
      <c r="L5" s="61" t="s">
        <v>1147</v>
      </c>
      <c r="M5" s="121" t="s">
        <v>28</v>
      </c>
      <c r="N5" s="121" t="s">
        <v>32</v>
      </c>
      <c r="O5" s="121" t="s">
        <v>37</v>
      </c>
      <c r="P5" s="61" t="s">
        <v>1147</v>
      </c>
      <c r="Q5" s="121">
        <v>2166.0</v>
      </c>
      <c r="R5" s="61" t="s">
        <v>1147</v>
      </c>
      <c r="S5" s="122">
        <v>0.0</v>
      </c>
      <c r="T5" s="121" t="s">
        <v>659</v>
      </c>
    </row>
    <row r="6">
      <c r="A6" s="120"/>
      <c r="B6" s="120" t="s">
        <v>54</v>
      </c>
      <c r="C6" s="120" t="s">
        <v>55</v>
      </c>
      <c r="D6" s="121">
        <v>3.3155103E7</v>
      </c>
      <c r="E6" s="120">
        <v>1.165037377E9</v>
      </c>
      <c r="F6" s="121" t="s">
        <v>58</v>
      </c>
      <c r="G6" s="121" t="s">
        <v>25</v>
      </c>
      <c r="H6" s="121" t="s">
        <v>26</v>
      </c>
      <c r="I6" s="121" t="s">
        <v>57</v>
      </c>
      <c r="J6" s="122">
        <v>31961.0</v>
      </c>
      <c r="K6" s="61" t="s">
        <v>1147</v>
      </c>
      <c r="L6" s="121">
        <v>1406.0</v>
      </c>
      <c r="M6" s="121" t="s">
        <v>28</v>
      </c>
      <c r="N6" s="121" t="s">
        <v>32</v>
      </c>
      <c r="O6" s="121" t="s">
        <v>29</v>
      </c>
      <c r="P6" s="121" t="s">
        <v>56</v>
      </c>
      <c r="Q6" s="121">
        <v>1023.0</v>
      </c>
      <c r="R6" s="61" t="s">
        <v>1147</v>
      </c>
      <c r="S6" s="122">
        <v>42948.0</v>
      </c>
      <c r="T6" s="121" t="s">
        <v>659</v>
      </c>
    </row>
    <row r="7">
      <c r="A7" s="120"/>
      <c r="B7" s="120" t="s">
        <v>59</v>
      </c>
      <c r="C7" s="120" t="s">
        <v>60</v>
      </c>
      <c r="D7" s="121">
        <v>3.5538835E7</v>
      </c>
      <c r="E7" s="121">
        <v>1.165851734E9</v>
      </c>
      <c r="F7" s="121" t="s">
        <v>66</v>
      </c>
      <c r="G7" s="121" t="s">
        <v>61</v>
      </c>
      <c r="H7" s="121" t="s">
        <v>62</v>
      </c>
      <c r="I7" s="121" t="s">
        <v>64</v>
      </c>
      <c r="J7" s="122">
        <v>33586.0</v>
      </c>
      <c r="K7" s="121" t="s">
        <v>63</v>
      </c>
      <c r="L7" s="121">
        <v>1778.0</v>
      </c>
      <c r="M7" s="121" t="s">
        <v>28</v>
      </c>
      <c r="N7" s="121" t="s">
        <v>65</v>
      </c>
      <c r="O7" s="121" t="s">
        <v>37</v>
      </c>
      <c r="P7" s="61" t="s">
        <v>1147</v>
      </c>
      <c r="Q7" s="121">
        <v>1025.0</v>
      </c>
      <c r="R7" s="61" t="s">
        <v>1147</v>
      </c>
      <c r="S7" s="122">
        <v>0.0</v>
      </c>
      <c r="T7" s="121" t="s">
        <v>659</v>
      </c>
    </row>
    <row r="8">
      <c r="A8" s="120"/>
      <c r="B8" s="120" t="s">
        <v>67</v>
      </c>
      <c r="C8" s="120" t="s">
        <v>68</v>
      </c>
      <c r="D8" s="121">
        <v>9.3996095E7</v>
      </c>
      <c r="E8" s="120">
        <v>1.128666648E9</v>
      </c>
      <c r="F8" s="121" t="s">
        <v>72</v>
      </c>
      <c r="G8" s="121" t="s">
        <v>69</v>
      </c>
      <c r="H8" s="121" t="s">
        <v>26</v>
      </c>
      <c r="I8" s="121" t="s">
        <v>57</v>
      </c>
      <c r="J8" s="122">
        <v>28260.0</v>
      </c>
      <c r="K8" s="121" t="s">
        <v>70</v>
      </c>
      <c r="L8" s="121">
        <v>1439.0</v>
      </c>
      <c r="M8" s="121" t="s">
        <v>28</v>
      </c>
      <c r="N8" s="121" t="s">
        <v>32</v>
      </c>
      <c r="O8" s="121" t="s">
        <v>29</v>
      </c>
      <c r="P8" s="121" t="s">
        <v>71</v>
      </c>
      <c r="Q8" s="121">
        <v>754.0</v>
      </c>
      <c r="R8" s="61" t="s">
        <v>1147</v>
      </c>
      <c r="S8" s="122">
        <v>42948.0</v>
      </c>
      <c r="T8" s="121" t="s">
        <v>659</v>
      </c>
    </row>
    <row r="9">
      <c r="A9" s="120"/>
      <c r="B9" s="120" t="s">
        <v>73</v>
      </c>
      <c r="C9" s="120" t="s">
        <v>74</v>
      </c>
      <c r="D9" s="121">
        <v>9.4842492E7</v>
      </c>
      <c r="E9" s="120">
        <v>1.154169265E9</v>
      </c>
      <c r="F9" s="121" t="s">
        <v>80</v>
      </c>
      <c r="G9" s="121" t="s">
        <v>75</v>
      </c>
      <c r="H9" s="121" t="s">
        <v>26</v>
      </c>
      <c r="I9" s="121" t="s">
        <v>57</v>
      </c>
      <c r="J9" s="122">
        <v>33484.0</v>
      </c>
      <c r="K9" s="121" t="s">
        <v>76</v>
      </c>
      <c r="L9" s="121">
        <v>1164.0</v>
      </c>
      <c r="M9" s="121" t="s">
        <v>77</v>
      </c>
      <c r="N9" s="121" t="s">
        <v>32</v>
      </c>
      <c r="O9" s="121" t="s">
        <v>78</v>
      </c>
      <c r="P9" s="121" t="s">
        <v>79</v>
      </c>
      <c r="Q9" s="121">
        <v>527.0</v>
      </c>
      <c r="R9" s="61" t="s">
        <v>1147</v>
      </c>
      <c r="S9" s="122">
        <v>0.0</v>
      </c>
      <c r="T9" s="121" t="s">
        <v>659</v>
      </c>
    </row>
    <row r="10">
      <c r="A10" s="120"/>
      <c r="B10" s="120" t="s">
        <v>81</v>
      </c>
      <c r="C10" s="120" t="s">
        <v>82</v>
      </c>
      <c r="D10" s="121">
        <v>9.5102089E7</v>
      </c>
      <c r="E10" s="120">
        <v>1.150420061E9</v>
      </c>
      <c r="F10" s="121" t="s">
        <v>86</v>
      </c>
      <c r="G10" s="121" t="s">
        <v>83</v>
      </c>
      <c r="H10" s="121" t="s">
        <v>26</v>
      </c>
      <c r="I10" s="121" t="s">
        <v>85</v>
      </c>
      <c r="J10" s="122">
        <v>27698.0</v>
      </c>
      <c r="K10" s="121" t="s">
        <v>84</v>
      </c>
      <c r="L10" s="121">
        <v>1434.0</v>
      </c>
      <c r="M10" s="121" t="s">
        <v>28</v>
      </c>
      <c r="N10" s="121" t="s">
        <v>32</v>
      </c>
      <c r="O10" s="121" t="s">
        <v>78</v>
      </c>
      <c r="P10" s="61" t="s">
        <v>1147</v>
      </c>
      <c r="Q10" s="121">
        <v>560.0</v>
      </c>
      <c r="R10" s="61" t="s">
        <v>1147</v>
      </c>
      <c r="S10" s="122">
        <v>42887.0</v>
      </c>
      <c r="T10" s="121" t="s">
        <v>659</v>
      </c>
    </row>
    <row r="11">
      <c r="A11" s="120"/>
      <c r="B11" s="120" t="s">
        <v>87</v>
      </c>
      <c r="C11" s="120" t="s">
        <v>88</v>
      </c>
      <c r="D11" s="121">
        <v>9.5189729E7</v>
      </c>
      <c r="E11" s="120">
        <v>1.124936411E9</v>
      </c>
      <c r="F11" s="121" t="s">
        <v>90</v>
      </c>
      <c r="G11" s="121" t="s">
        <v>69</v>
      </c>
      <c r="H11" s="121" t="s">
        <v>26</v>
      </c>
      <c r="I11" s="121" t="s">
        <v>57</v>
      </c>
      <c r="J11" s="122">
        <v>30644.0</v>
      </c>
      <c r="K11" s="121" t="s">
        <v>89</v>
      </c>
      <c r="L11" s="61" t="s">
        <v>1147</v>
      </c>
      <c r="M11" s="61" t="s">
        <v>1147</v>
      </c>
      <c r="N11" s="121" t="s">
        <v>32</v>
      </c>
      <c r="O11" s="121" t="s">
        <v>37</v>
      </c>
      <c r="P11" s="61" t="s">
        <v>1147</v>
      </c>
      <c r="Q11" s="121">
        <v>909.0</v>
      </c>
      <c r="R11" s="61" t="s">
        <v>1147</v>
      </c>
      <c r="S11" s="122">
        <v>42948.0</v>
      </c>
      <c r="T11" s="121" t="s">
        <v>659</v>
      </c>
    </row>
    <row r="12">
      <c r="A12" s="120"/>
      <c r="B12" s="120" t="s">
        <v>91</v>
      </c>
      <c r="C12" s="120" t="s">
        <v>92</v>
      </c>
      <c r="D12" s="121">
        <v>2.0009014E7</v>
      </c>
      <c r="E12" s="121">
        <v>1.144937482E9</v>
      </c>
      <c r="G12" s="121" t="s">
        <v>25</v>
      </c>
      <c r="H12" s="121" t="s">
        <v>26</v>
      </c>
      <c r="I12" s="121" t="s">
        <v>31</v>
      </c>
      <c r="J12" s="122">
        <v>24856.0</v>
      </c>
      <c r="K12" s="121" t="s">
        <v>93</v>
      </c>
      <c r="L12" s="121">
        <v>1431.0</v>
      </c>
      <c r="M12" s="121" t="s">
        <v>28</v>
      </c>
      <c r="N12" s="121" t="s">
        <v>32</v>
      </c>
      <c r="O12" s="121" t="s">
        <v>78</v>
      </c>
      <c r="P12" s="121" t="s">
        <v>94</v>
      </c>
      <c r="Q12" s="121">
        <v>2777.0</v>
      </c>
      <c r="R12" s="61" t="s">
        <v>1147</v>
      </c>
      <c r="S12" s="122">
        <v>45111.0</v>
      </c>
      <c r="T12" s="121" t="s">
        <v>659</v>
      </c>
    </row>
    <row r="13">
      <c r="A13" s="120"/>
      <c r="B13" s="120" t="s">
        <v>95</v>
      </c>
      <c r="C13" s="120" t="s">
        <v>96</v>
      </c>
      <c r="D13" s="121">
        <v>2.9635937E7</v>
      </c>
      <c r="E13" s="121">
        <v>1.141697938E9</v>
      </c>
      <c r="F13" s="121" t="s">
        <v>100</v>
      </c>
      <c r="G13" s="121" t="s">
        <v>25</v>
      </c>
      <c r="H13" s="121" t="s">
        <v>97</v>
      </c>
      <c r="I13" s="121" t="s">
        <v>57</v>
      </c>
      <c r="J13" s="122">
        <v>30139.0</v>
      </c>
      <c r="K13" s="121" t="s">
        <v>98</v>
      </c>
      <c r="L13" s="121">
        <v>1752.0</v>
      </c>
      <c r="M13" s="121" t="s">
        <v>28</v>
      </c>
      <c r="N13" s="121" t="s">
        <v>99</v>
      </c>
      <c r="O13" s="121" t="s">
        <v>37</v>
      </c>
      <c r="P13" s="61" t="s">
        <v>1147</v>
      </c>
      <c r="Q13" s="121">
        <v>1931.0</v>
      </c>
      <c r="R13" s="61" t="s">
        <v>1147</v>
      </c>
      <c r="S13" s="122">
        <v>44683.0</v>
      </c>
      <c r="T13" s="121" t="s">
        <v>659</v>
      </c>
    </row>
    <row r="14">
      <c r="A14" s="120"/>
      <c r="B14" s="120" t="s">
        <v>101</v>
      </c>
      <c r="C14" s="120" t="s">
        <v>102</v>
      </c>
      <c r="D14" s="121">
        <v>3.9471585E7</v>
      </c>
      <c r="E14" s="121">
        <v>1.151781882E9</v>
      </c>
      <c r="F14" s="121" t="s">
        <v>106</v>
      </c>
      <c r="G14" s="121" t="s">
        <v>25</v>
      </c>
      <c r="H14" s="121" t="s">
        <v>26</v>
      </c>
      <c r="I14" s="121" t="s">
        <v>57</v>
      </c>
      <c r="J14" s="122">
        <v>35096.0</v>
      </c>
      <c r="K14" s="121" t="s">
        <v>103</v>
      </c>
      <c r="L14" s="121">
        <v>1704.0</v>
      </c>
      <c r="M14" s="121" t="s">
        <v>28</v>
      </c>
      <c r="N14" s="121" t="s">
        <v>105</v>
      </c>
      <c r="O14" s="121" t="s">
        <v>37</v>
      </c>
      <c r="P14" s="121" t="s">
        <v>104</v>
      </c>
      <c r="Q14" s="121">
        <v>2450.0</v>
      </c>
      <c r="R14" s="61" t="s">
        <v>1147</v>
      </c>
      <c r="S14" s="122">
        <v>45049.0</v>
      </c>
      <c r="T14" s="121" t="s">
        <v>659</v>
      </c>
    </row>
    <row r="15">
      <c r="A15" s="120"/>
      <c r="B15" s="120" t="s">
        <v>107</v>
      </c>
      <c r="C15" s="120" t="s">
        <v>108</v>
      </c>
      <c r="D15" s="121">
        <v>4.3817038E7</v>
      </c>
      <c r="E15" s="120">
        <v>1.1381749E9</v>
      </c>
      <c r="F15" s="121" t="s">
        <v>112</v>
      </c>
      <c r="G15" s="121" t="s">
        <v>25</v>
      </c>
      <c r="H15" s="121" t="s">
        <v>97</v>
      </c>
      <c r="I15" s="121" t="s">
        <v>57</v>
      </c>
      <c r="J15" s="122">
        <v>37370.0</v>
      </c>
      <c r="K15" s="121" t="s">
        <v>109</v>
      </c>
      <c r="L15" s="121">
        <v>1439.0</v>
      </c>
      <c r="M15" s="121" t="s">
        <v>28</v>
      </c>
      <c r="N15" s="121" t="s">
        <v>111</v>
      </c>
      <c r="O15" s="121" t="s">
        <v>110</v>
      </c>
      <c r="P15" s="61" t="s">
        <v>1147</v>
      </c>
      <c r="Q15" s="121">
        <v>1850.0</v>
      </c>
      <c r="R15" s="61" t="s">
        <v>1147</v>
      </c>
      <c r="S15" s="122">
        <v>44256.0</v>
      </c>
      <c r="T15" s="121" t="s">
        <v>659</v>
      </c>
    </row>
    <row r="16">
      <c r="A16" s="120"/>
      <c r="B16" s="120" t="s">
        <v>1171</v>
      </c>
      <c r="C16" s="120" t="s">
        <v>114</v>
      </c>
      <c r="D16" s="121">
        <v>4.4486458E7</v>
      </c>
      <c r="E16" s="121">
        <v>1.154166856E9</v>
      </c>
      <c r="F16" s="121" t="s">
        <v>118</v>
      </c>
      <c r="G16" s="121" t="s">
        <v>25</v>
      </c>
      <c r="H16" s="121" t="s">
        <v>26</v>
      </c>
      <c r="I16" s="121" t="s">
        <v>57</v>
      </c>
      <c r="J16" s="122">
        <v>0.0</v>
      </c>
      <c r="K16" s="121" t="s">
        <v>115</v>
      </c>
      <c r="L16" s="121">
        <v>1437.0</v>
      </c>
      <c r="M16" s="121" t="s">
        <v>28</v>
      </c>
      <c r="N16" s="121" t="s">
        <v>117</v>
      </c>
      <c r="O16" s="121" t="s">
        <v>37</v>
      </c>
      <c r="P16" s="121" t="s">
        <v>116</v>
      </c>
      <c r="Q16" s="121">
        <v>3069.0</v>
      </c>
      <c r="R16" s="61" t="s">
        <v>1147</v>
      </c>
      <c r="S16" s="122">
        <v>0.0</v>
      </c>
      <c r="T16" s="121" t="s">
        <v>659</v>
      </c>
    </row>
    <row r="17">
      <c r="A17" s="120"/>
      <c r="B17" s="120" t="s">
        <v>119</v>
      </c>
      <c r="C17" s="120" t="s">
        <v>120</v>
      </c>
      <c r="D17" s="121">
        <v>3.668592E7</v>
      </c>
      <c r="E17" s="121">
        <v>1.137817717E9</v>
      </c>
      <c r="F17" s="121" t="s">
        <v>124</v>
      </c>
      <c r="G17" s="121" t="s">
        <v>61</v>
      </c>
      <c r="H17" s="121" t="s">
        <v>62</v>
      </c>
      <c r="I17" s="121" t="s">
        <v>64</v>
      </c>
      <c r="J17" s="122">
        <v>0.0</v>
      </c>
      <c r="K17" s="121" t="s">
        <v>121</v>
      </c>
      <c r="L17" s="121">
        <v>1439.0</v>
      </c>
      <c r="M17" s="121" t="s">
        <v>28</v>
      </c>
      <c r="N17" s="121" t="s">
        <v>123</v>
      </c>
      <c r="O17" s="121" t="s">
        <v>37</v>
      </c>
      <c r="P17" s="121" t="s">
        <v>122</v>
      </c>
      <c r="Q17" s="121">
        <v>3133.0</v>
      </c>
      <c r="R17" s="61" t="s">
        <v>1147</v>
      </c>
      <c r="S17" s="122">
        <v>44927.0</v>
      </c>
      <c r="T17" s="121" t="s">
        <v>659</v>
      </c>
    </row>
    <row r="18">
      <c r="A18" s="120"/>
      <c r="B18" s="120" t="s">
        <v>130</v>
      </c>
      <c r="C18" s="120" t="s">
        <v>131</v>
      </c>
      <c r="D18" s="121">
        <v>3.1896263E7</v>
      </c>
      <c r="E18" s="121">
        <v>1.140450018E9</v>
      </c>
      <c r="F18" s="121" t="s">
        <v>134</v>
      </c>
      <c r="G18" s="121" t="s">
        <v>61</v>
      </c>
      <c r="H18" s="121" t="s">
        <v>62</v>
      </c>
      <c r="I18" s="121" t="s">
        <v>64</v>
      </c>
      <c r="J18" s="122">
        <v>31465.0</v>
      </c>
      <c r="K18" s="121" t="s">
        <v>132</v>
      </c>
      <c r="L18" s="121">
        <v>1407.0</v>
      </c>
      <c r="M18" s="121" t="s">
        <v>28</v>
      </c>
      <c r="N18" s="121" t="s">
        <v>32</v>
      </c>
      <c r="O18" s="121" t="s">
        <v>37</v>
      </c>
      <c r="P18" s="121" t="s">
        <v>133</v>
      </c>
      <c r="Q18" s="121">
        <v>2323.0</v>
      </c>
      <c r="R18" s="61" t="s">
        <v>1147</v>
      </c>
      <c r="S18" s="122">
        <v>45017.0</v>
      </c>
      <c r="T18" s="121" t="s">
        <v>659</v>
      </c>
    </row>
    <row r="19">
      <c r="A19" s="120"/>
      <c r="B19" s="120" t="s">
        <v>135</v>
      </c>
      <c r="C19" s="120" t="s">
        <v>136</v>
      </c>
      <c r="D19" s="121">
        <v>3.2554313E7</v>
      </c>
      <c r="E19" s="120">
        <v>1.16034113E9</v>
      </c>
      <c r="F19" s="121" t="s">
        <v>140</v>
      </c>
      <c r="G19" s="121" t="s">
        <v>25</v>
      </c>
      <c r="H19" s="121" t="s">
        <v>26</v>
      </c>
      <c r="I19" s="121" t="s">
        <v>139</v>
      </c>
      <c r="J19" s="122">
        <v>31644.0</v>
      </c>
      <c r="K19" s="121" t="s">
        <v>137</v>
      </c>
      <c r="L19" s="121">
        <v>1407.0</v>
      </c>
      <c r="M19" s="121" t="s">
        <v>28</v>
      </c>
      <c r="N19" s="121" t="s">
        <v>32</v>
      </c>
      <c r="O19" s="121" t="s">
        <v>78</v>
      </c>
      <c r="P19" s="121" t="s">
        <v>138</v>
      </c>
      <c r="Q19" s="121">
        <v>1444.0</v>
      </c>
      <c r="R19" s="61" t="s">
        <v>1147</v>
      </c>
      <c r="S19" s="122">
        <v>43252.0</v>
      </c>
      <c r="T19" s="121" t="s">
        <v>659</v>
      </c>
    </row>
    <row r="20">
      <c r="A20" s="120"/>
      <c r="B20" s="120" t="s">
        <v>147</v>
      </c>
      <c r="C20" s="120" t="s">
        <v>148</v>
      </c>
      <c r="D20" s="121">
        <v>3.1302984E7</v>
      </c>
      <c r="E20" s="121">
        <v>1.130700402E9</v>
      </c>
      <c r="F20" s="121" t="s">
        <v>152</v>
      </c>
      <c r="G20" s="121" t="s">
        <v>25</v>
      </c>
      <c r="H20" s="121" t="s">
        <v>26</v>
      </c>
      <c r="I20" s="121" t="s">
        <v>57</v>
      </c>
      <c r="J20" s="122">
        <v>30966.0</v>
      </c>
      <c r="K20" s="121" t="s">
        <v>149</v>
      </c>
      <c r="L20" s="121">
        <v>1757.0</v>
      </c>
      <c r="M20" s="121" t="s">
        <v>28</v>
      </c>
      <c r="N20" s="121" t="s">
        <v>151</v>
      </c>
      <c r="O20" s="121" t="s">
        <v>37</v>
      </c>
      <c r="P20" s="121" t="s">
        <v>150</v>
      </c>
      <c r="Q20" s="121">
        <v>1142.0</v>
      </c>
      <c r="R20" s="61" t="s">
        <v>1147</v>
      </c>
      <c r="S20" s="122">
        <v>0.0</v>
      </c>
      <c r="T20" s="121" t="s">
        <v>659</v>
      </c>
    </row>
    <row r="21">
      <c r="A21" s="120"/>
      <c r="B21" s="120" t="s">
        <v>153</v>
      </c>
      <c r="C21" s="120" t="s">
        <v>1172</v>
      </c>
      <c r="D21" s="121">
        <v>3.442385E7</v>
      </c>
      <c r="E21" s="120">
        <v>1.144171447E9</v>
      </c>
      <c r="F21" s="121" t="s">
        <v>156</v>
      </c>
      <c r="G21" s="121" t="s">
        <v>25</v>
      </c>
      <c r="H21" s="121" t="s">
        <v>26</v>
      </c>
      <c r="I21" s="121" t="s">
        <v>57</v>
      </c>
      <c r="J21" s="122">
        <v>32546.0</v>
      </c>
      <c r="K21" s="121" t="s">
        <v>155</v>
      </c>
      <c r="L21" s="121">
        <v>1440.0</v>
      </c>
      <c r="M21" s="121" t="s">
        <v>28</v>
      </c>
      <c r="N21" s="121" t="s">
        <v>32</v>
      </c>
      <c r="O21" s="121" t="s">
        <v>37</v>
      </c>
      <c r="P21" s="61" t="s">
        <v>1147</v>
      </c>
      <c r="Q21" s="121">
        <v>1591.0</v>
      </c>
      <c r="R21" s="61" t="s">
        <v>1147</v>
      </c>
      <c r="S21" s="122">
        <v>43466.0</v>
      </c>
      <c r="T21" s="121" t="s">
        <v>659</v>
      </c>
    </row>
    <row r="22">
      <c r="A22" s="120"/>
      <c r="B22" s="120" t="s">
        <v>162</v>
      </c>
      <c r="C22" s="120" t="s">
        <v>163</v>
      </c>
      <c r="D22" s="121">
        <v>4.324163E7</v>
      </c>
      <c r="E22" s="121">
        <v>1.173662195E9</v>
      </c>
      <c r="F22" s="121" t="s">
        <v>165</v>
      </c>
      <c r="G22" s="121" t="s">
        <v>61</v>
      </c>
      <c r="H22" s="121" t="s">
        <v>62</v>
      </c>
      <c r="I22" s="121" t="s">
        <v>64</v>
      </c>
      <c r="J22" s="122">
        <v>37013.0</v>
      </c>
      <c r="K22" s="121" t="s">
        <v>164</v>
      </c>
      <c r="L22" s="121">
        <v>1439.0</v>
      </c>
      <c r="M22" s="121" t="s">
        <v>28</v>
      </c>
      <c r="N22" s="121" t="s">
        <v>123</v>
      </c>
      <c r="O22" s="121" t="s">
        <v>37</v>
      </c>
      <c r="P22" s="61" t="s">
        <v>1147</v>
      </c>
      <c r="Q22" s="121">
        <v>2713.0</v>
      </c>
      <c r="R22" s="61" t="s">
        <v>1147</v>
      </c>
      <c r="S22" s="122">
        <v>45078.0</v>
      </c>
      <c r="T22" s="121" t="s">
        <v>659</v>
      </c>
    </row>
    <row r="23">
      <c r="A23" s="120"/>
      <c r="B23" s="120" t="s">
        <v>166</v>
      </c>
      <c r="C23" s="120" t="s">
        <v>167</v>
      </c>
      <c r="D23" s="121">
        <v>3.0440348E7</v>
      </c>
      <c r="E23" s="121">
        <v>1.160234773E9</v>
      </c>
      <c r="F23" s="121" t="s">
        <v>171</v>
      </c>
      <c r="G23" s="121" t="s">
        <v>25</v>
      </c>
      <c r="H23" s="121" t="s">
        <v>26</v>
      </c>
      <c r="I23" s="121" t="s">
        <v>31</v>
      </c>
      <c r="J23" s="122">
        <v>27746.0</v>
      </c>
      <c r="K23" s="121" t="s">
        <v>168</v>
      </c>
      <c r="L23" s="121">
        <v>1770.0</v>
      </c>
      <c r="M23" s="121" t="s">
        <v>28</v>
      </c>
      <c r="N23" s="121" t="s">
        <v>170</v>
      </c>
      <c r="O23" s="121" t="s">
        <v>78</v>
      </c>
      <c r="P23" s="121" t="s">
        <v>169</v>
      </c>
      <c r="Q23" s="121">
        <v>766.0</v>
      </c>
      <c r="R23" s="61" t="s">
        <v>1147</v>
      </c>
      <c r="S23" s="122">
        <v>42736.0</v>
      </c>
      <c r="T23" s="121" t="s">
        <v>659</v>
      </c>
    </row>
    <row r="24">
      <c r="A24" s="120"/>
      <c r="B24" s="120" t="s">
        <v>178</v>
      </c>
      <c r="C24" s="120" t="s">
        <v>179</v>
      </c>
      <c r="D24" s="121">
        <v>4.0873767E7</v>
      </c>
      <c r="E24" s="120">
        <v>1.140554236E9</v>
      </c>
      <c r="F24" s="121" t="s">
        <v>182</v>
      </c>
      <c r="G24" s="121" t="s">
        <v>25</v>
      </c>
      <c r="H24" s="121" t="s">
        <v>26</v>
      </c>
      <c r="I24" s="121" t="s">
        <v>57</v>
      </c>
      <c r="J24" s="122">
        <v>32635.0</v>
      </c>
      <c r="K24" s="121" t="s">
        <v>180</v>
      </c>
      <c r="L24" s="121">
        <v>1832.0</v>
      </c>
      <c r="M24" s="121" t="s">
        <v>28</v>
      </c>
      <c r="N24" s="121" t="s">
        <v>181</v>
      </c>
      <c r="O24" s="121" t="s">
        <v>37</v>
      </c>
      <c r="P24" s="61" t="s">
        <v>1147</v>
      </c>
      <c r="Q24" s="121">
        <v>2376.0</v>
      </c>
      <c r="R24" s="61" t="s">
        <v>1147</v>
      </c>
      <c r="S24" s="122">
        <v>45020.0</v>
      </c>
      <c r="T24" s="121" t="s">
        <v>659</v>
      </c>
    </row>
    <row r="25">
      <c r="A25" s="120"/>
      <c r="B25" s="120" t="s">
        <v>183</v>
      </c>
      <c r="C25" s="120" t="s">
        <v>184</v>
      </c>
      <c r="D25" s="121">
        <v>9.4075255E7</v>
      </c>
      <c r="E25" s="121">
        <v>1.161619314E9</v>
      </c>
      <c r="F25" s="121" t="s">
        <v>187</v>
      </c>
      <c r="G25" s="121" t="s">
        <v>185</v>
      </c>
      <c r="H25" s="121" t="s">
        <v>26</v>
      </c>
      <c r="I25" s="121" t="s">
        <v>31</v>
      </c>
      <c r="J25" s="122">
        <v>27897.0</v>
      </c>
      <c r="K25" s="121" t="s">
        <v>186</v>
      </c>
      <c r="L25" s="121">
        <v>1439.0</v>
      </c>
      <c r="M25" s="121" t="s">
        <v>28</v>
      </c>
      <c r="N25" s="121" t="s">
        <v>32</v>
      </c>
      <c r="O25" s="121" t="s">
        <v>37</v>
      </c>
      <c r="P25" s="61" t="s">
        <v>1147</v>
      </c>
      <c r="Q25" s="121">
        <v>3106.0</v>
      </c>
      <c r="R25" s="61" t="s">
        <v>1147</v>
      </c>
      <c r="S25" s="122">
        <v>45290.0</v>
      </c>
      <c r="T25" s="121" t="s">
        <v>659</v>
      </c>
    </row>
    <row r="26">
      <c r="A26" s="120"/>
      <c r="B26" s="120" t="s">
        <v>188</v>
      </c>
      <c r="C26" s="120" t="s">
        <v>189</v>
      </c>
      <c r="D26" s="121">
        <v>2.9064893E7</v>
      </c>
      <c r="E26" s="121">
        <v>1.125208147E9</v>
      </c>
      <c r="F26" s="121" t="s">
        <v>193</v>
      </c>
      <c r="G26" s="121" t="s">
        <v>61</v>
      </c>
      <c r="H26" s="121" t="s">
        <v>62</v>
      </c>
      <c r="I26" s="121" t="s">
        <v>144</v>
      </c>
      <c r="J26" s="122">
        <v>29845.0</v>
      </c>
      <c r="K26" s="121" t="s">
        <v>190</v>
      </c>
      <c r="L26" s="121">
        <v>1886.0</v>
      </c>
      <c r="M26" s="121" t="s">
        <v>28</v>
      </c>
      <c r="N26" s="121" t="s">
        <v>192</v>
      </c>
      <c r="O26" s="121" t="s">
        <v>37</v>
      </c>
      <c r="P26" s="121" t="s">
        <v>191</v>
      </c>
      <c r="Q26" s="121">
        <v>1677.0</v>
      </c>
      <c r="R26" s="61" t="s">
        <v>1147</v>
      </c>
      <c r="S26" s="122">
        <v>43617.0</v>
      </c>
      <c r="T26" s="121" t="s">
        <v>659</v>
      </c>
    </row>
    <row r="27">
      <c r="A27" s="120"/>
      <c r="B27" s="120" t="s">
        <v>200</v>
      </c>
      <c r="C27" s="120" t="s">
        <v>1173</v>
      </c>
      <c r="D27" s="121">
        <v>4.1917769E7</v>
      </c>
      <c r="E27" s="120">
        <v>1.134858925E9</v>
      </c>
      <c r="F27" s="121" t="s">
        <v>202</v>
      </c>
      <c r="G27" s="121" t="s">
        <v>61</v>
      </c>
      <c r="H27" s="121" t="s">
        <v>62</v>
      </c>
      <c r="I27" s="61" t="s">
        <v>64</v>
      </c>
      <c r="J27" s="61" t="s">
        <v>1147</v>
      </c>
      <c r="K27" s="61" t="s">
        <v>1147</v>
      </c>
      <c r="L27" s="61" t="s">
        <v>1147</v>
      </c>
      <c r="M27" s="61" t="s">
        <v>1147</v>
      </c>
      <c r="N27" s="61" t="s">
        <v>1147</v>
      </c>
      <c r="O27" s="61" t="s">
        <v>1147</v>
      </c>
      <c r="P27" s="61" t="s">
        <v>1147</v>
      </c>
      <c r="Q27" s="121">
        <v>1923.0</v>
      </c>
      <c r="R27" s="61" t="s">
        <v>1147</v>
      </c>
      <c r="S27" s="122">
        <v>44713.0</v>
      </c>
      <c r="T27" s="121" t="s">
        <v>664</v>
      </c>
    </row>
    <row r="28">
      <c r="A28" s="120"/>
      <c r="B28" s="120" t="s">
        <v>203</v>
      </c>
      <c r="C28" s="120" t="s">
        <v>1174</v>
      </c>
      <c r="D28" s="121">
        <v>2.2826482E7</v>
      </c>
      <c r="E28" s="120">
        <v>1.166482926E9</v>
      </c>
      <c r="F28" s="121" t="s">
        <v>205</v>
      </c>
      <c r="G28" s="121" t="s">
        <v>61</v>
      </c>
      <c r="H28" s="61" t="s">
        <v>26</v>
      </c>
      <c r="I28" s="61" t="s">
        <v>57</v>
      </c>
      <c r="J28" s="122">
        <v>26532.0</v>
      </c>
      <c r="K28" s="61" t="s">
        <v>1147</v>
      </c>
      <c r="L28" s="61" t="s">
        <v>1147</v>
      </c>
      <c r="M28" s="61" t="s">
        <v>1147</v>
      </c>
      <c r="N28" s="61" t="s">
        <v>1147</v>
      </c>
      <c r="O28" s="61" t="s">
        <v>1147</v>
      </c>
      <c r="P28" s="61" t="s">
        <v>1147</v>
      </c>
      <c r="Q28" s="121">
        <v>130.0</v>
      </c>
      <c r="R28" s="61" t="s">
        <v>1147</v>
      </c>
      <c r="S28" s="122">
        <v>42675.0</v>
      </c>
      <c r="T28" s="121" t="s">
        <v>663</v>
      </c>
    </row>
    <row r="29">
      <c r="A29" s="120"/>
      <c r="B29" s="120" t="s">
        <v>212</v>
      </c>
      <c r="C29" s="120" t="s">
        <v>1175</v>
      </c>
      <c r="D29" s="121">
        <v>2.4033237E7</v>
      </c>
      <c r="E29" s="121">
        <v>1.125993935E9</v>
      </c>
      <c r="F29" s="121" t="s">
        <v>214</v>
      </c>
      <c r="G29" s="121" t="s">
        <v>61</v>
      </c>
      <c r="H29" s="61" t="s">
        <v>26</v>
      </c>
      <c r="I29" s="61" t="s">
        <v>57</v>
      </c>
      <c r="J29" s="122">
        <v>27233.0</v>
      </c>
      <c r="K29" s="61" t="s">
        <v>1147</v>
      </c>
      <c r="L29" s="61" t="s">
        <v>1147</v>
      </c>
      <c r="M29" s="61" t="s">
        <v>1147</v>
      </c>
      <c r="N29" s="61" t="s">
        <v>1147</v>
      </c>
      <c r="O29" s="61" t="s">
        <v>1147</v>
      </c>
      <c r="P29" s="61" t="s">
        <v>1147</v>
      </c>
      <c r="Q29" s="121">
        <v>303.0</v>
      </c>
      <c r="R29" s="61" t="s">
        <v>1147</v>
      </c>
      <c r="S29" s="122">
        <v>42983.0</v>
      </c>
      <c r="T29" s="121" t="s">
        <v>665</v>
      </c>
    </row>
    <row r="30">
      <c r="A30" s="120"/>
      <c r="B30" s="120" t="s">
        <v>215</v>
      </c>
      <c r="C30" s="120" t="s">
        <v>1176</v>
      </c>
      <c r="D30" s="121">
        <v>2.2656778E7</v>
      </c>
      <c r="E30" s="120">
        <v>1.164681681E9</v>
      </c>
      <c r="F30" s="121" t="s">
        <v>217</v>
      </c>
      <c r="G30" s="121" t="s">
        <v>61</v>
      </c>
      <c r="H30" s="61" t="s">
        <v>26</v>
      </c>
      <c r="I30" s="61" t="s">
        <v>57</v>
      </c>
      <c r="J30" s="122">
        <v>26429.0</v>
      </c>
      <c r="K30" s="61" t="s">
        <v>1147</v>
      </c>
      <c r="L30" s="61" t="s">
        <v>1147</v>
      </c>
      <c r="M30" s="61" t="s">
        <v>1147</v>
      </c>
      <c r="N30" s="61" t="s">
        <v>1147</v>
      </c>
      <c r="O30" s="61" t="s">
        <v>1147</v>
      </c>
      <c r="P30" s="61" t="s">
        <v>1147</v>
      </c>
      <c r="Q30" s="121">
        <v>1116.0</v>
      </c>
      <c r="R30" s="61" t="s">
        <v>1147</v>
      </c>
      <c r="S30" s="122">
        <v>42954.0</v>
      </c>
      <c r="T30" s="121" t="s">
        <v>664</v>
      </c>
    </row>
    <row r="31">
      <c r="A31" s="120"/>
      <c r="B31" s="120" t="s">
        <v>221</v>
      </c>
      <c r="C31" s="120" t="s">
        <v>1177</v>
      </c>
      <c r="D31" s="121">
        <v>2.1981832E7</v>
      </c>
      <c r="E31" s="120">
        <v>1.149742514E9</v>
      </c>
      <c r="F31" s="121" t="s">
        <v>223</v>
      </c>
      <c r="G31" s="121" t="s">
        <v>61</v>
      </c>
      <c r="H31" s="61" t="s">
        <v>26</v>
      </c>
      <c r="I31" s="61" t="s">
        <v>57</v>
      </c>
      <c r="J31" s="122">
        <v>25929.0</v>
      </c>
      <c r="K31" s="61" t="s">
        <v>1147</v>
      </c>
      <c r="L31" s="61" t="s">
        <v>1147</v>
      </c>
      <c r="M31" s="61" t="s">
        <v>1147</v>
      </c>
      <c r="N31" s="61" t="s">
        <v>1147</v>
      </c>
      <c r="O31" s="61" t="s">
        <v>1147</v>
      </c>
      <c r="P31" s="61" t="s">
        <v>1147</v>
      </c>
      <c r="Q31" s="121">
        <v>2447.0</v>
      </c>
      <c r="R31" s="61" t="s">
        <v>1147</v>
      </c>
      <c r="S31" s="61" t="s">
        <v>1147</v>
      </c>
      <c r="T31" s="121" t="s">
        <v>664</v>
      </c>
    </row>
    <row r="32">
      <c r="A32" s="120"/>
      <c r="B32" s="120" t="s">
        <v>224</v>
      </c>
      <c r="C32" s="120" t="s">
        <v>1178</v>
      </c>
      <c r="D32" s="121">
        <v>4.1639943E7</v>
      </c>
      <c r="E32" s="120">
        <v>1.158059413E9</v>
      </c>
      <c r="F32" s="121" t="s">
        <v>226</v>
      </c>
      <c r="G32" s="121" t="s">
        <v>61</v>
      </c>
      <c r="H32" s="61" t="s">
        <v>26</v>
      </c>
      <c r="I32" s="61" t="s">
        <v>57</v>
      </c>
      <c r="J32" s="122">
        <v>36121.0</v>
      </c>
      <c r="K32" s="61" t="s">
        <v>1147</v>
      </c>
      <c r="L32" s="61" t="s">
        <v>1147</v>
      </c>
      <c r="M32" s="61" t="s">
        <v>1147</v>
      </c>
      <c r="N32" s="61" t="s">
        <v>1147</v>
      </c>
      <c r="O32" s="61" t="s">
        <v>1147</v>
      </c>
      <c r="P32" s="61" t="s">
        <v>1147</v>
      </c>
      <c r="Q32" s="121">
        <v>2449.0</v>
      </c>
      <c r="R32" s="61" t="s">
        <v>1147</v>
      </c>
      <c r="S32" s="61" t="s">
        <v>1147</v>
      </c>
      <c r="T32" s="121" t="s">
        <v>664</v>
      </c>
    </row>
    <row r="33">
      <c r="A33" s="120"/>
      <c r="B33" s="120" t="s">
        <v>91</v>
      </c>
      <c r="C33" s="120" t="s">
        <v>1179</v>
      </c>
      <c r="D33" s="121">
        <v>3.6786519E7</v>
      </c>
      <c r="E33" s="120">
        <v>1.164297376E9</v>
      </c>
      <c r="G33" s="121" t="s">
        <v>61</v>
      </c>
      <c r="H33" s="61" t="s">
        <v>26</v>
      </c>
      <c r="I33" s="61" t="s">
        <v>57</v>
      </c>
      <c r="J33" s="122"/>
      <c r="K33" s="61" t="s">
        <v>1147</v>
      </c>
      <c r="L33" s="61" t="s">
        <v>1147</v>
      </c>
      <c r="M33" s="61" t="s">
        <v>1147</v>
      </c>
      <c r="N33" s="61" t="s">
        <v>1147</v>
      </c>
      <c r="O33" s="61" t="s">
        <v>1147</v>
      </c>
      <c r="P33" s="61" t="s">
        <v>1147</v>
      </c>
      <c r="Q33" s="121">
        <v>2776.0</v>
      </c>
      <c r="R33" s="61" t="s">
        <v>1147</v>
      </c>
      <c r="S33" s="61" t="s">
        <v>1147</v>
      </c>
      <c r="T33" s="121" t="s">
        <v>666</v>
      </c>
    </row>
    <row r="34">
      <c r="A34" s="120"/>
      <c r="B34" s="120" t="s">
        <v>230</v>
      </c>
      <c r="C34" s="120" t="s">
        <v>1180</v>
      </c>
      <c r="D34" s="121">
        <v>3.7036332E7</v>
      </c>
      <c r="E34" s="120">
        <v>1.126691233E9</v>
      </c>
      <c r="F34" s="121" t="s">
        <v>232</v>
      </c>
      <c r="G34" s="121" t="s">
        <v>61</v>
      </c>
      <c r="H34" s="61" t="s">
        <v>26</v>
      </c>
      <c r="I34" s="61" t="s">
        <v>57</v>
      </c>
      <c r="J34" s="122">
        <v>33843.0</v>
      </c>
      <c r="K34" s="61" t="s">
        <v>1147</v>
      </c>
      <c r="L34" s="61" t="s">
        <v>1147</v>
      </c>
      <c r="M34" s="61" t="s">
        <v>1147</v>
      </c>
      <c r="N34" s="61" t="s">
        <v>1147</v>
      </c>
      <c r="O34" s="61" t="s">
        <v>1147</v>
      </c>
      <c r="P34" s="61" t="s">
        <v>1147</v>
      </c>
      <c r="Q34" s="121">
        <v>1644.0</v>
      </c>
      <c r="R34" s="61" t="s">
        <v>1147</v>
      </c>
      <c r="S34" s="122">
        <v>43525.0</v>
      </c>
      <c r="T34" s="121" t="s">
        <v>664</v>
      </c>
    </row>
    <row r="35">
      <c r="A35" s="120"/>
      <c r="B35" s="120" t="s">
        <v>233</v>
      </c>
      <c r="C35" s="120" t="s">
        <v>1181</v>
      </c>
      <c r="D35" s="121">
        <v>4.4364634E7</v>
      </c>
      <c r="E35" s="121">
        <v>1.12815373E9</v>
      </c>
      <c r="F35" s="121" t="s">
        <v>235</v>
      </c>
      <c r="G35" s="121" t="s">
        <v>61</v>
      </c>
      <c r="H35" s="61" t="s">
        <v>26</v>
      </c>
      <c r="I35" s="61" t="s">
        <v>57</v>
      </c>
      <c r="J35" s="122">
        <v>37497.0</v>
      </c>
      <c r="K35" s="61" t="s">
        <v>1147</v>
      </c>
      <c r="L35" s="61" t="s">
        <v>1147</v>
      </c>
      <c r="M35" s="61" t="s">
        <v>1147</v>
      </c>
      <c r="N35" s="61" t="s">
        <v>1147</v>
      </c>
      <c r="O35" s="61" t="s">
        <v>1147</v>
      </c>
      <c r="P35" s="61" t="s">
        <v>1147</v>
      </c>
      <c r="Q35" s="121">
        <v>2463.0</v>
      </c>
      <c r="R35" s="61" t="s">
        <v>1147</v>
      </c>
      <c r="S35" s="61" t="s">
        <v>1147</v>
      </c>
      <c r="T35" s="121" t="s">
        <v>664</v>
      </c>
    </row>
    <row r="36">
      <c r="A36" s="120"/>
      <c r="B36" s="120" t="s">
        <v>238</v>
      </c>
      <c r="C36" s="120" t="s">
        <v>1182</v>
      </c>
      <c r="D36" s="121">
        <v>4.258637E7</v>
      </c>
      <c r="E36" s="121">
        <v>1.125475896E9</v>
      </c>
      <c r="F36" s="121" t="s">
        <v>240</v>
      </c>
      <c r="G36" s="121" t="s">
        <v>61</v>
      </c>
      <c r="H36" s="61" t="s">
        <v>26</v>
      </c>
      <c r="I36" s="61" t="s">
        <v>57</v>
      </c>
      <c r="J36" s="122">
        <v>36652.0</v>
      </c>
      <c r="K36" s="61" t="s">
        <v>1147</v>
      </c>
      <c r="L36" s="61" t="s">
        <v>1147</v>
      </c>
      <c r="M36" s="61" t="s">
        <v>1147</v>
      </c>
      <c r="N36" s="61" t="s">
        <v>1147</v>
      </c>
      <c r="O36" s="61" t="s">
        <v>1147</v>
      </c>
      <c r="P36" s="61" t="s">
        <v>1147</v>
      </c>
      <c r="Q36" s="121">
        <v>1645.0</v>
      </c>
      <c r="R36" s="61" t="s">
        <v>1147</v>
      </c>
      <c r="S36" s="122">
        <v>43556.0</v>
      </c>
      <c r="T36" s="121" t="s">
        <v>664</v>
      </c>
    </row>
    <row r="37">
      <c r="A37" s="120"/>
      <c r="B37" s="120" t="s">
        <v>241</v>
      </c>
      <c r="C37" s="120" t="s">
        <v>1183</v>
      </c>
      <c r="D37" s="121">
        <v>3.4871654E7</v>
      </c>
      <c r="E37" s="121">
        <v>1.150235407E9</v>
      </c>
      <c r="F37" s="121" t="s">
        <v>249</v>
      </c>
      <c r="G37" s="121" t="s">
        <v>243</v>
      </c>
      <c r="H37" s="121" t="s">
        <v>26</v>
      </c>
      <c r="I37" s="121" t="s">
        <v>247</v>
      </c>
      <c r="J37" s="122">
        <v>32867.0</v>
      </c>
      <c r="K37" s="121" t="s">
        <v>244</v>
      </c>
      <c r="L37" s="121">
        <v>1708.0</v>
      </c>
      <c r="M37" s="121" t="s">
        <v>245</v>
      </c>
      <c r="N37" s="121" t="s">
        <v>248</v>
      </c>
      <c r="O37" s="121" t="s">
        <v>37</v>
      </c>
      <c r="P37" s="121" t="s">
        <v>246</v>
      </c>
      <c r="Q37" s="121">
        <v>2785.0</v>
      </c>
      <c r="R37" s="61" t="s">
        <v>1147</v>
      </c>
      <c r="S37" s="122">
        <v>45111.0</v>
      </c>
      <c r="T37" s="121" t="s">
        <v>664</v>
      </c>
    </row>
    <row r="38">
      <c r="A38" s="120"/>
      <c r="B38" s="120" t="s">
        <v>250</v>
      </c>
      <c r="C38" s="120" t="s">
        <v>1184</v>
      </c>
      <c r="D38" s="121">
        <v>3.92755E7</v>
      </c>
      <c r="E38" s="121">
        <v>1.155818302E9</v>
      </c>
      <c r="G38" s="121" t="s">
        <v>243</v>
      </c>
      <c r="H38" s="121" t="s">
        <v>26</v>
      </c>
      <c r="I38" s="61" t="s">
        <v>57</v>
      </c>
      <c r="J38" s="122">
        <v>35031.0</v>
      </c>
      <c r="K38" s="61" t="s">
        <v>1147</v>
      </c>
      <c r="L38" s="61" t="s">
        <v>1147</v>
      </c>
      <c r="M38" s="61" t="s">
        <v>1147</v>
      </c>
      <c r="N38" s="61" t="s">
        <v>1147</v>
      </c>
      <c r="O38" s="61" t="s">
        <v>1147</v>
      </c>
      <c r="P38" s="61" t="s">
        <v>1147</v>
      </c>
      <c r="Q38" s="121">
        <v>3150.0</v>
      </c>
      <c r="R38" s="61" t="s">
        <v>1147</v>
      </c>
      <c r="S38" s="61" t="s">
        <v>1147</v>
      </c>
      <c r="T38" s="121" t="s">
        <v>664</v>
      </c>
    </row>
    <row r="39">
      <c r="A39" s="120"/>
      <c r="B39" s="120" t="s">
        <v>252</v>
      </c>
      <c r="C39" s="120" t="s">
        <v>1185</v>
      </c>
      <c r="D39" s="121">
        <v>4.0133136E7</v>
      </c>
      <c r="E39" s="120">
        <v>1.122416811E9</v>
      </c>
      <c r="F39" s="121" t="s">
        <v>257</v>
      </c>
      <c r="G39" s="121" t="s">
        <v>243</v>
      </c>
      <c r="H39" s="121" t="s">
        <v>26</v>
      </c>
      <c r="I39" s="121" t="s">
        <v>57</v>
      </c>
      <c r="J39" s="122">
        <v>35463.0</v>
      </c>
      <c r="K39" s="121" t="s">
        <v>254</v>
      </c>
      <c r="L39" s="121">
        <v>1099.0</v>
      </c>
      <c r="M39" s="61" t="s">
        <v>32</v>
      </c>
      <c r="N39" s="121" t="s">
        <v>256</v>
      </c>
      <c r="O39" s="121" t="s">
        <v>37</v>
      </c>
      <c r="P39" s="121" t="s">
        <v>128</v>
      </c>
      <c r="Q39" s="121">
        <v>2275.0</v>
      </c>
      <c r="R39" s="61" t="s">
        <v>1147</v>
      </c>
      <c r="S39" s="122">
        <v>45291.0</v>
      </c>
      <c r="T39" s="121" t="s">
        <v>666</v>
      </c>
    </row>
    <row r="40">
      <c r="A40" s="120"/>
      <c r="B40" s="120" t="s">
        <v>258</v>
      </c>
      <c r="C40" s="120" t="s">
        <v>1186</v>
      </c>
      <c r="D40" s="121">
        <v>3.8710314E7</v>
      </c>
      <c r="E40" s="121">
        <v>1.154983632E9</v>
      </c>
      <c r="F40" s="121" t="s">
        <v>260</v>
      </c>
      <c r="G40" s="121" t="s">
        <v>243</v>
      </c>
      <c r="H40" s="121" t="s">
        <v>26</v>
      </c>
      <c r="I40" s="121" t="s">
        <v>57</v>
      </c>
      <c r="J40" s="122">
        <v>34827.0</v>
      </c>
      <c r="K40" s="61" t="s">
        <v>1147</v>
      </c>
      <c r="L40" s="61" t="s">
        <v>1147</v>
      </c>
      <c r="M40" s="61" t="s">
        <v>1147</v>
      </c>
      <c r="N40" s="61" t="s">
        <v>1147</v>
      </c>
      <c r="O40" s="61" t="s">
        <v>1147</v>
      </c>
      <c r="P40" s="61" t="s">
        <v>1147</v>
      </c>
      <c r="Q40" s="121">
        <v>1984.0</v>
      </c>
      <c r="R40" s="61" t="s">
        <v>1147</v>
      </c>
      <c r="S40" s="122">
        <v>44958.0</v>
      </c>
      <c r="T40" s="121" t="s">
        <v>664</v>
      </c>
    </row>
    <row r="41">
      <c r="A41" s="120"/>
      <c r="B41" s="120" t="s">
        <v>263</v>
      </c>
      <c r="C41" s="120" t="s">
        <v>1187</v>
      </c>
      <c r="D41" s="121">
        <v>3.6297487E7</v>
      </c>
      <c r="E41" s="120">
        <v>1.141633096E9</v>
      </c>
      <c r="F41" s="121" t="s">
        <v>265</v>
      </c>
      <c r="G41" s="121" t="s">
        <v>243</v>
      </c>
      <c r="H41" s="121" t="s">
        <v>26</v>
      </c>
      <c r="I41" s="121" t="s">
        <v>57</v>
      </c>
      <c r="J41" s="122">
        <v>33504.0</v>
      </c>
      <c r="K41" s="61" t="s">
        <v>1147</v>
      </c>
      <c r="L41" s="61" t="s">
        <v>1147</v>
      </c>
      <c r="M41" s="61" t="s">
        <v>1147</v>
      </c>
      <c r="N41" s="61" t="s">
        <v>1147</v>
      </c>
      <c r="O41" s="61" t="s">
        <v>1147</v>
      </c>
      <c r="P41" s="61" t="s">
        <v>1147</v>
      </c>
      <c r="Q41" s="121">
        <v>769.0</v>
      </c>
      <c r="R41" s="61" t="s">
        <v>1147</v>
      </c>
      <c r="S41" s="122">
        <v>42948.0</v>
      </c>
      <c r="T41" s="121" t="s">
        <v>664</v>
      </c>
    </row>
    <row r="42">
      <c r="A42" s="120"/>
      <c r="B42" s="120" t="s">
        <v>263</v>
      </c>
      <c r="C42" s="120" t="s">
        <v>1188</v>
      </c>
      <c r="D42" s="121">
        <v>3.9665127E7</v>
      </c>
      <c r="E42" s="120">
        <v>1.12547893E9</v>
      </c>
      <c r="F42" s="121" t="s">
        <v>267</v>
      </c>
      <c r="G42" s="121" t="s">
        <v>243</v>
      </c>
      <c r="H42" s="61" t="s">
        <v>1189</v>
      </c>
      <c r="I42" s="121" t="s">
        <v>57</v>
      </c>
      <c r="J42" s="122">
        <v>35253.0</v>
      </c>
      <c r="K42" s="61" t="s">
        <v>1147</v>
      </c>
      <c r="L42" s="61" t="s">
        <v>1147</v>
      </c>
      <c r="M42" s="61" t="s">
        <v>1147</v>
      </c>
      <c r="N42" s="61" t="s">
        <v>1147</v>
      </c>
      <c r="O42" s="61" t="s">
        <v>1147</v>
      </c>
      <c r="P42" s="61" t="s">
        <v>1147</v>
      </c>
      <c r="Q42" s="121">
        <v>2793.0</v>
      </c>
      <c r="R42" s="61" t="s">
        <v>1147</v>
      </c>
      <c r="S42" s="61" t="s">
        <v>1147</v>
      </c>
      <c r="T42" s="121" t="s">
        <v>664</v>
      </c>
    </row>
    <row r="43">
      <c r="A43" s="120"/>
      <c r="B43" s="120" t="s">
        <v>268</v>
      </c>
      <c r="C43" s="120" t="s">
        <v>1190</v>
      </c>
      <c r="D43" s="121">
        <v>3.9646253E7</v>
      </c>
      <c r="E43" s="120">
        <v>1.125061863E9</v>
      </c>
      <c r="F43" s="121" t="s">
        <v>270</v>
      </c>
      <c r="G43" s="121" t="s">
        <v>243</v>
      </c>
      <c r="H43" s="61" t="s">
        <v>26</v>
      </c>
      <c r="I43" s="121" t="s">
        <v>57</v>
      </c>
      <c r="J43" s="122">
        <v>35324.0</v>
      </c>
      <c r="K43" s="61" t="s">
        <v>1147</v>
      </c>
      <c r="L43" s="61" t="s">
        <v>1147</v>
      </c>
      <c r="M43" s="61" t="s">
        <v>1147</v>
      </c>
      <c r="N43" s="61" t="s">
        <v>1147</v>
      </c>
      <c r="O43" s="61" t="s">
        <v>1147</v>
      </c>
      <c r="P43" s="61" t="s">
        <v>1147</v>
      </c>
      <c r="Q43" s="121">
        <v>2473.0</v>
      </c>
      <c r="R43" s="61" t="s">
        <v>1147</v>
      </c>
      <c r="S43" s="61" t="s">
        <v>1147</v>
      </c>
      <c r="T43" s="121" t="s">
        <v>664</v>
      </c>
    </row>
    <row r="44">
      <c r="A44" s="120"/>
      <c r="B44" s="120" t="s">
        <v>263</v>
      </c>
      <c r="C44" s="120" t="s">
        <v>1191</v>
      </c>
      <c r="D44" s="121">
        <v>3.6162205E7</v>
      </c>
      <c r="E44" s="121">
        <v>1.12355504E9</v>
      </c>
      <c r="G44" s="121" t="s">
        <v>243</v>
      </c>
      <c r="H44" s="61" t="s">
        <v>26</v>
      </c>
      <c r="I44" s="121" t="s">
        <v>57</v>
      </c>
      <c r="J44" s="122"/>
      <c r="K44" s="61" t="s">
        <v>1147</v>
      </c>
      <c r="L44" s="61" t="s">
        <v>1147</v>
      </c>
      <c r="M44" s="61" t="s">
        <v>1147</v>
      </c>
      <c r="N44" s="61" t="s">
        <v>1147</v>
      </c>
      <c r="O44" s="61" t="s">
        <v>1147</v>
      </c>
      <c r="P44" s="61" t="s">
        <v>1147</v>
      </c>
      <c r="Q44" s="121">
        <v>2184.0</v>
      </c>
      <c r="R44" s="61" t="s">
        <v>1147</v>
      </c>
      <c r="S44" s="61" t="s">
        <v>1147</v>
      </c>
      <c r="T44" s="121" t="s">
        <v>664</v>
      </c>
    </row>
    <row r="45">
      <c r="A45" s="120"/>
      <c r="B45" s="120" t="s">
        <v>280</v>
      </c>
      <c r="C45" s="120" t="s">
        <v>1192</v>
      </c>
      <c r="D45" s="121">
        <v>2.873501E7</v>
      </c>
      <c r="E45" s="121">
        <v>1.176525294E9</v>
      </c>
      <c r="F45" s="121" t="s">
        <v>282</v>
      </c>
      <c r="G45" s="121" t="s">
        <v>243</v>
      </c>
      <c r="H45" s="61" t="s">
        <v>26</v>
      </c>
      <c r="I45" s="121" t="s">
        <v>57</v>
      </c>
      <c r="J45" s="122">
        <v>29656.0</v>
      </c>
      <c r="K45" s="61" t="s">
        <v>1147</v>
      </c>
      <c r="L45" s="61" t="s">
        <v>1147</v>
      </c>
      <c r="M45" s="61" t="s">
        <v>1147</v>
      </c>
      <c r="N45" s="61" t="s">
        <v>1147</v>
      </c>
      <c r="O45" s="61" t="s">
        <v>1147</v>
      </c>
      <c r="P45" s="61" t="s">
        <v>1147</v>
      </c>
      <c r="Q45" s="121">
        <v>1410.0</v>
      </c>
      <c r="R45" s="61" t="s">
        <v>1147</v>
      </c>
      <c r="S45" s="122">
        <v>41640.0</v>
      </c>
      <c r="T45" s="121" t="s">
        <v>664</v>
      </c>
    </row>
    <row r="46">
      <c r="A46" s="120"/>
      <c r="B46" s="120" t="s">
        <v>286</v>
      </c>
      <c r="C46" s="120" t="s">
        <v>1193</v>
      </c>
      <c r="D46" s="121">
        <v>9.4290896E7</v>
      </c>
      <c r="E46" s="121">
        <v>1.136269477E9</v>
      </c>
      <c r="F46" s="121" t="s">
        <v>288</v>
      </c>
      <c r="G46" s="121" t="s">
        <v>243</v>
      </c>
      <c r="H46" s="61" t="s">
        <v>26</v>
      </c>
      <c r="I46" s="121" t="s">
        <v>57</v>
      </c>
      <c r="J46" s="122">
        <v>34136.0</v>
      </c>
      <c r="K46" s="61" t="s">
        <v>1147</v>
      </c>
      <c r="L46" s="61" t="s">
        <v>1147</v>
      </c>
      <c r="M46" s="61" t="s">
        <v>1147</v>
      </c>
      <c r="N46" s="61" t="s">
        <v>1147</v>
      </c>
      <c r="O46" s="61" t="s">
        <v>1147</v>
      </c>
      <c r="P46" s="61" t="s">
        <v>1147</v>
      </c>
      <c r="Q46" s="121">
        <v>1326.0</v>
      </c>
      <c r="R46" s="61" t="s">
        <v>1147</v>
      </c>
      <c r="S46" s="122">
        <v>43132.0</v>
      </c>
      <c r="T46" s="121" t="s">
        <v>664</v>
      </c>
    </row>
    <row r="47">
      <c r="A47" s="120"/>
      <c r="B47" s="120" t="s">
        <v>289</v>
      </c>
      <c r="C47" s="120" t="s">
        <v>1194</v>
      </c>
      <c r="D47" s="121">
        <v>2.9319005E7</v>
      </c>
      <c r="E47" s="121">
        <v>1.13137428E9</v>
      </c>
      <c r="G47" s="121" t="s">
        <v>243</v>
      </c>
      <c r="H47" s="61" t="s">
        <v>26</v>
      </c>
      <c r="I47" s="121" t="s">
        <v>57</v>
      </c>
      <c r="J47" s="122">
        <v>29991.0</v>
      </c>
      <c r="K47" s="61" t="s">
        <v>1147</v>
      </c>
      <c r="L47" s="61" t="s">
        <v>1147</v>
      </c>
      <c r="M47" s="61" t="s">
        <v>1147</v>
      </c>
      <c r="N47" s="61" t="s">
        <v>1147</v>
      </c>
      <c r="O47" s="61" t="s">
        <v>1147</v>
      </c>
      <c r="P47" s="61" t="s">
        <v>1147</v>
      </c>
      <c r="Q47" s="121">
        <v>343.0</v>
      </c>
      <c r="R47" s="61" t="s">
        <v>1147</v>
      </c>
      <c r="S47" s="122">
        <v>42856.0</v>
      </c>
      <c r="T47" s="121" t="s">
        <v>664</v>
      </c>
    </row>
    <row r="48">
      <c r="A48" s="120"/>
      <c r="B48" s="120" t="s">
        <v>294</v>
      </c>
      <c r="C48" s="120" t="s">
        <v>1195</v>
      </c>
      <c r="D48" s="121">
        <v>3.0455729E7</v>
      </c>
      <c r="E48" s="121">
        <v>1.127588744E9</v>
      </c>
      <c r="F48" s="121" t="s">
        <v>296</v>
      </c>
      <c r="G48" s="121" t="s">
        <v>243</v>
      </c>
      <c r="H48" s="61" t="s">
        <v>26</v>
      </c>
      <c r="I48" s="121" t="s">
        <v>57</v>
      </c>
      <c r="J48" s="122">
        <v>30612.0</v>
      </c>
      <c r="K48" s="61" t="s">
        <v>1147</v>
      </c>
      <c r="L48" s="61" t="s">
        <v>1147</v>
      </c>
      <c r="M48" s="61" t="s">
        <v>1147</v>
      </c>
      <c r="N48" s="61" t="s">
        <v>1147</v>
      </c>
      <c r="O48" s="61" t="s">
        <v>1147</v>
      </c>
      <c r="P48" s="61" t="s">
        <v>1147</v>
      </c>
      <c r="Q48" s="121">
        <v>129.0</v>
      </c>
      <c r="R48" s="61" t="s">
        <v>1147</v>
      </c>
      <c r="S48" s="122">
        <v>41818.0</v>
      </c>
      <c r="T48" s="121" t="s">
        <v>665</v>
      </c>
    </row>
    <row r="49">
      <c r="A49" s="120"/>
      <c r="B49" s="120" t="s">
        <v>297</v>
      </c>
      <c r="C49" s="120" t="s">
        <v>1196</v>
      </c>
      <c r="D49" s="121">
        <v>4.3406398E7</v>
      </c>
      <c r="E49" s="120">
        <v>1.165567776E9</v>
      </c>
      <c r="F49" s="121" t="s">
        <v>299</v>
      </c>
      <c r="G49" s="121" t="s">
        <v>243</v>
      </c>
      <c r="H49" s="61" t="s">
        <v>26</v>
      </c>
      <c r="I49" s="121" t="s">
        <v>57</v>
      </c>
      <c r="J49" s="122">
        <v>37062.0</v>
      </c>
      <c r="K49" s="61" t="s">
        <v>1147</v>
      </c>
      <c r="L49" s="61" t="s">
        <v>1147</v>
      </c>
      <c r="M49" s="61" t="s">
        <v>1147</v>
      </c>
      <c r="N49" s="61" t="s">
        <v>1147</v>
      </c>
      <c r="O49" s="61" t="s">
        <v>1147</v>
      </c>
      <c r="P49" s="61" t="s">
        <v>1147</v>
      </c>
      <c r="Q49" s="121">
        <v>1969.0</v>
      </c>
      <c r="R49" s="61" t="s">
        <v>1147</v>
      </c>
      <c r="S49" s="61" t="s">
        <v>1147</v>
      </c>
      <c r="T49" s="121" t="s">
        <v>664</v>
      </c>
    </row>
    <row r="50">
      <c r="A50" s="120"/>
      <c r="B50" s="120" t="s">
        <v>300</v>
      </c>
      <c r="C50" s="120" t="s">
        <v>1197</v>
      </c>
      <c r="D50" s="121">
        <v>3.4583817E7</v>
      </c>
      <c r="E50" s="121">
        <v>1.125670074E9</v>
      </c>
      <c r="F50" s="121" t="s">
        <v>302</v>
      </c>
      <c r="G50" s="121" t="s">
        <v>243</v>
      </c>
      <c r="H50" s="61" t="s">
        <v>62</v>
      </c>
      <c r="I50" s="61" t="s">
        <v>64</v>
      </c>
      <c r="J50" s="122">
        <v>32698.0</v>
      </c>
      <c r="K50" s="61" t="s">
        <v>1147</v>
      </c>
      <c r="L50" s="61" t="s">
        <v>1147</v>
      </c>
      <c r="M50" s="61" t="s">
        <v>1147</v>
      </c>
      <c r="N50" s="61" t="s">
        <v>1147</v>
      </c>
      <c r="O50" s="61" t="s">
        <v>1147</v>
      </c>
      <c r="P50" s="61" t="s">
        <v>1147</v>
      </c>
      <c r="Q50" s="121">
        <v>166.0</v>
      </c>
      <c r="R50" s="61" t="s">
        <v>1147</v>
      </c>
      <c r="S50" s="122">
        <v>41692.0</v>
      </c>
      <c r="T50" s="121" t="s">
        <v>665</v>
      </c>
    </row>
    <row r="51">
      <c r="A51" s="120"/>
      <c r="B51" s="120" t="s">
        <v>303</v>
      </c>
      <c r="C51" s="120" t="s">
        <v>1198</v>
      </c>
      <c r="D51" s="121">
        <v>2.5422284E7</v>
      </c>
      <c r="E51" s="120">
        <v>1.131666927E9</v>
      </c>
      <c r="F51" s="121" t="s">
        <v>305</v>
      </c>
      <c r="G51" s="121" t="s">
        <v>243</v>
      </c>
      <c r="H51" s="61" t="s">
        <v>26</v>
      </c>
      <c r="I51" s="61" t="s">
        <v>57</v>
      </c>
      <c r="J51" s="122">
        <v>27962.0</v>
      </c>
      <c r="K51" s="61" t="s">
        <v>1147</v>
      </c>
      <c r="L51" s="61" t="s">
        <v>1147</v>
      </c>
      <c r="M51" s="61" t="s">
        <v>1147</v>
      </c>
      <c r="N51" s="61" t="s">
        <v>1147</v>
      </c>
      <c r="O51" s="61" t="s">
        <v>1147</v>
      </c>
      <c r="P51" s="61" t="s">
        <v>1147</v>
      </c>
      <c r="Q51" s="121">
        <v>925.0</v>
      </c>
      <c r="R51" s="61" t="s">
        <v>1147</v>
      </c>
      <c r="S51" s="122">
        <v>42954.0</v>
      </c>
      <c r="T51" s="121" t="s">
        <v>664</v>
      </c>
    </row>
    <row r="52">
      <c r="A52" s="120"/>
      <c r="B52" s="120" t="s">
        <v>306</v>
      </c>
      <c r="C52" s="120" t="s">
        <v>1199</v>
      </c>
      <c r="D52" s="121">
        <v>2.7259537E7</v>
      </c>
      <c r="E52" s="120">
        <v>1.166665806E9</v>
      </c>
      <c r="F52" s="121" t="s">
        <v>308</v>
      </c>
      <c r="G52" s="121" t="s">
        <v>243</v>
      </c>
      <c r="H52" s="61" t="s">
        <v>26</v>
      </c>
      <c r="I52" s="61" t="s">
        <v>57</v>
      </c>
      <c r="J52" s="122">
        <v>28979.0</v>
      </c>
      <c r="K52" s="61" t="s">
        <v>1147</v>
      </c>
      <c r="L52" s="61" t="s">
        <v>1147</v>
      </c>
      <c r="M52" s="61" t="s">
        <v>1147</v>
      </c>
      <c r="N52" s="61" t="s">
        <v>1147</v>
      </c>
      <c r="O52" s="61" t="s">
        <v>1147</v>
      </c>
      <c r="P52" s="61" t="s">
        <v>1147</v>
      </c>
      <c r="Q52" s="121">
        <v>1536.0</v>
      </c>
      <c r="R52" s="61" t="s">
        <v>1147</v>
      </c>
      <c r="S52" s="122">
        <v>43405.0</v>
      </c>
      <c r="T52" s="121" t="s">
        <v>664</v>
      </c>
    </row>
    <row r="53">
      <c r="A53" s="120"/>
      <c r="B53" s="120" t="s">
        <v>309</v>
      </c>
      <c r="C53" s="120" t="s">
        <v>1200</v>
      </c>
      <c r="D53" s="121">
        <v>3.8128116E7</v>
      </c>
      <c r="E53" s="121">
        <v>1.139545887E9</v>
      </c>
      <c r="G53" s="121" t="s">
        <v>25</v>
      </c>
      <c r="H53" s="121" t="s">
        <v>26</v>
      </c>
      <c r="I53" s="121" t="s">
        <v>57</v>
      </c>
      <c r="J53" s="122">
        <v>34426.0</v>
      </c>
      <c r="K53" s="61" t="s">
        <v>1147</v>
      </c>
      <c r="L53" s="121">
        <v>1755.0</v>
      </c>
      <c r="M53" s="121" t="s">
        <v>28</v>
      </c>
      <c r="N53" s="121" t="s">
        <v>312</v>
      </c>
      <c r="O53" s="121" t="s">
        <v>311</v>
      </c>
      <c r="P53" s="61" t="s">
        <v>1147</v>
      </c>
      <c r="Q53" s="121">
        <v>2649.0</v>
      </c>
      <c r="R53" s="61" t="s">
        <v>1147</v>
      </c>
      <c r="S53" s="122">
        <v>45048.0</v>
      </c>
      <c r="T53" s="121" t="s">
        <v>664</v>
      </c>
    </row>
    <row r="54">
      <c r="A54" s="120"/>
      <c r="B54" s="120" t="s">
        <v>309</v>
      </c>
      <c r="C54" s="120" t="s">
        <v>1201</v>
      </c>
      <c r="D54" s="121">
        <v>3.816591E7</v>
      </c>
      <c r="E54" s="120">
        <v>1.15620154E9</v>
      </c>
      <c r="F54" s="121" t="s">
        <v>316</v>
      </c>
      <c r="G54" s="121" t="s">
        <v>25</v>
      </c>
      <c r="H54" s="121" t="s">
        <v>26</v>
      </c>
      <c r="I54" s="121" t="s">
        <v>57</v>
      </c>
      <c r="J54" s="122">
        <v>34440.0</v>
      </c>
      <c r="K54" s="61" t="s">
        <v>1147</v>
      </c>
      <c r="L54" s="61" t="s">
        <v>1147</v>
      </c>
      <c r="M54" s="61" t="s">
        <v>1147</v>
      </c>
      <c r="N54" s="61" t="s">
        <v>1147</v>
      </c>
      <c r="O54" s="61" t="s">
        <v>1147</v>
      </c>
      <c r="P54" s="61" t="s">
        <v>1147</v>
      </c>
      <c r="Q54" s="121">
        <v>1873.0</v>
      </c>
      <c r="R54" s="61" t="s">
        <v>1147</v>
      </c>
      <c r="S54" s="122">
        <v>44256.0</v>
      </c>
      <c r="T54" s="121" t="s">
        <v>664</v>
      </c>
    </row>
    <row r="55">
      <c r="A55" s="120"/>
      <c r="B55" s="120" t="s">
        <v>309</v>
      </c>
      <c r="C55" s="120" t="s">
        <v>1202</v>
      </c>
      <c r="D55" s="121">
        <v>3.7782026E7</v>
      </c>
      <c r="E55" s="120">
        <v>1.151065312E9</v>
      </c>
      <c r="F55" s="121" t="s">
        <v>318</v>
      </c>
      <c r="G55" s="121" t="s">
        <v>25</v>
      </c>
      <c r="H55" s="121" t="s">
        <v>26</v>
      </c>
      <c r="I55" s="121" t="s">
        <v>57</v>
      </c>
      <c r="J55" s="122">
        <v>34158.0</v>
      </c>
      <c r="K55" s="61" t="s">
        <v>1147</v>
      </c>
      <c r="L55" s="61" t="s">
        <v>1147</v>
      </c>
      <c r="M55" s="61" t="s">
        <v>1147</v>
      </c>
      <c r="N55" s="61" t="s">
        <v>1147</v>
      </c>
      <c r="O55" s="61" t="s">
        <v>1147</v>
      </c>
      <c r="P55" s="61" t="s">
        <v>1147</v>
      </c>
      <c r="Q55" s="121">
        <v>1989.0</v>
      </c>
      <c r="R55" s="61" t="s">
        <v>1147</v>
      </c>
      <c r="S55" s="61" t="s">
        <v>1147</v>
      </c>
      <c r="T55" s="121" t="s">
        <v>664</v>
      </c>
    </row>
    <row r="56">
      <c r="A56" s="120"/>
      <c r="B56" s="120" t="s">
        <v>321</v>
      </c>
      <c r="C56" s="120" t="s">
        <v>1203</v>
      </c>
      <c r="D56" s="121">
        <v>3.8672137E7</v>
      </c>
      <c r="E56" s="120">
        <v>1.130677874E9</v>
      </c>
      <c r="F56" s="121" t="s">
        <v>323</v>
      </c>
      <c r="G56" s="121" t="s">
        <v>25</v>
      </c>
      <c r="H56" s="121" t="s">
        <v>26</v>
      </c>
      <c r="I56" s="121" t="s">
        <v>57</v>
      </c>
      <c r="J56" s="122">
        <v>34567.0</v>
      </c>
      <c r="K56" s="61" t="s">
        <v>1147</v>
      </c>
      <c r="L56" s="61" t="s">
        <v>1147</v>
      </c>
      <c r="M56" s="61" t="s">
        <v>1147</v>
      </c>
      <c r="N56" s="61" t="s">
        <v>1147</v>
      </c>
      <c r="O56" s="61" t="s">
        <v>1147</v>
      </c>
      <c r="P56" s="61" t="s">
        <v>1147</v>
      </c>
      <c r="Q56" s="121">
        <v>2657.0</v>
      </c>
      <c r="R56" s="61" t="s">
        <v>1147</v>
      </c>
      <c r="S56" s="61" t="s">
        <v>1147</v>
      </c>
      <c r="T56" s="121" t="s">
        <v>664</v>
      </c>
    </row>
    <row r="57">
      <c r="A57" s="120"/>
      <c r="B57" s="120" t="s">
        <v>327</v>
      </c>
      <c r="C57" s="120" t="s">
        <v>1204</v>
      </c>
      <c r="D57" s="121">
        <v>2.2986617E7</v>
      </c>
      <c r="E57" s="120">
        <v>1.123163394E9</v>
      </c>
      <c r="F57" s="121" t="s">
        <v>329</v>
      </c>
      <c r="G57" s="121" t="s">
        <v>25</v>
      </c>
      <c r="H57" s="121" t="s">
        <v>26</v>
      </c>
      <c r="I57" s="121" t="s">
        <v>57</v>
      </c>
      <c r="J57" s="122">
        <v>26547.0</v>
      </c>
      <c r="K57" s="61" t="s">
        <v>1147</v>
      </c>
      <c r="L57" s="61" t="s">
        <v>1147</v>
      </c>
      <c r="M57" s="61" t="s">
        <v>1147</v>
      </c>
      <c r="N57" s="61" t="s">
        <v>1147</v>
      </c>
      <c r="O57" s="61" t="s">
        <v>1147</v>
      </c>
      <c r="P57" s="61" t="s">
        <v>1147</v>
      </c>
      <c r="Q57" s="121">
        <v>941.0</v>
      </c>
      <c r="R57" s="61" t="s">
        <v>1147</v>
      </c>
      <c r="S57" s="122">
        <v>42948.0</v>
      </c>
      <c r="T57" s="121" t="s">
        <v>664</v>
      </c>
    </row>
    <row r="58">
      <c r="A58" s="120"/>
      <c r="B58" s="120" t="s">
        <v>335</v>
      </c>
      <c r="C58" s="120" t="s">
        <v>1205</v>
      </c>
      <c r="D58" s="121">
        <v>3.6471269E7</v>
      </c>
      <c r="E58" s="120">
        <v>1.14145952E9</v>
      </c>
      <c r="F58" s="121" t="s">
        <v>337</v>
      </c>
      <c r="G58" s="121" t="s">
        <v>25</v>
      </c>
      <c r="H58" s="121" t="s">
        <v>26</v>
      </c>
      <c r="I58" s="61" t="s">
        <v>1147</v>
      </c>
      <c r="J58" s="122">
        <v>34231.0</v>
      </c>
      <c r="K58" s="61" t="s">
        <v>1147</v>
      </c>
      <c r="L58" s="61" t="s">
        <v>1147</v>
      </c>
      <c r="M58" s="61" t="s">
        <v>1147</v>
      </c>
      <c r="N58" s="61" t="s">
        <v>1147</v>
      </c>
      <c r="O58" s="61" t="s">
        <v>1147</v>
      </c>
      <c r="P58" s="61" t="s">
        <v>1147</v>
      </c>
      <c r="Q58" s="121">
        <v>2499.0</v>
      </c>
      <c r="R58" s="61" t="s">
        <v>1147</v>
      </c>
      <c r="S58" s="61" t="s">
        <v>1147</v>
      </c>
      <c r="T58" s="121" t="s">
        <v>664</v>
      </c>
    </row>
    <row r="59">
      <c r="A59" s="120"/>
      <c r="B59" s="120" t="s">
        <v>338</v>
      </c>
      <c r="C59" s="120" t="s">
        <v>1206</v>
      </c>
      <c r="D59" s="121">
        <v>3.9962767E7</v>
      </c>
      <c r="E59" s="120">
        <v>1.168768011E9</v>
      </c>
      <c r="G59" s="121" t="s">
        <v>25</v>
      </c>
      <c r="H59" s="121" t="s">
        <v>26</v>
      </c>
      <c r="I59" s="61" t="s">
        <v>1147</v>
      </c>
      <c r="J59" s="122">
        <v>35347.0</v>
      </c>
      <c r="K59" s="61" t="s">
        <v>1147</v>
      </c>
      <c r="L59" s="61" t="s">
        <v>1147</v>
      </c>
      <c r="M59" s="61" t="s">
        <v>1147</v>
      </c>
      <c r="N59" s="61" t="s">
        <v>1147</v>
      </c>
      <c r="O59" s="61" t="s">
        <v>1147</v>
      </c>
      <c r="P59" s="61" t="s">
        <v>1147</v>
      </c>
      <c r="Q59" s="121">
        <v>1944.0</v>
      </c>
      <c r="R59" s="61" t="s">
        <v>1147</v>
      </c>
      <c r="S59" s="61" t="s">
        <v>1147</v>
      </c>
      <c r="T59" s="121" t="s">
        <v>664</v>
      </c>
    </row>
    <row r="60">
      <c r="A60" s="120"/>
      <c r="B60" s="120" t="s">
        <v>343</v>
      </c>
      <c r="C60" s="120" t="s">
        <v>1207</v>
      </c>
      <c r="D60" s="121">
        <v>4.1556999E7</v>
      </c>
      <c r="E60" s="121">
        <v>1.145289291E9</v>
      </c>
      <c r="F60" s="121" t="s">
        <v>348</v>
      </c>
      <c r="G60" s="121" t="s">
        <v>25</v>
      </c>
      <c r="H60" s="121" t="s">
        <v>26</v>
      </c>
      <c r="I60" s="121" t="s">
        <v>57</v>
      </c>
      <c r="J60" s="122">
        <v>36102.0</v>
      </c>
      <c r="K60" s="121" t="s">
        <v>345</v>
      </c>
      <c r="L60" s="121">
        <v>1434.0</v>
      </c>
      <c r="M60" s="121" t="s">
        <v>28</v>
      </c>
      <c r="N60" s="121" t="s">
        <v>32</v>
      </c>
      <c r="O60" s="121" t="s">
        <v>346</v>
      </c>
      <c r="P60" s="121" t="s">
        <v>347</v>
      </c>
      <c r="Q60" s="121">
        <v>3018.0</v>
      </c>
      <c r="R60" s="61" t="s">
        <v>1147</v>
      </c>
      <c r="S60" s="122">
        <v>45140.0</v>
      </c>
      <c r="T60" s="121" t="s">
        <v>664</v>
      </c>
    </row>
    <row r="61">
      <c r="A61" s="120"/>
      <c r="B61" s="120" t="s">
        <v>349</v>
      </c>
      <c r="C61" s="120" t="s">
        <v>1208</v>
      </c>
      <c r="D61" s="121">
        <v>2.2650822E7</v>
      </c>
      <c r="E61" s="121">
        <v>1.158521754E9</v>
      </c>
      <c r="F61" s="121" t="s">
        <v>351</v>
      </c>
      <c r="G61" s="121" t="s">
        <v>25</v>
      </c>
      <c r="H61" s="121" t="s">
        <v>26</v>
      </c>
      <c r="I61" s="61" t="s">
        <v>1147</v>
      </c>
      <c r="J61" s="122">
        <v>26352.0</v>
      </c>
      <c r="K61" s="61" t="s">
        <v>1147</v>
      </c>
      <c r="L61" s="61" t="s">
        <v>1147</v>
      </c>
      <c r="M61" s="61" t="s">
        <v>1147</v>
      </c>
      <c r="N61" s="61" t="s">
        <v>1147</v>
      </c>
      <c r="O61" s="61" t="s">
        <v>1147</v>
      </c>
      <c r="P61" s="61" t="s">
        <v>1147</v>
      </c>
      <c r="Q61" s="121">
        <v>114.0</v>
      </c>
      <c r="R61" s="61" t="s">
        <v>1147</v>
      </c>
      <c r="S61" s="122">
        <v>42186.0</v>
      </c>
      <c r="T61" s="61" t="s">
        <v>1147</v>
      </c>
    </row>
    <row r="62">
      <c r="A62" s="120"/>
      <c r="B62" s="120" t="s">
        <v>352</v>
      </c>
      <c r="C62" s="120" t="s">
        <v>1209</v>
      </c>
      <c r="D62" s="121">
        <v>3.5959231E7</v>
      </c>
      <c r="E62" s="120">
        <v>1.167217723E9</v>
      </c>
      <c r="F62" s="121" t="s">
        <v>354</v>
      </c>
      <c r="G62" s="121" t="s">
        <v>25</v>
      </c>
      <c r="H62" s="121" t="s">
        <v>26</v>
      </c>
      <c r="I62" s="61" t="s">
        <v>1147</v>
      </c>
      <c r="J62" s="122">
        <v>33341.0</v>
      </c>
      <c r="K62" s="61" t="s">
        <v>1147</v>
      </c>
      <c r="L62" s="61" t="s">
        <v>1147</v>
      </c>
      <c r="M62" s="61" t="s">
        <v>1147</v>
      </c>
      <c r="N62" s="61" t="s">
        <v>1147</v>
      </c>
      <c r="O62" s="61" t="s">
        <v>1147</v>
      </c>
      <c r="P62" s="61" t="s">
        <v>1147</v>
      </c>
      <c r="Q62" s="121">
        <v>376.0</v>
      </c>
      <c r="R62" s="61" t="s">
        <v>1147</v>
      </c>
      <c r="S62" s="122">
        <v>42884.0</v>
      </c>
      <c r="T62" s="121" t="s">
        <v>664</v>
      </c>
    </row>
    <row r="63">
      <c r="A63" s="120"/>
      <c r="B63" s="120" t="s">
        <v>355</v>
      </c>
      <c r="C63" s="120" t="s">
        <v>1210</v>
      </c>
      <c r="D63" s="121">
        <v>2.8418896E7</v>
      </c>
      <c r="E63" s="121">
        <v>1.157802702E9</v>
      </c>
      <c r="F63" s="121" t="s">
        <v>357</v>
      </c>
      <c r="G63" s="121" t="s">
        <v>25</v>
      </c>
      <c r="H63" s="121" t="s">
        <v>26</v>
      </c>
      <c r="I63" s="61" t="s">
        <v>1147</v>
      </c>
      <c r="J63" s="122">
        <v>29461.0</v>
      </c>
      <c r="K63" s="61" t="s">
        <v>1147</v>
      </c>
      <c r="L63" s="61" t="s">
        <v>1147</v>
      </c>
      <c r="M63" s="61" t="s">
        <v>1147</v>
      </c>
      <c r="N63" s="61" t="s">
        <v>1147</v>
      </c>
      <c r="O63" s="61" t="s">
        <v>1147</v>
      </c>
      <c r="P63" s="61" t="s">
        <v>1147</v>
      </c>
      <c r="Q63" s="121">
        <v>1978.0</v>
      </c>
      <c r="R63" s="61" t="s">
        <v>1147</v>
      </c>
      <c r="S63" s="61" t="s">
        <v>1147</v>
      </c>
      <c r="T63" s="121" t="s">
        <v>664</v>
      </c>
    </row>
    <row r="64">
      <c r="A64" s="120"/>
      <c r="B64" s="120" t="s">
        <v>358</v>
      </c>
      <c r="C64" s="120" t="s">
        <v>1211</v>
      </c>
      <c r="D64" s="121">
        <v>4.0137655E7</v>
      </c>
      <c r="E64" s="120">
        <v>1.127455035E9</v>
      </c>
      <c r="F64" s="121" t="s">
        <v>360</v>
      </c>
      <c r="G64" s="121" t="s">
        <v>25</v>
      </c>
      <c r="H64" s="121" t="s">
        <v>26</v>
      </c>
      <c r="I64" s="61" t="s">
        <v>1147</v>
      </c>
      <c r="J64" s="122">
        <v>35451.0</v>
      </c>
      <c r="K64" s="61" t="s">
        <v>1147</v>
      </c>
      <c r="L64" s="61" t="s">
        <v>1147</v>
      </c>
      <c r="M64" s="61" t="s">
        <v>1147</v>
      </c>
      <c r="N64" s="61" t="s">
        <v>1147</v>
      </c>
      <c r="O64" s="61" t="s">
        <v>1147</v>
      </c>
      <c r="P64" s="61" t="s">
        <v>1147</v>
      </c>
      <c r="Q64" s="121">
        <v>2324.0</v>
      </c>
      <c r="R64" s="61" t="s">
        <v>1147</v>
      </c>
      <c r="S64" s="61" t="s">
        <v>1147</v>
      </c>
      <c r="T64" s="121" t="s">
        <v>664</v>
      </c>
    </row>
    <row r="65">
      <c r="A65" s="120"/>
      <c r="B65" s="120" t="s">
        <v>361</v>
      </c>
      <c r="C65" s="120" t="s">
        <v>1212</v>
      </c>
      <c r="D65" s="121">
        <v>4.0390933E7</v>
      </c>
      <c r="E65" s="121">
        <v>1.125168797E9</v>
      </c>
      <c r="F65" s="121" t="s">
        <v>363</v>
      </c>
      <c r="G65" s="121" t="s">
        <v>25</v>
      </c>
      <c r="H65" s="121" t="s">
        <v>26</v>
      </c>
      <c r="I65" s="61" t="s">
        <v>1147</v>
      </c>
      <c r="J65" s="122">
        <v>35711.0</v>
      </c>
      <c r="K65" s="61" t="s">
        <v>1147</v>
      </c>
      <c r="L65" s="61" t="s">
        <v>1147</v>
      </c>
      <c r="M65" s="61" t="s">
        <v>1147</v>
      </c>
      <c r="N65" s="61" t="s">
        <v>1147</v>
      </c>
      <c r="O65" s="61" t="s">
        <v>1147</v>
      </c>
      <c r="P65" s="61" t="s">
        <v>1147</v>
      </c>
      <c r="Q65" s="121">
        <v>1543.0</v>
      </c>
      <c r="R65" s="61" t="s">
        <v>1147</v>
      </c>
      <c r="S65" s="122">
        <v>43405.0</v>
      </c>
      <c r="T65" s="121" t="s">
        <v>664</v>
      </c>
    </row>
    <row r="66">
      <c r="A66" s="120"/>
      <c r="B66" s="120" t="s">
        <v>361</v>
      </c>
      <c r="C66" s="120" t="s">
        <v>43</v>
      </c>
      <c r="D66" s="121">
        <v>4.0239878E7</v>
      </c>
      <c r="E66" s="121">
        <v>1.1380177E9</v>
      </c>
      <c r="F66" s="121" t="s">
        <v>365</v>
      </c>
      <c r="G66" s="121" t="s">
        <v>25</v>
      </c>
      <c r="H66" s="121" t="s">
        <v>26</v>
      </c>
      <c r="I66" s="61" t="s">
        <v>1147</v>
      </c>
      <c r="J66" s="122">
        <v>35449.0</v>
      </c>
      <c r="K66" s="61" t="s">
        <v>1147</v>
      </c>
      <c r="L66" s="61" t="s">
        <v>1147</v>
      </c>
      <c r="M66" s="61" t="s">
        <v>1147</v>
      </c>
      <c r="N66" s="61" t="s">
        <v>1147</v>
      </c>
      <c r="O66" s="61" t="s">
        <v>1147</v>
      </c>
      <c r="P66" s="61" t="s">
        <v>1147</v>
      </c>
      <c r="Q66" s="121">
        <v>1739.0</v>
      </c>
      <c r="R66" s="61" t="s">
        <v>1147</v>
      </c>
      <c r="S66" s="122">
        <v>43710.0</v>
      </c>
      <c r="T66" s="121" t="s">
        <v>664</v>
      </c>
    </row>
    <row r="67">
      <c r="A67" s="120"/>
      <c r="B67" s="120" t="s">
        <v>361</v>
      </c>
      <c r="C67" s="120" t="s">
        <v>1213</v>
      </c>
      <c r="D67" s="121">
        <v>2.5847688E7</v>
      </c>
      <c r="E67" s="120">
        <v>1.131269652E9</v>
      </c>
      <c r="G67" s="121" t="s">
        <v>25</v>
      </c>
      <c r="H67" s="121" t="s">
        <v>26</v>
      </c>
      <c r="I67" s="61" t="s">
        <v>1147</v>
      </c>
      <c r="J67" s="122"/>
      <c r="K67" s="61" t="s">
        <v>1147</v>
      </c>
      <c r="L67" s="61" t="s">
        <v>1147</v>
      </c>
      <c r="M67" s="61" t="s">
        <v>1147</v>
      </c>
      <c r="N67" s="61" t="s">
        <v>1147</v>
      </c>
      <c r="O67" s="61" t="s">
        <v>1147</v>
      </c>
      <c r="P67" s="61" t="s">
        <v>1147</v>
      </c>
      <c r="Q67" s="121">
        <v>3199.0</v>
      </c>
      <c r="R67" s="61" t="s">
        <v>1147</v>
      </c>
      <c r="S67" s="61" t="s">
        <v>1147</v>
      </c>
      <c r="T67" s="121" t="s">
        <v>664</v>
      </c>
    </row>
    <row r="68">
      <c r="A68" s="120"/>
      <c r="B68" s="120" t="s">
        <v>372</v>
      </c>
      <c r="C68" s="120" t="s">
        <v>43</v>
      </c>
      <c r="D68" s="121">
        <v>4.0698496E7</v>
      </c>
      <c r="E68" s="121">
        <v>1.16588265E9</v>
      </c>
      <c r="G68" s="121" t="s">
        <v>25</v>
      </c>
      <c r="H68" s="121" t="s">
        <v>26</v>
      </c>
      <c r="I68" s="61" t="s">
        <v>1147</v>
      </c>
      <c r="J68" s="122"/>
      <c r="K68" s="61" t="s">
        <v>1147</v>
      </c>
      <c r="L68" s="61" t="s">
        <v>1147</v>
      </c>
      <c r="M68" s="61" t="s">
        <v>1147</v>
      </c>
      <c r="N68" s="61" t="s">
        <v>1147</v>
      </c>
      <c r="O68" s="61" t="s">
        <v>1147</v>
      </c>
      <c r="P68" s="61" t="s">
        <v>1147</v>
      </c>
      <c r="Q68" s="121">
        <v>2830.0</v>
      </c>
      <c r="R68" s="61" t="s">
        <v>1147</v>
      </c>
      <c r="S68" s="61" t="s">
        <v>1147</v>
      </c>
      <c r="T68" s="121" t="s">
        <v>664</v>
      </c>
    </row>
    <row r="69">
      <c r="A69" s="120"/>
      <c r="B69" s="120" t="s">
        <v>374</v>
      </c>
      <c r="C69" s="120" t="s">
        <v>1214</v>
      </c>
      <c r="D69" s="121">
        <v>3.0465419E7</v>
      </c>
      <c r="E69" s="121">
        <v>1.151361265E9</v>
      </c>
      <c r="F69" s="121" t="s">
        <v>375</v>
      </c>
      <c r="G69" s="121" t="s">
        <v>25</v>
      </c>
      <c r="H69" s="61" t="s">
        <v>62</v>
      </c>
      <c r="I69" s="61" t="s">
        <v>1147</v>
      </c>
      <c r="J69" s="122">
        <v>30580.0</v>
      </c>
      <c r="K69" s="61" t="s">
        <v>1147</v>
      </c>
      <c r="L69" s="61" t="s">
        <v>1147</v>
      </c>
      <c r="M69" s="61" t="s">
        <v>1147</v>
      </c>
      <c r="N69" s="61" t="s">
        <v>1147</v>
      </c>
      <c r="O69" s="61" t="s">
        <v>1147</v>
      </c>
      <c r="P69" s="61" t="s">
        <v>1147</v>
      </c>
      <c r="Q69" s="121">
        <v>1124.0</v>
      </c>
      <c r="R69" s="61" t="s">
        <v>1147</v>
      </c>
      <c r="S69" s="122">
        <v>43009.0</v>
      </c>
      <c r="T69" s="121" t="s">
        <v>664</v>
      </c>
    </row>
    <row r="70">
      <c r="A70" s="120"/>
      <c r="B70" s="120" t="s">
        <v>376</v>
      </c>
      <c r="C70" s="120" t="s">
        <v>1215</v>
      </c>
      <c r="D70" s="121">
        <v>4.5285264E7</v>
      </c>
      <c r="E70" s="121">
        <v>1.124676665E9</v>
      </c>
      <c r="G70" s="121" t="s">
        <v>25</v>
      </c>
      <c r="H70" s="121" t="s">
        <v>26</v>
      </c>
      <c r="I70" s="121" t="s">
        <v>57</v>
      </c>
      <c r="J70" s="122">
        <v>38070.0</v>
      </c>
      <c r="K70" s="121" t="s">
        <v>378</v>
      </c>
      <c r="L70" s="121">
        <v>1770.0</v>
      </c>
      <c r="M70" s="121" t="s">
        <v>28</v>
      </c>
      <c r="N70" s="121" t="s">
        <v>379</v>
      </c>
      <c r="O70" s="121" t="s">
        <v>37</v>
      </c>
      <c r="P70" s="61" t="s">
        <v>1147</v>
      </c>
      <c r="Q70" s="121">
        <v>2518.0</v>
      </c>
      <c r="R70" s="61" t="s">
        <v>1147</v>
      </c>
      <c r="S70" s="61" t="s">
        <v>1147</v>
      </c>
      <c r="T70" s="121" t="s">
        <v>664</v>
      </c>
    </row>
    <row r="71">
      <c r="A71" s="120"/>
      <c r="B71" s="120" t="s">
        <v>376</v>
      </c>
      <c r="C71" s="120" t="s">
        <v>1216</v>
      </c>
      <c r="D71" s="121">
        <v>2.5681364E7</v>
      </c>
      <c r="E71" s="121">
        <v>1.126573366E9</v>
      </c>
      <c r="F71" s="121" t="s">
        <v>383</v>
      </c>
      <c r="G71" s="121" t="s">
        <v>25</v>
      </c>
      <c r="H71" s="121" t="s">
        <v>26</v>
      </c>
      <c r="I71" s="61" t="s">
        <v>1147</v>
      </c>
      <c r="J71" s="122">
        <v>28142.0</v>
      </c>
      <c r="K71" s="61" t="s">
        <v>1147</v>
      </c>
      <c r="L71" s="61" t="s">
        <v>1147</v>
      </c>
      <c r="M71" s="61" t="s">
        <v>1147</v>
      </c>
      <c r="N71" s="61" t="s">
        <v>1147</v>
      </c>
      <c r="O71" s="61" t="s">
        <v>1147</v>
      </c>
      <c r="P71" s="61" t="s">
        <v>1147</v>
      </c>
      <c r="Q71" s="121">
        <v>1953.0</v>
      </c>
      <c r="R71" s="61" t="s">
        <v>1147</v>
      </c>
      <c r="S71" s="122">
        <v>44627.0</v>
      </c>
      <c r="T71" s="121" t="s">
        <v>664</v>
      </c>
    </row>
    <row r="72">
      <c r="A72" s="120"/>
      <c r="B72" s="120" t="s">
        <v>387</v>
      </c>
      <c r="C72" s="120" t="s">
        <v>1217</v>
      </c>
      <c r="D72" s="121">
        <v>4.49638E7</v>
      </c>
      <c r="E72" s="121">
        <v>1.163746095E9</v>
      </c>
      <c r="F72" s="121" t="s">
        <v>390</v>
      </c>
      <c r="G72" s="121" t="s">
        <v>25</v>
      </c>
      <c r="H72" s="121" t="s">
        <v>26</v>
      </c>
      <c r="I72" s="121" t="s">
        <v>57</v>
      </c>
      <c r="J72" s="122">
        <v>37672.0</v>
      </c>
      <c r="K72" s="121" t="s">
        <v>389</v>
      </c>
      <c r="L72" s="61" t="s">
        <v>1147</v>
      </c>
      <c r="M72" s="121" t="s">
        <v>28</v>
      </c>
      <c r="N72" s="121" t="s">
        <v>312</v>
      </c>
      <c r="O72" s="121" t="s">
        <v>37</v>
      </c>
      <c r="P72" s="61" t="s">
        <v>1147</v>
      </c>
      <c r="Q72" s="121">
        <v>2680.0</v>
      </c>
      <c r="R72" s="61" t="s">
        <v>1147</v>
      </c>
      <c r="S72" s="61" t="s">
        <v>1147</v>
      </c>
      <c r="T72" s="121" t="s">
        <v>664</v>
      </c>
    </row>
    <row r="73">
      <c r="A73" s="120"/>
      <c r="B73" s="120" t="s">
        <v>391</v>
      </c>
      <c r="C73" s="120" t="s">
        <v>1218</v>
      </c>
      <c r="D73" s="121">
        <v>1.906315E7</v>
      </c>
      <c r="E73" s="120">
        <v>1.138863933E9</v>
      </c>
      <c r="F73" s="121" t="s">
        <v>393</v>
      </c>
      <c r="G73" s="121" t="s">
        <v>25</v>
      </c>
      <c r="H73" s="121" t="s">
        <v>26</v>
      </c>
      <c r="I73" s="61" t="s">
        <v>1147</v>
      </c>
      <c r="J73" s="122">
        <v>32347.0</v>
      </c>
      <c r="K73" s="61" t="s">
        <v>1147</v>
      </c>
      <c r="L73" s="61" t="s">
        <v>1147</v>
      </c>
      <c r="M73" s="61" t="s">
        <v>1147</v>
      </c>
      <c r="N73" s="61" t="s">
        <v>1147</v>
      </c>
      <c r="O73" s="61" t="s">
        <v>1147</v>
      </c>
      <c r="P73" s="61" t="s">
        <v>1147</v>
      </c>
      <c r="Q73" s="121">
        <v>996.0</v>
      </c>
      <c r="R73" s="61" t="s">
        <v>1147</v>
      </c>
      <c r="S73" s="122">
        <v>42948.0</v>
      </c>
      <c r="T73" s="121" t="s">
        <v>664</v>
      </c>
    </row>
    <row r="74">
      <c r="A74" s="120"/>
      <c r="B74" s="120" t="s">
        <v>394</v>
      </c>
      <c r="C74" s="120" t="s">
        <v>1219</v>
      </c>
      <c r="D74" s="121">
        <v>3.8838668E7</v>
      </c>
      <c r="E74" s="121">
        <v>1.136269477E9</v>
      </c>
      <c r="F74" s="121" t="s">
        <v>396</v>
      </c>
      <c r="G74" s="121" t="s">
        <v>25</v>
      </c>
      <c r="H74" s="121" t="s">
        <v>26</v>
      </c>
      <c r="I74" s="61" t="s">
        <v>1147</v>
      </c>
      <c r="J74" s="122"/>
      <c r="K74" s="61" t="s">
        <v>1147</v>
      </c>
      <c r="L74" s="61" t="s">
        <v>1147</v>
      </c>
      <c r="M74" s="61" t="s">
        <v>1147</v>
      </c>
      <c r="N74" s="61" t="s">
        <v>1147</v>
      </c>
      <c r="O74" s="61" t="s">
        <v>1147</v>
      </c>
      <c r="P74" s="61" t="s">
        <v>1147</v>
      </c>
      <c r="Q74" s="121">
        <v>1970.0</v>
      </c>
      <c r="R74" s="61" t="s">
        <v>1147</v>
      </c>
      <c r="S74" s="122">
        <v>44774.0</v>
      </c>
      <c r="T74" s="121" t="s">
        <v>664</v>
      </c>
    </row>
    <row r="75">
      <c r="A75" s="120"/>
      <c r="B75" s="120" t="s">
        <v>397</v>
      </c>
      <c r="C75" s="120" t="s">
        <v>1220</v>
      </c>
      <c r="D75" s="121">
        <v>3.1624543E7</v>
      </c>
      <c r="E75" s="121">
        <v>1.161566965E9</v>
      </c>
      <c r="F75" s="121" t="s">
        <v>401</v>
      </c>
      <c r="G75" s="121" t="s">
        <v>25</v>
      </c>
      <c r="H75" s="121" t="s">
        <v>26</v>
      </c>
      <c r="I75" s="121" t="s">
        <v>57</v>
      </c>
      <c r="J75" s="122">
        <v>31158.0</v>
      </c>
      <c r="K75" s="121" t="s">
        <v>399</v>
      </c>
      <c r="L75" s="121">
        <v>1446.0</v>
      </c>
      <c r="M75" s="121" t="s">
        <v>32</v>
      </c>
      <c r="N75" s="121" t="s">
        <v>32</v>
      </c>
      <c r="O75" s="121" t="s">
        <v>37</v>
      </c>
      <c r="P75" s="121" t="s">
        <v>400</v>
      </c>
      <c r="Q75" s="121">
        <v>1365.0</v>
      </c>
      <c r="R75" s="61" t="s">
        <v>1147</v>
      </c>
      <c r="S75" s="122">
        <v>43100.0</v>
      </c>
      <c r="T75" s="121" t="s">
        <v>664</v>
      </c>
    </row>
    <row r="76">
      <c r="A76" s="120"/>
      <c r="B76" s="120" t="s">
        <v>397</v>
      </c>
      <c r="C76" s="120" t="s">
        <v>1221</v>
      </c>
      <c r="D76" s="121">
        <v>2.9400848E7</v>
      </c>
      <c r="E76" s="120">
        <v>1.161636711E9</v>
      </c>
      <c r="F76" s="121" t="s">
        <v>403</v>
      </c>
      <c r="G76" s="121" t="s">
        <v>25</v>
      </c>
      <c r="H76" s="121" t="s">
        <v>26</v>
      </c>
      <c r="I76" s="61" t="s">
        <v>1147</v>
      </c>
      <c r="J76" s="122">
        <v>30035.0</v>
      </c>
      <c r="K76" s="61" t="s">
        <v>1147</v>
      </c>
      <c r="L76" s="61" t="s">
        <v>1147</v>
      </c>
      <c r="M76" s="61" t="s">
        <v>1147</v>
      </c>
      <c r="N76" s="61" t="s">
        <v>1147</v>
      </c>
      <c r="O76" s="61" t="s">
        <v>1147</v>
      </c>
      <c r="P76" s="61" t="s">
        <v>1147</v>
      </c>
      <c r="Q76" s="121">
        <v>2340.0</v>
      </c>
      <c r="R76" s="61" t="s">
        <v>1147</v>
      </c>
      <c r="S76" s="61" t="s">
        <v>1147</v>
      </c>
      <c r="T76" s="121" t="s">
        <v>664</v>
      </c>
    </row>
    <row r="77">
      <c r="A77" s="120"/>
      <c r="B77" s="120" t="s">
        <v>404</v>
      </c>
      <c r="C77" s="120" t="s">
        <v>1222</v>
      </c>
      <c r="D77" s="121">
        <v>3.1575604E7</v>
      </c>
      <c r="E77" s="120">
        <v>1.12395707E9</v>
      </c>
      <c r="F77" s="121" t="s">
        <v>406</v>
      </c>
      <c r="G77" s="121" t="s">
        <v>25</v>
      </c>
      <c r="H77" s="61" t="s">
        <v>62</v>
      </c>
      <c r="I77" s="61" t="s">
        <v>1147</v>
      </c>
      <c r="J77" s="122">
        <v>31055.0</v>
      </c>
      <c r="K77" s="61" t="s">
        <v>1147</v>
      </c>
      <c r="L77" s="61" t="s">
        <v>1147</v>
      </c>
      <c r="M77" s="61" t="s">
        <v>1147</v>
      </c>
      <c r="N77" s="61" t="s">
        <v>1147</v>
      </c>
      <c r="O77" s="61" t="s">
        <v>1147</v>
      </c>
      <c r="P77" s="61" t="s">
        <v>1147</v>
      </c>
      <c r="Q77" s="121">
        <v>1004.0</v>
      </c>
      <c r="R77" s="61" t="s">
        <v>1147</v>
      </c>
      <c r="S77" s="122">
        <v>43009.0</v>
      </c>
      <c r="T77" s="121" t="s">
        <v>664</v>
      </c>
    </row>
    <row r="78">
      <c r="A78" s="120"/>
      <c r="B78" s="120" t="s">
        <v>407</v>
      </c>
      <c r="C78" s="120" t="s">
        <v>1223</v>
      </c>
      <c r="D78" s="121">
        <v>9.5040589E7</v>
      </c>
      <c r="E78" s="121">
        <v>1.160531098E9</v>
      </c>
      <c r="F78" s="121" t="s">
        <v>409</v>
      </c>
      <c r="G78" s="121" t="s">
        <v>25</v>
      </c>
      <c r="H78" s="61" t="s">
        <v>1224</v>
      </c>
      <c r="I78" s="61" t="s">
        <v>1147</v>
      </c>
      <c r="J78" s="122">
        <v>28450.0</v>
      </c>
      <c r="K78" s="61" t="s">
        <v>1147</v>
      </c>
      <c r="L78" s="61" t="s">
        <v>1147</v>
      </c>
      <c r="M78" s="61" t="s">
        <v>1147</v>
      </c>
      <c r="N78" s="61" t="s">
        <v>1147</v>
      </c>
      <c r="O78" s="61" t="s">
        <v>1147</v>
      </c>
      <c r="P78" s="61" t="s">
        <v>1147</v>
      </c>
      <c r="Q78" s="121">
        <v>180.0</v>
      </c>
      <c r="R78" s="61" t="s">
        <v>1147</v>
      </c>
      <c r="S78" s="122">
        <v>42615.0</v>
      </c>
      <c r="T78" s="121" t="s">
        <v>664</v>
      </c>
    </row>
    <row r="79">
      <c r="A79" s="120"/>
      <c r="B79" s="120" t="s">
        <v>410</v>
      </c>
      <c r="C79" s="120" t="s">
        <v>1225</v>
      </c>
      <c r="D79" s="121">
        <v>4.3624266E7</v>
      </c>
      <c r="E79" s="121">
        <v>1.127487823E9</v>
      </c>
      <c r="F79" s="121" t="s">
        <v>412</v>
      </c>
      <c r="G79" s="121" t="s">
        <v>25</v>
      </c>
      <c r="H79" s="61" t="s">
        <v>26</v>
      </c>
      <c r="I79" s="61" t="s">
        <v>1147</v>
      </c>
      <c r="J79" s="122">
        <v>37252.0</v>
      </c>
      <c r="K79" s="61" t="s">
        <v>1147</v>
      </c>
      <c r="L79" s="61" t="s">
        <v>1147</v>
      </c>
      <c r="M79" s="61" t="s">
        <v>1147</v>
      </c>
      <c r="N79" s="61" t="s">
        <v>1147</v>
      </c>
      <c r="O79" s="61" t="s">
        <v>1147</v>
      </c>
      <c r="P79" s="61" t="s">
        <v>1147</v>
      </c>
      <c r="Q79" s="121">
        <v>3033.0</v>
      </c>
      <c r="R79" s="61" t="s">
        <v>1147</v>
      </c>
      <c r="S79" s="61" t="s">
        <v>1147</v>
      </c>
      <c r="T79" s="121" t="s">
        <v>664</v>
      </c>
    </row>
    <row r="80">
      <c r="A80" s="120"/>
      <c r="B80" s="120" t="s">
        <v>425</v>
      </c>
      <c r="C80" s="120" t="s">
        <v>1226</v>
      </c>
      <c r="D80" s="121">
        <v>3.1137587E7</v>
      </c>
      <c r="E80" s="121">
        <v>1.130404995E9</v>
      </c>
      <c r="F80" s="121" t="s">
        <v>427</v>
      </c>
      <c r="G80" s="121" t="s">
        <v>25</v>
      </c>
      <c r="H80" s="61" t="s">
        <v>26</v>
      </c>
      <c r="I80" s="61" t="s">
        <v>1147</v>
      </c>
      <c r="J80" s="122">
        <v>30862.0</v>
      </c>
      <c r="K80" s="61" t="s">
        <v>1147</v>
      </c>
      <c r="L80" s="61" t="s">
        <v>1147</v>
      </c>
      <c r="M80" s="61" t="s">
        <v>1147</v>
      </c>
      <c r="N80" s="61" t="s">
        <v>1147</v>
      </c>
      <c r="O80" s="61" t="s">
        <v>1147</v>
      </c>
      <c r="P80" s="61" t="s">
        <v>1147</v>
      </c>
      <c r="Q80" s="121">
        <v>543.0</v>
      </c>
      <c r="R80" s="61" t="s">
        <v>1147</v>
      </c>
      <c r="S80" s="122">
        <v>42917.0</v>
      </c>
      <c r="T80" s="121" t="s">
        <v>664</v>
      </c>
    </row>
    <row r="81">
      <c r="A81" s="120"/>
      <c r="B81" s="120" t="s">
        <v>428</v>
      </c>
      <c r="C81" s="120" t="s">
        <v>1227</v>
      </c>
      <c r="D81" s="121">
        <v>3.8070572E7</v>
      </c>
      <c r="E81" s="120">
        <v>1.157530604E9</v>
      </c>
      <c r="F81" s="121" t="s">
        <v>430</v>
      </c>
      <c r="G81" s="121" t="s">
        <v>25</v>
      </c>
      <c r="H81" s="61" t="s">
        <v>26</v>
      </c>
      <c r="I81" s="61" t="s">
        <v>1147</v>
      </c>
      <c r="J81" s="122">
        <v>34412.0</v>
      </c>
      <c r="K81" s="61" t="s">
        <v>1147</v>
      </c>
      <c r="L81" s="61" t="s">
        <v>1147</v>
      </c>
      <c r="M81" s="61" t="s">
        <v>1147</v>
      </c>
      <c r="N81" s="61" t="s">
        <v>1147</v>
      </c>
      <c r="O81" s="61" t="s">
        <v>1147</v>
      </c>
      <c r="P81" s="61" t="s">
        <v>1147</v>
      </c>
      <c r="Q81" s="121">
        <v>1775.0</v>
      </c>
      <c r="R81" s="61" t="s">
        <v>1147</v>
      </c>
      <c r="S81" s="122">
        <v>43739.0</v>
      </c>
      <c r="T81" s="121" t="s">
        <v>664</v>
      </c>
    </row>
    <row r="82">
      <c r="A82" s="120"/>
      <c r="B82" s="120" t="s">
        <v>431</v>
      </c>
      <c r="C82" s="120" t="s">
        <v>1228</v>
      </c>
      <c r="D82" s="121">
        <v>2.1365112E7</v>
      </c>
      <c r="E82" s="121">
        <v>1.168758827E9</v>
      </c>
      <c r="F82" s="121" t="s">
        <v>433</v>
      </c>
      <c r="G82" s="121" t="s">
        <v>25</v>
      </c>
      <c r="H82" s="61" t="s">
        <v>26</v>
      </c>
      <c r="I82" s="61" t="s">
        <v>1147</v>
      </c>
      <c r="J82" s="122">
        <v>25635.0</v>
      </c>
      <c r="K82" s="61" t="s">
        <v>1147</v>
      </c>
      <c r="L82" s="61" t="s">
        <v>1147</v>
      </c>
      <c r="M82" s="61" t="s">
        <v>1147</v>
      </c>
      <c r="N82" s="61" t="s">
        <v>1147</v>
      </c>
      <c r="O82" s="61" t="s">
        <v>1147</v>
      </c>
      <c r="P82" s="61" t="s">
        <v>1147</v>
      </c>
      <c r="Q82" s="121">
        <v>1429.0</v>
      </c>
      <c r="R82" s="61" t="s">
        <v>1147</v>
      </c>
      <c r="S82" s="122">
        <v>43344.0</v>
      </c>
      <c r="T82" s="121" t="s">
        <v>665</v>
      </c>
    </row>
    <row r="83">
      <c r="A83" s="120"/>
      <c r="B83" s="120" t="s">
        <v>59</v>
      </c>
      <c r="C83" s="120" t="s">
        <v>1229</v>
      </c>
      <c r="D83" s="121">
        <v>3.9464452E7</v>
      </c>
      <c r="E83" s="120">
        <v>1.13874701E9</v>
      </c>
      <c r="F83" s="121" t="s">
        <v>444</v>
      </c>
      <c r="G83" s="121" t="s">
        <v>25</v>
      </c>
      <c r="H83" s="121" t="s">
        <v>26</v>
      </c>
      <c r="I83" s="121" t="s">
        <v>57</v>
      </c>
      <c r="J83" s="122">
        <v>35333.0</v>
      </c>
      <c r="K83" s="121" t="s">
        <v>443</v>
      </c>
      <c r="L83" s="121">
        <v>1407.0</v>
      </c>
      <c r="M83" s="121" t="s">
        <v>28</v>
      </c>
      <c r="N83" s="121" t="s">
        <v>32</v>
      </c>
      <c r="O83" s="121" t="s">
        <v>37</v>
      </c>
      <c r="P83" s="61" t="s">
        <v>1147</v>
      </c>
      <c r="Q83" s="121">
        <v>2537.0</v>
      </c>
      <c r="R83" s="61" t="s">
        <v>1147</v>
      </c>
      <c r="S83" s="61" t="s">
        <v>1147</v>
      </c>
      <c r="T83" s="121" t="s">
        <v>666</v>
      </c>
    </row>
    <row r="84">
      <c r="A84" s="120"/>
      <c r="B84" s="120" t="s">
        <v>445</v>
      </c>
      <c r="C84" s="120" t="s">
        <v>1230</v>
      </c>
      <c r="D84" s="121">
        <v>9.5159988E7</v>
      </c>
      <c r="E84" s="121">
        <v>1.127276399E9</v>
      </c>
      <c r="F84" s="121" t="s">
        <v>447</v>
      </c>
      <c r="G84" s="121" t="s">
        <v>25</v>
      </c>
      <c r="H84" s="61" t="s">
        <v>62</v>
      </c>
      <c r="I84" s="61" t="s">
        <v>1147</v>
      </c>
      <c r="J84" s="122">
        <v>34467.0</v>
      </c>
      <c r="K84" s="61" t="s">
        <v>1147</v>
      </c>
      <c r="L84" s="61" t="s">
        <v>1147</v>
      </c>
      <c r="M84" s="61" t="s">
        <v>1147</v>
      </c>
      <c r="N84" s="61" t="s">
        <v>1147</v>
      </c>
      <c r="O84" s="61" t="s">
        <v>1147</v>
      </c>
      <c r="P84" s="61" t="s">
        <v>1147</v>
      </c>
      <c r="Q84" s="121">
        <v>1776.0</v>
      </c>
      <c r="R84" s="61" t="s">
        <v>1147</v>
      </c>
      <c r="S84" s="122">
        <v>43739.0</v>
      </c>
      <c r="T84" s="121" t="s">
        <v>664</v>
      </c>
    </row>
    <row r="85">
      <c r="A85" s="120"/>
      <c r="B85" s="120" t="s">
        <v>454</v>
      </c>
      <c r="C85" s="120" t="s">
        <v>1231</v>
      </c>
      <c r="D85" s="121">
        <v>3.0161994E7</v>
      </c>
      <c r="E85" s="121">
        <v>1.136699218E9</v>
      </c>
      <c r="F85" s="121" t="s">
        <v>456</v>
      </c>
      <c r="G85" s="121" t="s">
        <v>25</v>
      </c>
      <c r="H85" s="61" t="s">
        <v>62</v>
      </c>
      <c r="I85" s="61" t="s">
        <v>1147</v>
      </c>
      <c r="J85" s="122"/>
      <c r="K85" s="61" t="s">
        <v>1147</v>
      </c>
      <c r="L85" s="61" t="s">
        <v>1147</v>
      </c>
      <c r="M85" s="61" t="s">
        <v>1147</v>
      </c>
      <c r="N85" s="61" t="s">
        <v>1147</v>
      </c>
      <c r="O85" s="61" t="s">
        <v>1147</v>
      </c>
      <c r="P85" s="61" t="s">
        <v>1147</v>
      </c>
      <c r="Q85" s="121">
        <v>2001.0</v>
      </c>
      <c r="R85" s="61" t="s">
        <v>1147</v>
      </c>
      <c r="S85" s="122">
        <v>44791.0</v>
      </c>
      <c r="T85" s="121" t="s">
        <v>664</v>
      </c>
    </row>
    <row r="86">
      <c r="A86" s="120"/>
      <c r="B86" s="120" t="s">
        <v>457</v>
      </c>
      <c r="C86" s="120" t="s">
        <v>1232</v>
      </c>
      <c r="D86" s="121">
        <v>3.6375804E7</v>
      </c>
      <c r="E86" s="121">
        <v>1.161708518E9</v>
      </c>
      <c r="F86" s="121" t="s">
        <v>459</v>
      </c>
      <c r="G86" s="121" t="s">
        <v>25</v>
      </c>
      <c r="H86" s="61" t="s">
        <v>62</v>
      </c>
      <c r="I86" s="61" t="s">
        <v>1147</v>
      </c>
      <c r="J86" s="122">
        <v>33536.0</v>
      </c>
      <c r="K86" s="61" t="s">
        <v>1147</v>
      </c>
      <c r="L86" s="61" t="s">
        <v>1147</v>
      </c>
      <c r="M86" s="61" t="s">
        <v>1147</v>
      </c>
      <c r="N86" s="61" t="s">
        <v>1147</v>
      </c>
      <c r="O86" s="61" t="s">
        <v>1147</v>
      </c>
      <c r="P86" s="61" t="s">
        <v>1147</v>
      </c>
      <c r="Q86" s="121">
        <v>1234.0</v>
      </c>
      <c r="R86" s="61" t="s">
        <v>1147</v>
      </c>
      <c r="S86" s="122">
        <v>43164.0</v>
      </c>
      <c r="T86" s="121" t="s">
        <v>664</v>
      </c>
    </row>
    <row r="87">
      <c r="A87" s="120"/>
      <c r="B87" s="120" t="s">
        <v>460</v>
      </c>
      <c r="C87" s="120" t="s">
        <v>1233</v>
      </c>
      <c r="D87" s="121">
        <v>2.3506497E7</v>
      </c>
      <c r="E87" s="120">
        <v>1.171661108E9</v>
      </c>
      <c r="F87" s="121" t="s">
        <v>462</v>
      </c>
      <c r="G87" s="121" t="s">
        <v>25</v>
      </c>
      <c r="H87" s="61" t="s">
        <v>26</v>
      </c>
      <c r="I87" s="61" t="s">
        <v>1147</v>
      </c>
      <c r="J87" s="122">
        <v>27027.0</v>
      </c>
      <c r="K87" s="61" t="s">
        <v>1147</v>
      </c>
      <c r="L87" s="61" t="s">
        <v>1147</v>
      </c>
      <c r="M87" s="61" t="s">
        <v>1147</v>
      </c>
      <c r="N87" s="61" t="s">
        <v>1147</v>
      </c>
      <c r="O87" s="61" t="s">
        <v>1147</v>
      </c>
      <c r="P87" s="61" t="s">
        <v>1147</v>
      </c>
      <c r="Q87" s="121">
        <v>1674.0</v>
      </c>
      <c r="R87" s="61" t="s">
        <v>1147</v>
      </c>
      <c r="S87" s="122">
        <v>43581.0</v>
      </c>
      <c r="T87" s="121" t="s">
        <v>664</v>
      </c>
    </row>
    <row r="88">
      <c r="A88" s="120"/>
      <c r="B88" s="120" t="s">
        <v>463</v>
      </c>
      <c r="C88" s="120" t="s">
        <v>1234</v>
      </c>
      <c r="D88" s="121">
        <v>2.7621398E7</v>
      </c>
      <c r="E88" s="120">
        <v>1.168069316E9</v>
      </c>
      <c r="F88" s="121" t="s">
        <v>465</v>
      </c>
      <c r="G88" s="121" t="s">
        <v>25</v>
      </c>
      <c r="H88" s="61" t="s">
        <v>26</v>
      </c>
      <c r="I88" s="61" t="s">
        <v>1147</v>
      </c>
      <c r="J88" s="122">
        <v>29196.0</v>
      </c>
      <c r="K88" s="61" t="s">
        <v>1147</v>
      </c>
      <c r="L88" s="61" t="s">
        <v>1147</v>
      </c>
      <c r="M88" s="61" t="s">
        <v>1147</v>
      </c>
      <c r="N88" s="61" t="s">
        <v>1147</v>
      </c>
      <c r="O88" s="61" t="s">
        <v>1147</v>
      </c>
      <c r="P88" s="61" t="s">
        <v>1147</v>
      </c>
      <c r="Q88" s="121">
        <v>1665.0</v>
      </c>
      <c r="R88" s="61" t="s">
        <v>1147</v>
      </c>
      <c r="S88" s="122">
        <v>43570.0</v>
      </c>
      <c r="T88" s="121" t="s">
        <v>664</v>
      </c>
    </row>
    <row r="89">
      <c r="A89" s="120"/>
      <c r="B89" s="120" t="s">
        <v>466</v>
      </c>
      <c r="C89" s="120" t="s">
        <v>1235</v>
      </c>
      <c r="D89" s="121">
        <v>3.1164406E7</v>
      </c>
      <c r="E89" s="121">
        <v>1.154181283E9</v>
      </c>
      <c r="F89" s="121" t="s">
        <v>468</v>
      </c>
      <c r="G89" s="121" t="s">
        <v>25</v>
      </c>
      <c r="H89" s="61" t="s">
        <v>26</v>
      </c>
      <c r="I89" s="61" t="s">
        <v>1147</v>
      </c>
      <c r="J89" s="122">
        <v>30902.0</v>
      </c>
      <c r="K89" s="61" t="s">
        <v>1147</v>
      </c>
      <c r="L89" s="61" t="s">
        <v>1147</v>
      </c>
      <c r="M89" s="61" t="s">
        <v>1147</v>
      </c>
      <c r="N89" s="61" t="s">
        <v>1147</v>
      </c>
      <c r="O89" s="61" t="s">
        <v>1147</v>
      </c>
      <c r="P89" s="61" t="s">
        <v>1147</v>
      </c>
      <c r="Q89" s="121">
        <v>1746.0</v>
      </c>
      <c r="R89" s="61" t="s">
        <v>1147</v>
      </c>
      <c r="S89" s="122">
        <v>43678.0</v>
      </c>
      <c r="T89" s="121" t="s">
        <v>664</v>
      </c>
    </row>
    <row r="90">
      <c r="A90" s="120"/>
      <c r="B90" s="120" t="s">
        <v>472</v>
      </c>
      <c r="C90" s="120" t="s">
        <v>1236</v>
      </c>
      <c r="D90" s="121">
        <v>9.4087495E7</v>
      </c>
      <c r="E90" s="121">
        <v>1.162777192E9</v>
      </c>
      <c r="F90" s="121" t="s">
        <v>474</v>
      </c>
      <c r="G90" s="121" t="s">
        <v>25</v>
      </c>
      <c r="H90" s="61" t="s">
        <v>26</v>
      </c>
      <c r="I90" s="61" t="s">
        <v>1147</v>
      </c>
      <c r="J90" s="122">
        <v>44332.0</v>
      </c>
      <c r="K90" s="61" t="s">
        <v>1147</v>
      </c>
      <c r="L90" s="61" t="s">
        <v>1147</v>
      </c>
      <c r="M90" s="61" t="s">
        <v>1147</v>
      </c>
      <c r="N90" s="61" t="s">
        <v>1147</v>
      </c>
      <c r="O90" s="61" t="s">
        <v>1147</v>
      </c>
      <c r="P90" s="61" t="s">
        <v>1147</v>
      </c>
      <c r="Q90" s="121">
        <v>1736.0</v>
      </c>
      <c r="R90" s="61" t="s">
        <v>1147</v>
      </c>
      <c r="S90" s="122">
        <v>43678.0</v>
      </c>
      <c r="T90" s="121" t="s">
        <v>664</v>
      </c>
    </row>
    <row r="91">
      <c r="A91" s="120"/>
      <c r="B91" s="120" t="s">
        <v>478</v>
      </c>
      <c r="C91" s="120" t="s">
        <v>1237</v>
      </c>
      <c r="D91" s="121">
        <v>3.3250656E7</v>
      </c>
      <c r="E91" s="121">
        <v>1.138308481E9</v>
      </c>
      <c r="F91" s="121" t="s">
        <v>480</v>
      </c>
      <c r="G91" s="121" t="s">
        <v>25</v>
      </c>
      <c r="H91" s="61" t="s">
        <v>62</v>
      </c>
      <c r="I91" s="61" t="s">
        <v>1147</v>
      </c>
      <c r="J91" s="122">
        <v>32216.0</v>
      </c>
      <c r="K91" s="61" t="s">
        <v>1147</v>
      </c>
      <c r="L91" s="61" t="s">
        <v>1147</v>
      </c>
      <c r="M91" s="61" t="s">
        <v>1147</v>
      </c>
      <c r="N91" s="61" t="s">
        <v>1147</v>
      </c>
      <c r="O91" s="61" t="s">
        <v>1147</v>
      </c>
      <c r="P91" s="61" t="s">
        <v>1147</v>
      </c>
      <c r="Q91" s="121">
        <v>260.0</v>
      </c>
      <c r="R91" s="61" t="s">
        <v>1147</v>
      </c>
      <c r="S91" s="122">
        <v>42795.0</v>
      </c>
      <c r="T91" s="121" t="s">
        <v>663</v>
      </c>
    </row>
    <row r="92">
      <c r="A92" s="120"/>
      <c r="B92" s="120" t="s">
        <v>485</v>
      </c>
      <c r="C92" s="120" t="s">
        <v>1238</v>
      </c>
      <c r="D92" s="121">
        <v>2.8683156E7</v>
      </c>
      <c r="E92" s="120">
        <v>1.156952628E9</v>
      </c>
      <c r="F92" s="121" t="s">
        <v>487</v>
      </c>
      <c r="G92" s="121" t="s">
        <v>25</v>
      </c>
      <c r="H92" s="61" t="s">
        <v>26</v>
      </c>
      <c r="I92" s="61" t="s">
        <v>1147</v>
      </c>
      <c r="J92" s="122">
        <v>29620.0</v>
      </c>
      <c r="K92" s="61" t="s">
        <v>1147</v>
      </c>
      <c r="L92" s="61" t="s">
        <v>1147</v>
      </c>
      <c r="M92" s="61" t="s">
        <v>1147</v>
      </c>
      <c r="N92" s="61" t="s">
        <v>1147</v>
      </c>
      <c r="O92" s="61" t="s">
        <v>1147</v>
      </c>
      <c r="P92" s="61" t="s">
        <v>1147</v>
      </c>
      <c r="Q92" s="121">
        <v>1065.0</v>
      </c>
      <c r="R92" s="61" t="s">
        <v>1147</v>
      </c>
      <c r="S92" s="122">
        <v>42948.0</v>
      </c>
      <c r="T92" s="121" t="s">
        <v>664</v>
      </c>
    </row>
    <row r="93">
      <c r="A93" s="120"/>
      <c r="B93" s="120" t="s">
        <v>523</v>
      </c>
      <c r="C93" s="120" t="s">
        <v>1239</v>
      </c>
      <c r="D93" s="121">
        <v>2.8922058E7</v>
      </c>
      <c r="E93" s="120">
        <v>1.134039809E9</v>
      </c>
      <c r="F93" s="121" t="s">
        <v>525</v>
      </c>
      <c r="G93" s="121" t="s">
        <v>25</v>
      </c>
      <c r="H93" s="61" t="s">
        <v>26</v>
      </c>
      <c r="I93" s="61" t="s">
        <v>1147</v>
      </c>
      <c r="J93" s="122">
        <v>29720.0</v>
      </c>
      <c r="K93" s="61" t="s">
        <v>1147</v>
      </c>
      <c r="L93" s="61" t="s">
        <v>1147</v>
      </c>
      <c r="M93" s="61" t="s">
        <v>1147</v>
      </c>
      <c r="N93" s="61" t="s">
        <v>1147</v>
      </c>
      <c r="O93" s="61" t="s">
        <v>1147</v>
      </c>
      <c r="P93" s="61" t="s">
        <v>1147</v>
      </c>
      <c r="Q93" s="121">
        <v>450.0</v>
      </c>
      <c r="R93" s="61" t="s">
        <v>1147</v>
      </c>
      <c r="S93" s="122">
        <v>42917.0</v>
      </c>
      <c r="T93" s="121" t="s">
        <v>664</v>
      </c>
    </row>
    <row r="94">
      <c r="A94" s="120"/>
      <c r="B94" s="120" t="s">
        <v>547</v>
      </c>
      <c r="C94" s="120" t="s">
        <v>1240</v>
      </c>
      <c r="D94" s="121">
        <v>3.6550977E7</v>
      </c>
      <c r="E94" s="121">
        <v>1.13137428E9</v>
      </c>
      <c r="F94" s="121" t="s">
        <v>549</v>
      </c>
      <c r="G94" s="121" t="s">
        <v>25</v>
      </c>
      <c r="H94" s="61" t="s">
        <v>26</v>
      </c>
      <c r="I94" s="61" t="s">
        <v>1147</v>
      </c>
      <c r="J94" s="122">
        <v>34263.0</v>
      </c>
      <c r="K94" s="61" t="s">
        <v>1147</v>
      </c>
      <c r="L94" s="61" t="s">
        <v>1147</v>
      </c>
      <c r="M94" s="61" t="s">
        <v>1147</v>
      </c>
      <c r="N94" s="61" t="s">
        <v>1147</v>
      </c>
      <c r="O94" s="61" t="s">
        <v>1147</v>
      </c>
      <c r="P94" s="61" t="s">
        <v>1147</v>
      </c>
      <c r="Q94" s="121">
        <v>1327.0</v>
      </c>
      <c r="R94" s="61" t="s">
        <v>1147</v>
      </c>
      <c r="S94" s="122">
        <v>43132.0</v>
      </c>
      <c r="T94" s="121" t="s">
        <v>664</v>
      </c>
    </row>
    <row r="95">
      <c r="A95" s="120"/>
      <c r="B95" s="120" t="s">
        <v>553</v>
      </c>
      <c r="C95" s="120" t="s">
        <v>1241</v>
      </c>
      <c r="D95" s="121">
        <v>9.5695047E7</v>
      </c>
      <c r="E95" s="120">
        <v>1.151065312E9</v>
      </c>
      <c r="F95" s="121" t="s">
        <v>555</v>
      </c>
      <c r="G95" s="121" t="s">
        <v>25</v>
      </c>
      <c r="H95" s="61" t="s">
        <v>26</v>
      </c>
      <c r="I95" s="61" t="s">
        <v>1147</v>
      </c>
      <c r="J95" s="122">
        <v>27263.0</v>
      </c>
      <c r="K95" s="61" t="s">
        <v>1147</v>
      </c>
      <c r="L95" s="61" t="s">
        <v>1147</v>
      </c>
      <c r="M95" s="61" t="s">
        <v>1147</v>
      </c>
      <c r="N95" s="61" t="s">
        <v>1147</v>
      </c>
      <c r="O95" s="61" t="s">
        <v>1147</v>
      </c>
      <c r="P95" s="61" t="s">
        <v>1147</v>
      </c>
      <c r="Q95" s="121">
        <v>509.0</v>
      </c>
      <c r="R95" s="61" t="s">
        <v>1147</v>
      </c>
      <c r="S95" s="122">
        <v>42919.0</v>
      </c>
      <c r="T95" s="121" t="s">
        <v>665</v>
      </c>
    </row>
    <row r="96">
      <c r="A96" s="120"/>
      <c r="B96" s="120" t="s">
        <v>556</v>
      </c>
      <c r="C96" s="120" t="s">
        <v>1242</v>
      </c>
      <c r="D96" s="121">
        <v>3.7699248E7</v>
      </c>
      <c r="E96" s="121">
        <v>1.1265383E9</v>
      </c>
      <c r="F96" s="121" t="s">
        <v>558</v>
      </c>
      <c r="G96" s="121" t="s">
        <v>25</v>
      </c>
      <c r="H96" s="61" t="s">
        <v>26</v>
      </c>
      <c r="I96" s="61" t="s">
        <v>1147</v>
      </c>
      <c r="J96" s="122">
        <v>34151.0</v>
      </c>
      <c r="K96" s="61" t="s">
        <v>1147</v>
      </c>
      <c r="L96" s="61" t="s">
        <v>1147</v>
      </c>
      <c r="M96" s="61" t="s">
        <v>1147</v>
      </c>
      <c r="N96" s="61" t="s">
        <v>1147</v>
      </c>
      <c r="O96" s="61" t="s">
        <v>1147</v>
      </c>
      <c r="P96" s="61" t="s">
        <v>1147</v>
      </c>
      <c r="Q96" s="121">
        <v>232.0</v>
      </c>
      <c r="R96" s="61" t="s">
        <v>1147</v>
      </c>
      <c r="S96" s="122">
        <v>42795.0</v>
      </c>
      <c r="T96" s="121" t="s">
        <v>663</v>
      </c>
    </row>
    <row r="97">
      <c r="A97" s="120"/>
      <c r="B97" s="120" t="s">
        <v>562</v>
      </c>
      <c r="C97" s="120" t="s">
        <v>1243</v>
      </c>
      <c r="D97" s="121">
        <v>3.391498E7</v>
      </c>
      <c r="E97" s="121">
        <v>1.127455035E9</v>
      </c>
      <c r="F97" s="121" t="s">
        <v>564</v>
      </c>
      <c r="G97" s="121" t="s">
        <v>25</v>
      </c>
      <c r="H97" s="61" t="s">
        <v>62</v>
      </c>
      <c r="I97" s="61" t="s">
        <v>1147</v>
      </c>
      <c r="J97" s="122">
        <v>32266.0</v>
      </c>
      <c r="K97" s="61" t="s">
        <v>1147</v>
      </c>
      <c r="L97" s="61" t="s">
        <v>1147</v>
      </c>
      <c r="M97" s="61" t="s">
        <v>1147</v>
      </c>
      <c r="N97" s="61" t="s">
        <v>1147</v>
      </c>
      <c r="O97" s="61" t="s">
        <v>1147</v>
      </c>
      <c r="P97" s="61" t="s">
        <v>1147</v>
      </c>
      <c r="Q97" s="121">
        <v>1993.0</v>
      </c>
      <c r="R97" s="61" t="s">
        <v>1147</v>
      </c>
      <c r="S97" s="122">
        <v>44789.0</v>
      </c>
      <c r="T97" s="121" t="s">
        <v>664</v>
      </c>
    </row>
    <row r="98">
      <c r="A98" s="120"/>
      <c r="B98" s="120" t="s">
        <v>565</v>
      </c>
      <c r="C98" s="120" t="s">
        <v>675</v>
      </c>
      <c r="D98" s="121">
        <v>2.9428219E7</v>
      </c>
      <c r="E98" s="121">
        <v>1.124773534E9</v>
      </c>
      <c r="F98" s="121" t="s">
        <v>567</v>
      </c>
      <c r="G98" s="121" t="s">
        <v>25</v>
      </c>
      <c r="H98" s="61" t="s">
        <v>26</v>
      </c>
      <c r="I98" s="61" t="s">
        <v>1147</v>
      </c>
      <c r="J98" s="122">
        <v>30042.0</v>
      </c>
      <c r="K98" s="61" t="s">
        <v>1147</v>
      </c>
      <c r="L98" s="61" t="s">
        <v>1147</v>
      </c>
      <c r="M98" s="61" t="s">
        <v>1147</v>
      </c>
      <c r="N98" s="61" t="s">
        <v>1147</v>
      </c>
      <c r="O98" s="61" t="s">
        <v>1147</v>
      </c>
      <c r="P98" s="61" t="s">
        <v>1147</v>
      </c>
      <c r="Q98" s="121">
        <v>413.0</v>
      </c>
      <c r="R98" s="61" t="s">
        <v>1147</v>
      </c>
      <c r="S98" s="122">
        <v>42884.0</v>
      </c>
      <c r="T98" s="121" t="s">
        <v>664</v>
      </c>
    </row>
    <row r="99">
      <c r="A99" s="120"/>
      <c r="B99" s="120" t="s">
        <v>576</v>
      </c>
      <c r="C99" s="120" t="s">
        <v>1244</v>
      </c>
      <c r="E99" s="121">
        <v>1.141439746E9</v>
      </c>
      <c r="G99" s="121" t="s">
        <v>1147</v>
      </c>
      <c r="H99" s="61" t="s">
        <v>26</v>
      </c>
      <c r="I99" s="121" t="s">
        <v>1147</v>
      </c>
      <c r="J99" s="122">
        <v>24313.0</v>
      </c>
      <c r="K99" s="121" t="s">
        <v>1147</v>
      </c>
      <c r="L99" s="61" t="s">
        <v>1147</v>
      </c>
      <c r="M99" s="121" t="s">
        <v>1147</v>
      </c>
      <c r="N99" s="121" t="s">
        <v>1147</v>
      </c>
      <c r="O99" s="121" t="s">
        <v>1147</v>
      </c>
      <c r="P99" s="121" t="s">
        <v>1147</v>
      </c>
      <c r="Q99" s="121" t="s">
        <v>1245</v>
      </c>
      <c r="R99" s="61" t="s">
        <v>1147</v>
      </c>
      <c r="S99" s="121" t="s">
        <v>1147</v>
      </c>
      <c r="T99" s="121" t="s">
        <v>1147</v>
      </c>
    </row>
    <row r="100">
      <c r="A100" s="120"/>
      <c r="B100" s="120" t="s">
        <v>578</v>
      </c>
      <c r="C100" s="120" t="s">
        <v>1246</v>
      </c>
      <c r="E100" s="121">
        <v>1.131236961E9</v>
      </c>
      <c r="G100" s="121" t="s">
        <v>1147</v>
      </c>
      <c r="H100" s="61" t="s">
        <v>62</v>
      </c>
      <c r="I100" s="121" t="s">
        <v>1147</v>
      </c>
      <c r="J100" s="122">
        <v>24313.0</v>
      </c>
      <c r="K100" s="121" t="s">
        <v>1147</v>
      </c>
      <c r="L100" s="61" t="s">
        <v>1147</v>
      </c>
      <c r="M100" s="121" t="s">
        <v>1147</v>
      </c>
      <c r="N100" s="121" t="s">
        <v>1147</v>
      </c>
      <c r="O100" s="121" t="s">
        <v>1147</v>
      </c>
      <c r="P100" s="121" t="s">
        <v>1147</v>
      </c>
      <c r="Q100" s="121" t="s">
        <v>1245</v>
      </c>
      <c r="R100" s="61" t="s">
        <v>1147</v>
      </c>
      <c r="S100" s="121" t="s">
        <v>1147</v>
      </c>
      <c r="T100" s="121" t="s">
        <v>1147</v>
      </c>
    </row>
    <row r="101">
      <c r="A101" s="120"/>
      <c r="B101" s="120" t="s">
        <v>580</v>
      </c>
      <c r="C101" s="120" t="s">
        <v>1247</v>
      </c>
      <c r="E101" s="121">
        <v>1.127445232E9</v>
      </c>
      <c r="G101" s="121" t="s">
        <v>1147</v>
      </c>
      <c r="H101" s="61" t="s">
        <v>26</v>
      </c>
      <c r="I101" s="121" t="s">
        <v>1147</v>
      </c>
      <c r="J101" s="122">
        <v>24313.0</v>
      </c>
      <c r="K101" s="121" t="s">
        <v>1147</v>
      </c>
      <c r="L101" s="61" t="s">
        <v>1147</v>
      </c>
      <c r="M101" s="121" t="s">
        <v>1147</v>
      </c>
      <c r="N101" s="121" t="s">
        <v>1147</v>
      </c>
      <c r="O101" s="121" t="s">
        <v>1147</v>
      </c>
      <c r="P101" s="121" t="s">
        <v>1147</v>
      </c>
      <c r="Q101" s="121" t="s">
        <v>1245</v>
      </c>
      <c r="R101" s="61" t="s">
        <v>1147</v>
      </c>
      <c r="S101" s="121" t="s">
        <v>1147</v>
      </c>
      <c r="T101" s="121" t="s">
        <v>1147</v>
      </c>
    </row>
    <row r="102">
      <c r="A102" s="120"/>
      <c r="B102" s="120" t="s">
        <v>582</v>
      </c>
      <c r="C102" s="120" t="s">
        <v>729</v>
      </c>
      <c r="D102" s="121">
        <v>3.6755934E7</v>
      </c>
      <c r="E102" s="121">
        <v>1.169603036E9</v>
      </c>
      <c r="F102" s="121" t="s">
        <v>584</v>
      </c>
      <c r="G102" s="61" t="s">
        <v>1147</v>
      </c>
      <c r="H102" s="61" t="s">
        <v>62</v>
      </c>
      <c r="I102" s="61" t="s">
        <v>1147</v>
      </c>
      <c r="J102" s="122">
        <v>33675.0</v>
      </c>
      <c r="K102" s="121" t="s">
        <v>1147</v>
      </c>
      <c r="L102" s="61" t="s">
        <v>1147</v>
      </c>
      <c r="M102" s="61" t="s">
        <v>1147</v>
      </c>
      <c r="N102" s="61" t="s">
        <v>1147</v>
      </c>
      <c r="O102" s="61" t="s">
        <v>1147</v>
      </c>
      <c r="P102" s="61" t="s">
        <v>1147</v>
      </c>
      <c r="Q102" s="121">
        <v>1753.0</v>
      </c>
      <c r="R102" s="61" t="s">
        <v>1147</v>
      </c>
      <c r="S102" s="122">
        <v>43739.0</v>
      </c>
      <c r="T102" s="121" t="s">
        <v>664</v>
      </c>
    </row>
    <row r="103">
      <c r="A103" s="120"/>
      <c r="B103" s="120" t="s">
        <v>582</v>
      </c>
      <c r="C103" s="120" t="s">
        <v>1248</v>
      </c>
      <c r="E103" s="121">
        <v>1.138122802E9</v>
      </c>
      <c r="G103" s="121" t="s">
        <v>1147</v>
      </c>
      <c r="H103" s="61" t="s">
        <v>26</v>
      </c>
      <c r="I103" s="121" t="s">
        <v>1147</v>
      </c>
      <c r="J103" s="122">
        <v>24313.0</v>
      </c>
      <c r="K103" s="121" t="s">
        <v>1147</v>
      </c>
      <c r="L103" s="61" t="s">
        <v>1147</v>
      </c>
      <c r="M103" s="121" t="s">
        <v>1147</v>
      </c>
      <c r="N103" s="121" t="s">
        <v>1147</v>
      </c>
      <c r="O103" s="121" t="s">
        <v>1147</v>
      </c>
      <c r="P103" s="121" t="s">
        <v>1147</v>
      </c>
      <c r="Q103" s="121" t="s">
        <v>1245</v>
      </c>
      <c r="R103" s="61" t="s">
        <v>1147</v>
      </c>
      <c r="S103" s="121" t="s">
        <v>1147</v>
      </c>
      <c r="T103" s="121" t="s">
        <v>1147</v>
      </c>
    </row>
    <row r="104">
      <c r="A104" s="120"/>
      <c r="B104" s="120" t="s">
        <v>590</v>
      </c>
      <c r="C104" s="120" t="s">
        <v>1249</v>
      </c>
      <c r="E104" s="120">
        <v>1.125526045E9</v>
      </c>
      <c r="G104" s="121" t="s">
        <v>1147</v>
      </c>
      <c r="H104" s="61" t="s">
        <v>26</v>
      </c>
      <c r="I104" s="121" t="s">
        <v>1147</v>
      </c>
      <c r="J104" s="122">
        <v>24313.0</v>
      </c>
      <c r="K104" s="121" t="s">
        <v>1147</v>
      </c>
      <c r="L104" s="61" t="s">
        <v>1147</v>
      </c>
      <c r="M104" s="121" t="s">
        <v>1147</v>
      </c>
      <c r="N104" s="121" t="s">
        <v>1147</v>
      </c>
      <c r="O104" s="121" t="s">
        <v>1147</v>
      </c>
      <c r="P104" s="121" t="s">
        <v>1147</v>
      </c>
      <c r="Q104" s="121" t="s">
        <v>1245</v>
      </c>
      <c r="R104" s="61" t="s">
        <v>1147</v>
      </c>
      <c r="S104" s="121" t="s">
        <v>1147</v>
      </c>
      <c r="T104" s="121" t="s">
        <v>1147</v>
      </c>
    </row>
    <row r="105">
      <c r="A105" s="120"/>
      <c r="B105" s="120" t="s">
        <v>592</v>
      </c>
      <c r="C105" s="120" t="s">
        <v>698</v>
      </c>
      <c r="E105" s="120">
        <v>1.149386278E9</v>
      </c>
      <c r="G105" s="121" t="s">
        <v>1147</v>
      </c>
      <c r="H105" s="61" t="s">
        <v>26</v>
      </c>
      <c r="I105" s="121" t="s">
        <v>1147</v>
      </c>
      <c r="J105" s="122">
        <v>24313.0</v>
      </c>
      <c r="K105" s="121" t="s">
        <v>1147</v>
      </c>
      <c r="L105" s="61" t="s">
        <v>1147</v>
      </c>
      <c r="M105" s="121" t="s">
        <v>1147</v>
      </c>
      <c r="N105" s="121" t="s">
        <v>1147</v>
      </c>
      <c r="O105" s="121" t="s">
        <v>1147</v>
      </c>
      <c r="P105" s="121" t="s">
        <v>1147</v>
      </c>
      <c r="Q105" s="121" t="s">
        <v>1245</v>
      </c>
      <c r="R105" s="61" t="s">
        <v>1147</v>
      </c>
      <c r="S105" s="121" t="s">
        <v>1147</v>
      </c>
      <c r="T105" s="121" t="s">
        <v>1147</v>
      </c>
    </row>
    <row r="106">
      <c r="A106" s="120"/>
      <c r="B106" s="120" t="s">
        <v>594</v>
      </c>
      <c r="C106" s="120" t="s">
        <v>1250</v>
      </c>
      <c r="E106" s="120">
        <v>1.141697938E9</v>
      </c>
      <c r="G106" s="121" t="s">
        <v>1147</v>
      </c>
      <c r="H106" s="61" t="s">
        <v>26</v>
      </c>
      <c r="I106" s="121" t="s">
        <v>1147</v>
      </c>
      <c r="J106" s="122">
        <v>24313.0</v>
      </c>
      <c r="K106" s="121" t="s">
        <v>1147</v>
      </c>
      <c r="L106" s="61" t="s">
        <v>1147</v>
      </c>
      <c r="M106" s="121" t="s">
        <v>1147</v>
      </c>
      <c r="N106" s="121" t="s">
        <v>1147</v>
      </c>
      <c r="O106" s="121" t="s">
        <v>1147</v>
      </c>
      <c r="P106" s="121" t="s">
        <v>1147</v>
      </c>
      <c r="Q106" s="121" t="s">
        <v>1245</v>
      </c>
      <c r="R106" s="61" t="s">
        <v>1147</v>
      </c>
      <c r="S106" s="121" t="s">
        <v>1147</v>
      </c>
      <c r="T106" s="121" t="s">
        <v>1147</v>
      </c>
    </row>
    <row r="107">
      <c r="A107" s="120"/>
      <c r="B107" s="120" t="s">
        <v>596</v>
      </c>
      <c r="C107" s="120" t="s">
        <v>698</v>
      </c>
      <c r="E107" s="121">
        <v>1.139199525E9</v>
      </c>
      <c r="G107" s="121" t="s">
        <v>1147</v>
      </c>
      <c r="H107" s="61" t="s">
        <v>26</v>
      </c>
      <c r="I107" s="121" t="s">
        <v>1147</v>
      </c>
      <c r="J107" s="122">
        <v>24313.0</v>
      </c>
      <c r="K107" s="121" t="s">
        <v>1147</v>
      </c>
      <c r="L107" s="61" t="s">
        <v>1147</v>
      </c>
      <c r="M107" s="121" t="s">
        <v>1147</v>
      </c>
      <c r="N107" s="121" t="s">
        <v>1147</v>
      </c>
      <c r="O107" s="121" t="s">
        <v>1147</v>
      </c>
      <c r="P107" s="121" t="s">
        <v>1147</v>
      </c>
      <c r="Q107" s="121" t="s">
        <v>1245</v>
      </c>
      <c r="R107" s="61" t="s">
        <v>1147</v>
      </c>
      <c r="S107" s="121" t="s">
        <v>1147</v>
      </c>
      <c r="T107" s="121" t="s">
        <v>1147</v>
      </c>
    </row>
    <row r="108">
      <c r="A108" s="120"/>
      <c r="B108" s="120" t="s">
        <v>597</v>
      </c>
      <c r="C108" s="120" t="s">
        <v>763</v>
      </c>
      <c r="E108" s="120">
        <v>1.169071195E9</v>
      </c>
      <c r="G108" s="121" t="s">
        <v>1147</v>
      </c>
      <c r="H108" s="61" t="s">
        <v>26</v>
      </c>
      <c r="I108" s="121" t="s">
        <v>1147</v>
      </c>
      <c r="J108" s="122">
        <v>24313.0</v>
      </c>
      <c r="K108" s="121" t="s">
        <v>1147</v>
      </c>
      <c r="L108" s="61" t="s">
        <v>1147</v>
      </c>
      <c r="M108" s="121" t="s">
        <v>1147</v>
      </c>
      <c r="N108" s="121" t="s">
        <v>1147</v>
      </c>
      <c r="O108" s="121" t="s">
        <v>1147</v>
      </c>
      <c r="P108" s="121" t="s">
        <v>1147</v>
      </c>
      <c r="Q108" s="121" t="s">
        <v>1245</v>
      </c>
      <c r="R108" s="61" t="s">
        <v>1147</v>
      </c>
      <c r="S108" s="121" t="s">
        <v>1147</v>
      </c>
      <c r="T108" s="121" t="s">
        <v>1147</v>
      </c>
    </row>
    <row r="109">
      <c r="A109" s="120"/>
      <c r="B109" s="120" t="s">
        <v>597</v>
      </c>
      <c r="C109" s="120" t="s">
        <v>1251</v>
      </c>
      <c r="E109" s="120">
        <v>1.134625079E9</v>
      </c>
      <c r="G109" s="121" t="s">
        <v>1147</v>
      </c>
      <c r="H109" s="61" t="s">
        <v>26</v>
      </c>
      <c r="I109" s="121" t="s">
        <v>1147</v>
      </c>
      <c r="J109" s="122">
        <v>24313.0</v>
      </c>
      <c r="K109" s="121" t="s">
        <v>1147</v>
      </c>
      <c r="L109" s="61" t="s">
        <v>1147</v>
      </c>
      <c r="M109" s="121" t="s">
        <v>1147</v>
      </c>
      <c r="N109" s="121" t="s">
        <v>1147</v>
      </c>
      <c r="O109" s="121" t="s">
        <v>1147</v>
      </c>
      <c r="P109" s="121" t="s">
        <v>1147</v>
      </c>
      <c r="Q109" s="121" t="s">
        <v>1245</v>
      </c>
      <c r="R109" s="61" t="s">
        <v>1147</v>
      </c>
      <c r="S109" s="121" t="s">
        <v>1147</v>
      </c>
      <c r="T109" s="121" t="s">
        <v>1147</v>
      </c>
    </row>
    <row r="110">
      <c r="A110" s="120"/>
      <c r="B110" s="120" t="s">
        <v>606</v>
      </c>
      <c r="C110" s="120" t="s">
        <v>1252</v>
      </c>
      <c r="E110" s="120">
        <v>1.131113453E9</v>
      </c>
      <c r="G110" s="121" t="s">
        <v>1147</v>
      </c>
      <c r="H110" s="61" t="s">
        <v>26</v>
      </c>
      <c r="I110" s="121" t="s">
        <v>1147</v>
      </c>
      <c r="J110" s="122">
        <v>24313.0</v>
      </c>
      <c r="K110" s="121" t="s">
        <v>1147</v>
      </c>
      <c r="L110" s="61" t="s">
        <v>1147</v>
      </c>
      <c r="M110" s="121" t="s">
        <v>1147</v>
      </c>
      <c r="N110" s="121" t="s">
        <v>1147</v>
      </c>
      <c r="O110" s="121" t="s">
        <v>1147</v>
      </c>
      <c r="P110" s="121" t="s">
        <v>1147</v>
      </c>
      <c r="Q110" s="121" t="s">
        <v>1245</v>
      </c>
      <c r="R110" s="61" t="s">
        <v>1147</v>
      </c>
      <c r="S110" s="121" t="s">
        <v>1147</v>
      </c>
      <c r="T110" s="121" t="s">
        <v>1147</v>
      </c>
    </row>
    <row r="111">
      <c r="A111" s="120"/>
      <c r="B111" s="120" t="s">
        <v>607</v>
      </c>
      <c r="C111" s="120" t="s">
        <v>1253</v>
      </c>
      <c r="D111" s="121">
        <v>3.8456881E7</v>
      </c>
      <c r="E111" s="120">
        <v>1.137587184E9</v>
      </c>
      <c r="F111" s="121" t="s">
        <v>609</v>
      </c>
      <c r="G111" s="61" t="s">
        <v>1147</v>
      </c>
      <c r="H111" s="61" t="s">
        <v>26</v>
      </c>
      <c r="I111" s="61" t="s">
        <v>1147</v>
      </c>
      <c r="J111" s="122">
        <v>34593.0</v>
      </c>
      <c r="K111" s="121" t="s">
        <v>1147</v>
      </c>
      <c r="L111" s="61" t="s">
        <v>1147</v>
      </c>
      <c r="M111" s="61" t="s">
        <v>1147</v>
      </c>
      <c r="N111" s="61" t="s">
        <v>1147</v>
      </c>
      <c r="O111" s="61" t="s">
        <v>1147</v>
      </c>
      <c r="P111" s="61" t="s">
        <v>1147</v>
      </c>
      <c r="Q111" s="121">
        <v>1777.0</v>
      </c>
      <c r="R111" s="61" t="s">
        <v>1147</v>
      </c>
      <c r="S111" s="122">
        <v>43739.0</v>
      </c>
      <c r="T111" s="121" t="s">
        <v>664</v>
      </c>
    </row>
    <row r="112">
      <c r="A112" s="120"/>
      <c r="B112" s="120" t="s">
        <v>610</v>
      </c>
      <c r="C112" s="120" t="s">
        <v>1254</v>
      </c>
      <c r="E112" s="120">
        <v>1.127563862E9</v>
      </c>
      <c r="G112" s="121" t="s">
        <v>1147</v>
      </c>
      <c r="H112" s="61" t="s">
        <v>62</v>
      </c>
      <c r="I112" s="121" t="s">
        <v>1147</v>
      </c>
      <c r="J112" s="122">
        <v>24313.0</v>
      </c>
      <c r="K112" s="121" t="s">
        <v>1147</v>
      </c>
      <c r="L112" s="61" t="s">
        <v>1147</v>
      </c>
      <c r="M112" s="121" t="s">
        <v>1147</v>
      </c>
      <c r="N112" s="121" t="s">
        <v>1147</v>
      </c>
      <c r="O112" s="121" t="s">
        <v>1147</v>
      </c>
      <c r="P112" s="121" t="s">
        <v>1147</v>
      </c>
      <c r="Q112" s="121" t="s">
        <v>1245</v>
      </c>
      <c r="R112" s="61" t="s">
        <v>1147</v>
      </c>
      <c r="S112" s="121" t="s">
        <v>1147</v>
      </c>
      <c r="T112" s="121" t="s">
        <v>1147</v>
      </c>
    </row>
    <row r="113">
      <c r="A113" s="120"/>
      <c r="B113" s="120" t="s">
        <v>612</v>
      </c>
      <c r="C113" s="120" t="s">
        <v>613</v>
      </c>
      <c r="D113" s="121">
        <v>4.2272694E7</v>
      </c>
      <c r="E113" s="120">
        <v>1.161511686E9</v>
      </c>
      <c r="F113" s="121" t="s">
        <v>617</v>
      </c>
      <c r="G113" s="121" t="s">
        <v>61</v>
      </c>
      <c r="H113" s="121" t="s">
        <v>26</v>
      </c>
      <c r="I113" s="121" t="s">
        <v>64</v>
      </c>
      <c r="J113" s="122">
        <v>36532.0</v>
      </c>
      <c r="K113" s="121" t="s">
        <v>614</v>
      </c>
      <c r="L113" s="121">
        <v>1439.0</v>
      </c>
      <c r="M113" s="121" t="s">
        <v>28</v>
      </c>
      <c r="N113" s="121" t="s">
        <v>616</v>
      </c>
      <c r="O113" s="121" t="s">
        <v>615</v>
      </c>
      <c r="P113" s="61" t="s">
        <v>1147</v>
      </c>
      <c r="Q113" s="121">
        <v>1583.0</v>
      </c>
      <c r="R113" s="61" t="s">
        <v>1147</v>
      </c>
      <c r="S113" s="61" t="s">
        <v>1147</v>
      </c>
      <c r="T113" s="121" t="s">
        <v>664</v>
      </c>
    </row>
    <row r="114">
      <c r="J114" s="122"/>
    </row>
    <row r="115">
      <c r="J115" s="122"/>
    </row>
    <row r="116">
      <c r="J116" s="122"/>
    </row>
    <row r="117">
      <c r="J117" s="122"/>
    </row>
    <row r="118">
      <c r="J118" s="122"/>
    </row>
    <row r="119">
      <c r="J119" s="122"/>
    </row>
    <row r="120">
      <c r="J120" s="122"/>
    </row>
    <row r="121">
      <c r="J121" s="122"/>
    </row>
    <row r="122">
      <c r="J122" s="122"/>
    </row>
    <row r="123">
      <c r="J123" s="122"/>
    </row>
    <row r="124">
      <c r="J124" s="122"/>
    </row>
    <row r="125">
      <c r="J125" s="122"/>
    </row>
    <row r="126">
      <c r="J126" s="122"/>
    </row>
    <row r="127">
      <c r="J127" s="122"/>
    </row>
    <row r="128">
      <c r="J128" s="122"/>
    </row>
    <row r="129">
      <c r="J129" s="122"/>
    </row>
    <row r="130">
      <c r="J130" s="122"/>
    </row>
    <row r="131">
      <c r="J131" s="122"/>
    </row>
    <row r="132">
      <c r="J132" s="122"/>
    </row>
    <row r="133">
      <c r="J133" s="122"/>
    </row>
    <row r="134">
      <c r="J134" s="122"/>
    </row>
    <row r="135">
      <c r="J135" s="122"/>
    </row>
    <row r="136">
      <c r="J136" s="122"/>
    </row>
    <row r="137">
      <c r="J137" s="122"/>
    </row>
    <row r="138">
      <c r="J138" s="122"/>
    </row>
    <row r="139">
      <c r="J139" s="122"/>
    </row>
    <row r="140">
      <c r="J140" s="122"/>
    </row>
    <row r="141">
      <c r="J141" s="122"/>
    </row>
    <row r="142">
      <c r="J142" s="122"/>
    </row>
    <row r="143">
      <c r="J143" s="122"/>
    </row>
    <row r="144">
      <c r="J144" s="122"/>
    </row>
    <row r="145">
      <c r="J145" s="122"/>
    </row>
    <row r="146">
      <c r="J146" s="122"/>
    </row>
    <row r="147">
      <c r="J147" s="122"/>
    </row>
    <row r="148">
      <c r="J148" s="122"/>
    </row>
    <row r="149">
      <c r="J149" s="122"/>
    </row>
    <row r="150">
      <c r="J150" s="122"/>
    </row>
    <row r="151">
      <c r="J151" s="122"/>
    </row>
    <row r="152">
      <c r="J152" s="122"/>
    </row>
    <row r="153">
      <c r="J153" s="122"/>
    </row>
    <row r="154">
      <c r="J154" s="122"/>
    </row>
    <row r="155">
      <c r="J155" s="122"/>
    </row>
    <row r="156">
      <c r="J156" s="122"/>
    </row>
    <row r="157">
      <c r="J157" s="122"/>
    </row>
    <row r="158">
      <c r="J158" s="122"/>
    </row>
    <row r="159">
      <c r="J159" s="122"/>
    </row>
    <row r="160">
      <c r="J160" s="122"/>
    </row>
    <row r="161">
      <c r="J161" s="122"/>
    </row>
    <row r="162">
      <c r="J162" s="122"/>
    </row>
    <row r="163">
      <c r="J163" s="122"/>
    </row>
    <row r="164">
      <c r="J164" s="122"/>
    </row>
    <row r="165">
      <c r="J165" s="122"/>
    </row>
    <row r="166">
      <c r="J166" s="122"/>
    </row>
    <row r="167">
      <c r="J167" s="122"/>
    </row>
    <row r="168">
      <c r="J168" s="122"/>
    </row>
    <row r="169">
      <c r="J169" s="122"/>
    </row>
    <row r="170">
      <c r="J170" s="122"/>
    </row>
    <row r="171">
      <c r="J171" s="122"/>
    </row>
    <row r="172">
      <c r="J172" s="122"/>
    </row>
    <row r="173">
      <c r="J173" s="122"/>
    </row>
    <row r="174">
      <c r="J174" s="122"/>
    </row>
    <row r="175">
      <c r="J175" s="122"/>
    </row>
    <row r="176">
      <c r="J176" s="122"/>
    </row>
    <row r="177">
      <c r="J177" s="122"/>
    </row>
    <row r="178">
      <c r="J178" s="122"/>
    </row>
    <row r="179">
      <c r="J179" s="122"/>
    </row>
    <row r="180">
      <c r="J180" s="122"/>
    </row>
    <row r="181">
      <c r="J181" s="122"/>
    </row>
    <row r="182">
      <c r="J182" s="122"/>
    </row>
    <row r="183">
      <c r="J183" s="122"/>
    </row>
    <row r="184">
      <c r="J184" s="122"/>
    </row>
    <row r="185">
      <c r="J185" s="122"/>
    </row>
    <row r="186">
      <c r="J186" s="122"/>
    </row>
    <row r="187">
      <c r="J187" s="122"/>
    </row>
    <row r="188">
      <c r="J188" s="122"/>
    </row>
    <row r="189">
      <c r="J189" s="122"/>
    </row>
    <row r="190">
      <c r="J190" s="122"/>
    </row>
    <row r="191">
      <c r="J191" s="122"/>
    </row>
    <row r="192">
      <c r="J192" s="122"/>
    </row>
    <row r="193">
      <c r="J193" s="122"/>
    </row>
    <row r="194">
      <c r="J194" s="122"/>
    </row>
    <row r="195">
      <c r="J195" s="122"/>
    </row>
    <row r="196">
      <c r="J196" s="122"/>
    </row>
    <row r="197">
      <c r="J197" s="122"/>
    </row>
    <row r="198">
      <c r="J198" s="122"/>
    </row>
    <row r="199">
      <c r="J199" s="122"/>
    </row>
    <row r="200">
      <c r="J200" s="122"/>
    </row>
    <row r="201">
      <c r="J201" s="122"/>
    </row>
    <row r="202">
      <c r="J202" s="122"/>
    </row>
    <row r="203">
      <c r="J203" s="122"/>
    </row>
    <row r="204">
      <c r="J204" s="122"/>
    </row>
    <row r="205">
      <c r="J205" s="122"/>
    </row>
    <row r="206">
      <c r="J206" s="122"/>
    </row>
    <row r="207">
      <c r="J207" s="122"/>
    </row>
    <row r="208">
      <c r="J208" s="122"/>
    </row>
    <row r="209">
      <c r="J209" s="122"/>
    </row>
    <row r="210">
      <c r="J210" s="122"/>
    </row>
    <row r="211">
      <c r="J211" s="122"/>
    </row>
    <row r="212">
      <c r="J212" s="122"/>
    </row>
    <row r="213">
      <c r="J213" s="122"/>
    </row>
    <row r="214">
      <c r="J214" s="122"/>
    </row>
    <row r="215">
      <c r="J215" s="122"/>
    </row>
    <row r="216">
      <c r="J216" s="122"/>
    </row>
    <row r="217">
      <c r="J217" s="122"/>
    </row>
    <row r="218">
      <c r="J218" s="122"/>
    </row>
    <row r="219">
      <c r="J219" s="122"/>
    </row>
    <row r="220">
      <c r="J220" s="122"/>
    </row>
    <row r="221">
      <c r="J221" s="122"/>
    </row>
    <row r="222">
      <c r="J222" s="122"/>
    </row>
    <row r="223">
      <c r="J223" s="122"/>
    </row>
    <row r="224">
      <c r="J224" s="122"/>
    </row>
    <row r="225">
      <c r="J225" s="122"/>
    </row>
    <row r="226">
      <c r="J226" s="122"/>
    </row>
    <row r="227">
      <c r="J227" s="122"/>
    </row>
    <row r="228">
      <c r="J228" s="122"/>
    </row>
    <row r="229">
      <c r="J229" s="122"/>
    </row>
    <row r="230">
      <c r="J230" s="122"/>
    </row>
    <row r="231">
      <c r="J231" s="122"/>
    </row>
    <row r="232">
      <c r="J232" s="122"/>
    </row>
    <row r="233">
      <c r="J233" s="122"/>
    </row>
    <row r="234">
      <c r="J234" s="122"/>
    </row>
    <row r="235">
      <c r="J235" s="122"/>
    </row>
    <row r="236">
      <c r="J236" s="122"/>
    </row>
    <row r="237">
      <c r="J237" s="122"/>
    </row>
    <row r="238">
      <c r="J238" s="122"/>
    </row>
    <row r="239">
      <c r="J239" s="122"/>
    </row>
    <row r="240">
      <c r="J240" s="122"/>
    </row>
    <row r="241">
      <c r="J241" s="122"/>
    </row>
    <row r="242">
      <c r="J242" s="122"/>
    </row>
    <row r="243">
      <c r="J243" s="122"/>
    </row>
    <row r="244">
      <c r="J244" s="122"/>
    </row>
    <row r="245">
      <c r="J245" s="122"/>
    </row>
    <row r="246">
      <c r="J246" s="122"/>
    </row>
    <row r="247">
      <c r="J247" s="122"/>
    </row>
    <row r="248">
      <c r="J248" s="122"/>
    </row>
    <row r="249">
      <c r="J249" s="122"/>
    </row>
    <row r="250">
      <c r="J250" s="122"/>
    </row>
    <row r="251">
      <c r="J251" s="122"/>
    </row>
    <row r="252">
      <c r="J252" s="122"/>
    </row>
    <row r="253">
      <c r="J253" s="122"/>
    </row>
    <row r="254">
      <c r="J254" s="122"/>
    </row>
    <row r="255">
      <c r="J255" s="122"/>
    </row>
    <row r="256">
      <c r="J256" s="122"/>
    </row>
    <row r="257">
      <c r="J257" s="122"/>
    </row>
    <row r="258">
      <c r="J258" s="122"/>
    </row>
    <row r="259">
      <c r="J259" s="122"/>
    </row>
    <row r="260">
      <c r="J260" s="122"/>
    </row>
    <row r="261">
      <c r="J261" s="122"/>
    </row>
    <row r="262">
      <c r="J262" s="122"/>
    </row>
    <row r="263">
      <c r="J263" s="122"/>
    </row>
    <row r="264">
      <c r="J264" s="122"/>
    </row>
    <row r="265">
      <c r="J265" s="122"/>
    </row>
    <row r="266">
      <c r="J266" s="122"/>
    </row>
    <row r="267">
      <c r="J267" s="122"/>
    </row>
    <row r="268">
      <c r="J268" s="122"/>
    </row>
    <row r="269">
      <c r="J269" s="122"/>
    </row>
    <row r="270">
      <c r="J270" s="122"/>
    </row>
    <row r="271">
      <c r="J271" s="122"/>
    </row>
    <row r="272">
      <c r="J272" s="122"/>
    </row>
    <row r="273">
      <c r="J273" s="122"/>
    </row>
    <row r="274">
      <c r="J274" s="122"/>
    </row>
    <row r="275">
      <c r="J275" s="122"/>
    </row>
    <row r="276">
      <c r="J276" s="122"/>
    </row>
    <row r="277">
      <c r="J277" s="122"/>
    </row>
    <row r="278">
      <c r="J278" s="122"/>
    </row>
    <row r="279">
      <c r="J279" s="122"/>
    </row>
    <row r="280">
      <c r="J280" s="122"/>
    </row>
    <row r="281">
      <c r="J281" s="122"/>
    </row>
    <row r="282">
      <c r="J282" s="122"/>
    </row>
    <row r="283">
      <c r="J283" s="122"/>
    </row>
    <row r="284">
      <c r="J284" s="122"/>
    </row>
    <row r="285">
      <c r="J285" s="122"/>
    </row>
    <row r="286">
      <c r="J286" s="122"/>
    </row>
    <row r="287">
      <c r="J287" s="122"/>
    </row>
    <row r="288">
      <c r="J288" s="122"/>
    </row>
    <row r="289">
      <c r="J289" s="122"/>
    </row>
    <row r="290">
      <c r="J290" s="122"/>
    </row>
    <row r="291">
      <c r="J291" s="122"/>
    </row>
    <row r="292">
      <c r="J292" s="122"/>
    </row>
    <row r="293">
      <c r="J293" s="122"/>
    </row>
    <row r="294">
      <c r="J294" s="122"/>
    </row>
    <row r="295">
      <c r="J295" s="122"/>
    </row>
    <row r="296">
      <c r="J296" s="122"/>
    </row>
    <row r="297">
      <c r="J297" s="122"/>
    </row>
    <row r="298">
      <c r="J298" s="122"/>
    </row>
    <row r="299">
      <c r="J299" s="122"/>
    </row>
    <row r="300">
      <c r="J300" s="122"/>
    </row>
    <row r="301">
      <c r="J301" s="122"/>
    </row>
    <row r="302">
      <c r="J302" s="122"/>
    </row>
    <row r="303">
      <c r="J303" s="122"/>
    </row>
    <row r="304">
      <c r="J304" s="122"/>
    </row>
    <row r="305">
      <c r="J305" s="122"/>
    </row>
    <row r="306">
      <c r="J306" s="122"/>
    </row>
    <row r="307">
      <c r="J307" s="122"/>
    </row>
    <row r="308">
      <c r="J308" s="122"/>
    </row>
    <row r="309">
      <c r="J309" s="122"/>
    </row>
    <row r="310">
      <c r="J310" s="122"/>
    </row>
    <row r="311">
      <c r="J311" s="122"/>
    </row>
    <row r="312">
      <c r="J312" s="122"/>
    </row>
    <row r="313">
      <c r="J313" s="122"/>
    </row>
    <row r="314">
      <c r="J314" s="122"/>
    </row>
    <row r="315">
      <c r="J315" s="122"/>
    </row>
    <row r="316">
      <c r="J316" s="122"/>
    </row>
    <row r="317">
      <c r="J317" s="122"/>
    </row>
    <row r="318">
      <c r="J318" s="122"/>
    </row>
    <row r="319">
      <c r="J319" s="122"/>
    </row>
    <row r="320">
      <c r="J320" s="122"/>
    </row>
    <row r="321">
      <c r="J321" s="122"/>
    </row>
    <row r="322">
      <c r="J322" s="122"/>
    </row>
    <row r="323">
      <c r="J323" s="122"/>
    </row>
    <row r="324">
      <c r="J324" s="122"/>
    </row>
    <row r="325">
      <c r="J325" s="122"/>
    </row>
    <row r="326">
      <c r="J326" s="122"/>
    </row>
    <row r="327">
      <c r="J327" s="122"/>
    </row>
    <row r="328">
      <c r="J328" s="122"/>
    </row>
    <row r="329">
      <c r="J329" s="122"/>
    </row>
    <row r="330">
      <c r="J330" s="122"/>
    </row>
    <row r="331">
      <c r="J331" s="122"/>
    </row>
    <row r="332">
      <c r="J332" s="122"/>
    </row>
    <row r="333">
      <c r="J333" s="122"/>
    </row>
    <row r="334">
      <c r="J334" s="122"/>
    </row>
    <row r="335">
      <c r="J335" s="122"/>
    </row>
    <row r="336">
      <c r="J336" s="122"/>
    </row>
    <row r="337">
      <c r="J337" s="122"/>
    </row>
    <row r="338">
      <c r="J338" s="122"/>
    </row>
    <row r="339">
      <c r="J339" s="122"/>
    </row>
    <row r="340">
      <c r="J340" s="122"/>
    </row>
    <row r="341">
      <c r="J341" s="122"/>
    </row>
    <row r="342">
      <c r="J342" s="122"/>
    </row>
    <row r="343">
      <c r="J343" s="122"/>
    </row>
    <row r="344">
      <c r="J344" s="122"/>
    </row>
    <row r="345">
      <c r="J345" s="122"/>
    </row>
    <row r="346">
      <c r="J346" s="122"/>
    </row>
    <row r="347">
      <c r="J347" s="122"/>
    </row>
    <row r="348">
      <c r="J348" s="122"/>
    </row>
    <row r="349">
      <c r="J349" s="122"/>
    </row>
    <row r="350">
      <c r="J350" s="122"/>
    </row>
    <row r="351">
      <c r="J351" s="122"/>
    </row>
    <row r="352">
      <c r="J352" s="122"/>
    </row>
    <row r="353">
      <c r="J353" s="122"/>
    </row>
    <row r="354">
      <c r="J354" s="122"/>
    </row>
    <row r="355">
      <c r="J355" s="122"/>
    </row>
    <row r="356">
      <c r="J356" s="122"/>
    </row>
    <row r="357">
      <c r="J357" s="122"/>
    </row>
    <row r="358">
      <c r="J358" s="122"/>
    </row>
    <row r="359">
      <c r="J359" s="122"/>
    </row>
    <row r="360">
      <c r="J360" s="122"/>
    </row>
    <row r="361">
      <c r="J361" s="122"/>
    </row>
    <row r="362">
      <c r="J362" s="122"/>
    </row>
    <row r="363">
      <c r="J363" s="122"/>
    </row>
    <row r="364">
      <c r="J364" s="122"/>
    </row>
    <row r="365">
      <c r="J365" s="122"/>
    </row>
    <row r="366">
      <c r="J366" s="122"/>
    </row>
    <row r="367">
      <c r="J367" s="122"/>
    </row>
    <row r="368">
      <c r="J368" s="122"/>
    </row>
    <row r="369">
      <c r="J369" s="122"/>
    </row>
    <row r="370">
      <c r="J370" s="122"/>
    </row>
    <row r="371">
      <c r="J371" s="122"/>
    </row>
    <row r="372">
      <c r="J372" s="122"/>
    </row>
    <row r="373">
      <c r="J373" s="122"/>
    </row>
    <row r="374">
      <c r="J374" s="122"/>
    </row>
    <row r="375">
      <c r="J375" s="122"/>
    </row>
    <row r="376">
      <c r="J376" s="122"/>
    </row>
    <row r="377">
      <c r="J377" s="122"/>
    </row>
    <row r="378">
      <c r="J378" s="122"/>
    </row>
    <row r="379">
      <c r="J379" s="122"/>
    </row>
    <row r="380">
      <c r="J380" s="122"/>
    </row>
    <row r="381">
      <c r="J381" s="122"/>
    </row>
    <row r="382">
      <c r="J382" s="122"/>
    </row>
    <row r="383">
      <c r="J383" s="122"/>
    </row>
    <row r="384">
      <c r="J384" s="122"/>
    </row>
    <row r="385">
      <c r="J385" s="122"/>
    </row>
    <row r="386">
      <c r="J386" s="122"/>
    </row>
    <row r="387">
      <c r="J387" s="122"/>
    </row>
    <row r="388">
      <c r="J388" s="122"/>
    </row>
    <row r="389">
      <c r="J389" s="122"/>
    </row>
    <row r="390">
      <c r="J390" s="122"/>
    </row>
    <row r="391">
      <c r="J391" s="122"/>
    </row>
    <row r="392">
      <c r="J392" s="122"/>
    </row>
    <row r="393">
      <c r="J393" s="122"/>
    </row>
    <row r="394">
      <c r="J394" s="122"/>
    </row>
    <row r="395">
      <c r="J395" s="122"/>
    </row>
    <row r="396">
      <c r="J396" s="122"/>
    </row>
    <row r="397">
      <c r="J397" s="122"/>
    </row>
    <row r="398">
      <c r="J398" s="122"/>
    </row>
    <row r="399">
      <c r="J399" s="122"/>
    </row>
    <row r="400">
      <c r="J400" s="122"/>
    </row>
    <row r="401">
      <c r="J401" s="122"/>
    </row>
    <row r="402">
      <c r="J402" s="122"/>
    </row>
    <row r="403">
      <c r="J403" s="122"/>
    </row>
    <row r="404">
      <c r="J404" s="122"/>
    </row>
    <row r="405">
      <c r="J405" s="122"/>
    </row>
    <row r="406">
      <c r="J406" s="122"/>
    </row>
    <row r="407">
      <c r="J407" s="122"/>
    </row>
    <row r="408">
      <c r="J408" s="122"/>
    </row>
    <row r="409">
      <c r="J409" s="122"/>
    </row>
    <row r="410">
      <c r="J410" s="122"/>
    </row>
    <row r="411">
      <c r="J411" s="122"/>
    </row>
    <row r="412">
      <c r="J412" s="122"/>
    </row>
    <row r="413">
      <c r="J413" s="122"/>
    </row>
    <row r="414">
      <c r="J414" s="122"/>
    </row>
    <row r="415">
      <c r="J415" s="122"/>
    </row>
    <row r="416">
      <c r="J416" s="122"/>
    </row>
    <row r="417">
      <c r="J417" s="122"/>
    </row>
    <row r="418">
      <c r="J418" s="122"/>
    </row>
    <row r="419">
      <c r="J419" s="122"/>
    </row>
    <row r="420">
      <c r="J420" s="122"/>
    </row>
    <row r="421">
      <c r="J421" s="122"/>
    </row>
    <row r="422">
      <c r="J422" s="122"/>
    </row>
    <row r="423">
      <c r="J423" s="122"/>
    </row>
    <row r="424">
      <c r="J424" s="122"/>
    </row>
    <row r="425">
      <c r="J425" s="122"/>
    </row>
    <row r="426">
      <c r="J426" s="122"/>
    </row>
    <row r="427">
      <c r="J427" s="122"/>
    </row>
    <row r="428">
      <c r="J428" s="122"/>
    </row>
    <row r="429">
      <c r="J429" s="122"/>
    </row>
    <row r="430">
      <c r="J430" s="122"/>
    </row>
    <row r="431">
      <c r="J431" s="122"/>
    </row>
    <row r="432">
      <c r="J432" s="122"/>
    </row>
    <row r="433">
      <c r="J433" s="122"/>
    </row>
    <row r="434">
      <c r="J434" s="122"/>
    </row>
    <row r="435">
      <c r="J435" s="122"/>
    </row>
    <row r="436">
      <c r="J436" s="122"/>
    </row>
    <row r="437">
      <c r="J437" s="122"/>
    </row>
    <row r="438">
      <c r="J438" s="122"/>
    </row>
    <row r="439">
      <c r="J439" s="122"/>
    </row>
    <row r="440">
      <c r="J440" s="122"/>
    </row>
    <row r="441">
      <c r="J441" s="122"/>
    </row>
    <row r="442">
      <c r="J442" s="122"/>
    </row>
    <row r="443">
      <c r="J443" s="122"/>
    </row>
    <row r="444">
      <c r="J444" s="122"/>
    </row>
    <row r="445">
      <c r="J445" s="122"/>
    </row>
    <row r="446">
      <c r="J446" s="122"/>
    </row>
    <row r="447">
      <c r="J447" s="122"/>
    </row>
    <row r="448">
      <c r="J448" s="122"/>
    </row>
    <row r="449">
      <c r="J449" s="122"/>
    </row>
    <row r="450">
      <c r="J450" s="122"/>
    </row>
    <row r="451">
      <c r="J451" s="122"/>
    </row>
    <row r="452">
      <c r="J452" s="122"/>
    </row>
    <row r="453">
      <c r="J453" s="122"/>
    </row>
    <row r="454">
      <c r="J454" s="122"/>
    </row>
    <row r="455">
      <c r="J455" s="122"/>
    </row>
    <row r="456">
      <c r="J456" s="122"/>
    </row>
    <row r="457">
      <c r="J457" s="122"/>
    </row>
    <row r="458">
      <c r="J458" s="122"/>
    </row>
    <row r="459">
      <c r="J459" s="122"/>
    </row>
    <row r="460">
      <c r="J460" s="122"/>
    </row>
    <row r="461">
      <c r="J461" s="122"/>
    </row>
    <row r="462">
      <c r="J462" s="122"/>
    </row>
    <row r="463">
      <c r="J463" s="122"/>
    </row>
    <row r="464">
      <c r="J464" s="122"/>
    </row>
    <row r="465">
      <c r="J465" s="122"/>
    </row>
    <row r="466">
      <c r="J466" s="122"/>
    </row>
    <row r="467">
      <c r="J467" s="122"/>
    </row>
    <row r="468">
      <c r="J468" s="122"/>
    </row>
    <row r="469">
      <c r="J469" s="122"/>
    </row>
    <row r="470">
      <c r="J470" s="122"/>
    </row>
    <row r="471">
      <c r="J471" s="122"/>
    </row>
    <row r="472">
      <c r="J472" s="122"/>
    </row>
    <row r="473">
      <c r="J473" s="122"/>
    </row>
    <row r="474">
      <c r="J474" s="122"/>
    </row>
    <row r="475">
      <c r="J475" s="122"/>
    </row>
    <row r="476">
      <c r="J476" s="122"/>
    </row>
    <row r="477">
      <c r="J477" s="122"/>
    </row>
    <row r="478">
      <c r="J478" s="122"/>
    </row>
    <row r="479">
      <c r="J479" s="122"/>
    </row>
    <row r="480">
      <c r="J480" s="122"/>
    </row>
    <row r="481">
      <c r="J481" s="122"/>
    </row>
    <row r="482">
      <c r="J482" s="122"/>
    </row>
    <row r="483">
      <c r="J483" s="122"/>
    </row>
    <row r="484">
      <c r="J484" s="122"/>
    </row>
    <row r="485">
      <c r="J485" s="122"/>
    </row>
    <row r="486">
      <c r="J486" s="122"/>
    </row>
    <row r="487">
      <c r="J487" s="122"/>
    </row>
    <row r="488">
      <c r="J488" s="122"/>
    </row>
    <row r="489">
      <c r="J489" s="122"/>
    </row>
    <row r="490">
      <c r="J490" s="122"/>
    </row>
    <row r="491">
      <c r="J491" s="122"/>
    </row>
    <row r="492">
      <c r="J492" s="122"/>
    </row>
    <row r="493">
      <c r="J493" s="122"/>
    </row>
    <row r="494">
      <c r="J494" s="122"/>
    </row>
    <row r="495">
      <c r="J495" s="122"/>
    </row>
    <row r="496">
      <c r="J496" s="122"/>
    </row>
    <row r="497">
      <c r="J497" s="122"/>
    </row>
    <row r="498">
      <c r="J498" s="122"/>
    </row>
    <row r="499">
      <c r="J499" s="122"/>
    </row>
    <row r="500">
      <c r="J500" s="122"/>
    </row>
    <row r="501">
      <c r="J501" s="122"/>
    </row>
    <row r="502">
      <c r="J502" s="122"/>
    </row>
    <row r="503">
      <c r="J503" s="122"/>
    </row>
    <row r="504">
      <c r="J504" s="122"/>
    </row>
    <row r="505">
      <c r="J505" s="122"/>
    </row>
    <row r="506">
      <c r="J506" s="122"/>
    </row>
    <row r="507">
      <c r="J507" s="122"/>
    </row>
    <row r="508">
      <c r="J508" s="122"/>
    </row>
    <row r="509">
      <c r="J509" s="122"/>
    </row>
    <row r="510">
      <c r="J510" s="122"/>
    </row>
    <row r="511">
      <c r="J511" s="122"/>
    </row>
    <row r="512">
      <c r="J512" s="122"/>
    </row>
    <row r="513">
      <c r="J513" s="122"/>
    </row>
    <row r="514">
      <c r="J514" s="122"/>
    </row>
    <row r="515">
      <c r="J515" s="122"/>
    </row>
    <row r="516">
      <c r="J516" s="122"/>
    </row>
    <row r="517">
      <c r="J517" s="122"/>
    </row>
    <row r="518">
      <c r="J518" s="122"/>
    </row>
    <row r="519">
      <c r="J519" s="122"/>
    </row>
    <row r="520">
      <c r="J520" s="122"/>
    </row>
    <row r="521">
      <c r="J521" s="122"/>
    </row>
    <row r="522">
      <c r="J522" s="122"/>
    </row>
    <row r="523">
      <c r="J523" s="122"/>
    </row>
    <row r="524">
      <c r="J524" s="122"/>
    </row>
    <row r="525">
      <c r="J525" s="122"/>
    </row>
    <row r="526">
      <c r="J526" s="122"/>
    </row>
    <row r="527">
      <c r="J527" s="122"/>
    </row>
    <row r="528">
      <c r="J528" s="122"/>
    </row>
    <row r="529">
      <c r="J529" s="122"/>
    </row>
    <row r="530">
      <c r="J530" s="122"/>
    </row>
    <row r="531">
      <c r="J531" s="122"/>
    </row>
    <row r="532">
      <c r="J532" s="122"/>
    </row>
    <row r="533">
      <c r="J533" s="122"/>
    </row>
    <row r="534">
      <c r="J534" s="122"/>
    </row>
    <row r="535">
      <c r="J535" s="122"/>
    </row>
    <row r="536">
      <c r="J536" s="122"/>
    </row>
    <row r="537">
      <c r="J537" s="122"/>
    </row>
    <row r="538">
      <c r="J538" s="122"/>
    </row>
    <row r="539">
      <c r="J539" s="122"/>
    </row>
    <row r="540">
      <c r="J540" s="122"/>
    </row>
    <row r="541">
      <c r="J541" s="122"/>
    </row>
    <row r="542">
      <c r="J542" s="122"/>
    </row>
    <row r="543">
      <c r="J543" s="122"/>
    </row>
    <row r="544">
      <c r="J544" s="122"/>
    </row>
    <row r="545">
      <c r="J545" s="122"/>
    </row>
    <row r="546">
      <c r="J546" s="122"/>
    </row>
    <row r="547">
      <c r="J547" s="122"/>
    </row>
    <row r="548">
      <c r="J548" s="122"/>
    </row>
    <row r="549">
      <c r="J549" s="122"/>
    </row>
    <row r="550">
      <c r="J550" s="122"/>
    </row>
    <row r="551">
      <c r="J551" s="122"/>
    </row>
    <row r="552">
      <c r="J552" s="122"/>
    </row>
    <row r="553">
      <c r="J553" s="122"/>
    </row>
    <row r="554">
      <c r="J554" s="122"/>
    </row>
    <row r="555">
      <c r="J555" s="122"/>
    </row>
    <row r="556">
      <c r="J556" s="122"/>
    </row>
    <row r="557">
      <c r="J557" s="122"/>
    </row>
    <row r="558">
      <c r="J558" s="122"/>
    </row>
    <row r="559">
      <c r="J559" s="122"/>
    </row>
    <row r="560">
      <c r="J560" s="122"/>
    </row>
    <row r="561">
      <c r="J561" s="122"/>
    </row>
    <row r="562">
      <c r="J562" s="122"/>
    </row>
    <row r="563">
      <c r="J563" s="122"/>
    </row>
    <row r="564">
      <c r="J564" s="122"/>
    </row>
    <row r="565">
      <c r="J565" s="122"/>
    </row>
    <row r="566">
      <c r="J566" s="122"/>
    </row>
    <row r="567">
      <c r="J567" s="122"/>
    </row>
    <row r="568">
      <c r="J568" s="122"/>
    </row>
    <row r="569">
      <c r="J569" s="122"/>
    </row>
    <row r="570">
      <c r="J570" s="122"/>
    </row>
    <row r="571">
      <c r="J571" s="122"/>
    </row>
    <row r="572">
      <c r="J572" s="122"/>
    </row>
    <row r="573">
      <c r="J573" s="122"/>
    </row>
    <row r="574">
      <c r="J574" s="122"/>
    </row>
    <row r="575">
      <c r="J575" s="122"/>
    </row>
    <row r="576">
      <c r="J576" s="122"/>
    </row>
    <row r="577">
      <c r="J577" s="122"/>
    </row>
    <row r="578">
      <c r="J578" s="122"/>
    </row>
    <row r="579">
      <c r="J579" s="122"/>
    </row>
    <row r="580">
      <c r="J580" s="122"/>
    </row>
    <row r="581">
      <c r="J581" s="122"/>
    </row>
    <row r="582">
      <c r="J582" s="122"/>
    </row>
    <row r="583">
      <c r="J583" s="122"/>
    </row>
    <row r="584">
      <c r="J584" s="122"/>
    </row>
    <row r="585">
      <c r="J585" s="122"/>
    </row>
    <row r="586">
      <c r="J586" s="122"/>
    </row>
    <row r="587">
      <c r="J587" s="122"/>
    </row>
    <row r="588">
      <c r="J588" s="122"/>
    </row>
    <row r="589">
      <c r="J589" s="122"/>
    </row>
    <row r="590">
      <c r="J590" s="122"/>
    </row>
    <row r="591">
      <c r="J591" s="122"/>
    </row>
    <row r="592">
      <c r="J592" s="122"/>
    </row>
    <row r="593">
      <c r="J593" s="122"/>
    </row>
    <row r="594">
      <c r="J594" s="122"/>
    </row>
    <row r="595">
      <c r="J595" s="122"/>
    </row>
    <row r="596">
      <c r="J596" s="122"/>
    </row>
    <row r="597">
      <c r="J597" s="122"/>
    </row>
    <row r="598">
      <c r="J598" s="122"/>
    </row>
    <row r="599">
      <c r="J599" s="122"/>
    </row>
    <row r="600">
      <c r="J600" s="122"/>
    </row>
    <row r="601">
      <c r="J601" s="122"/>
    </row>
    <row r="602">
      <c r="J602" s="122"/>
    </row>
    <row r="603">
      <c r="J603" s="122"/>
    </row>
    <row r="604">
      <c r="J604" s="122"/>
    </row>
    <row r="605">
      <c r="J605" s="122"/>
    </row>
    <row r="606">
      <c r="J606" s="122"/>
    </row>
    <row r="607">
      <c r="J607" s="122"/>
    </row>
    <row r="608">
      <c r="J608" s="122"/>
    </row>
    <row r="609">
      <c r="J609" s="122"/>
    </row>
    <row r="610">
      <c r="J610" s="122"/>
    </row>
    <row r="611">
      <c r="J611" s="122"/>
    </row>
    <row r="612">
      <c r="J612" s="122"/>
    </row>
    <row r="613">
      <c r="J613" s="122"/>
    </row>
    <row r="614">
      <c r="J614" s="122"/>
    </row>
    <row r="615">
      <c r="J615" s="122"/>
    </row>
    <row r="616">
      <c r="J616" s="122"/>
    </row>
    <row r="617">
      <c r="J617" s="122"/>
    </row>
    <row r="618">
      <c r="J618" s="122"/>
    </row>
    <row r="619">
      <c r="J619" s="122"/>
    </row>
    <row r="620">
      <c r="J620" s="122"/>
    </row>
    <row r="621">
      <c r="J621" s="122"/>
    </row>
    <row r="622">
      <c r="J622" s="122"/>
    </row>
    <row r="623">
      <c r="J623" s="122"/>
    </row>
    <row r="624">
      <c r="J624" s="122"/>
    </row>
    <row r="625">
      <c r="J625" s="122"/>
    </row>
    <row r="626">
      <c r="J626" s="122"/>
    </row>
    <row r="627">
      <c r="J627" s="122"/>
    </row>
    <row r="628">
      <c r="J628" s="122"/>
    </row>
    <row r="629">
      <c r="J629" s="122"/>
    </row>
    <row r="630">
      <c r="J630" s="122"/>
    </row>
    <row r="631">
      <c r="J631" s="122"/>
    </row>
    <row r="632">
      <c r="J632" s="122"/>
    </row>
    <row r="633">
      <c r="J633" s="122"/>
    </row>
    <row r="634">
      <c r="J634" s="122"/>
    </row>
    <row r="635">
      <c r="J635" s="122"/>
    </row>
    <row r="636">
      <c r="J636" s="122"/>
    </row>
    <row r="637">
      <c r="J637" s="122"/>
    </row>
    <row r="638">
      <c r="J638" s="122"/>
    </row>
    <row r="639">
      <c r="J639" s="122"/>
    </row>
    <row r="640">
      <c r="J640" s="122"/>
    </row>
    <row r="641">
      <c r="J641" s="122"/>
    </row>
    <row r="642">
      <c r="J642" s="122"/>
    </row>
    <row r="643">
      <c r="J643" s="122"/>
    </row>
    <row r="644">
      <c r="J644" s="122"/>
    </row>
    <row r="645">
      <c r="J645" s="122"/>
    </row>
    <row r="646">
      <c r="J646" s="122"/>
    </row>
    <row r="647">
      <c r="J647" s="122"/>
    </row>
    <row r="648">
      <c r="J648" s="122"/>
    </row>
    <row r="649">
      <c r="J649" s="122"/>
    </row>
    <row r="650">
      <c r="J650" s="122"/>
    </row>
    <row r="651">
      <c r="J651" s="122"/>
    </row>
    <row r="652">
      <c r="J652" s="122"/>
    </row>
    <row r="653">
      <c r="J653" s="122"/>
    </row>
    <row r="654">
      <c r="J654" s="122"/>
    </row>
    <row r="655">
      <c r="J655" s="122"/>
    </row>
    <row r="656">
      <c r="J656" s="122"/>
    </row>
    <row r="657">
      <c r="J657" s="122"/>
    </row>
    <row r="658">
      <c r="J658" s="122"/>
    </row>
    <row r="659">
      <c r="J659" s="122"/>
    </row>
    <row r="660">
      <c r="J660" s="122"/>
    </row>
    <row r="661">
      <c r="J661" s="122"/>
    </row>
    <row r="662">
      <c r="J662" s="122"/>
    </row>
    <row r="663">
      <c r="J663" s="122"/>
    </row>
    <row r="664">
      <c r="J664" s="122"/>
    </row>
    <row r="665">
      <c r="J665" s="122"/>
    </row>
    <row r="666">
      <c r="J666" s="122"/>
    </row>
    <row r="667">
      <c r="J667" s="122"/>
    </row>
    <row r="668">
      <c r="J668" s="122"/>
    </row>
    <row r="669">
      <c r="J669" s="122"/>
    </row>
    <row r="670">
      <c r="J670" s="122"/>
    </row>
    <row r="671">
      <c r="J671" s="122"/>
    </row>
    <row r="672">
      <c r="J672" s="122"/>
    </row>
    <row r="673">
      <c r="J673" s="122"/>
    </row>
    <row r="674">
      <c r="J674" s="122"/>
    </row>
    <row r="675">
      <c r="J675" s="122"/>
    </row>
    <row r="676">
      <c r="J676" s="122"/>
    </row>
    <row r="677">
      <c r="J677" s="122"/>
    </row>
    <row r="678">
      <c r="J678" s="122"/>
    </row>
    <row r="679">
      <c r="J679" s="122"/>
    </row>
    <row r="680">
      <c r="J680" s="122"/>
    </row>
    <row r="681">
      <c r="J681" s="122"/>
    </row>
    <row r="682">
      <c r="J682" s="122"/>
    </row>
    <row r="683">
      <c r="J683" s="122"/>
    </row>
    <row r="684">
      <c r="J684" s="122"/>
    </row>
    <row r="685">
      <c r="J685" s="122"/>
    </row>
    <row r="686">
      <c r="J686" s="122"/>
    </row>
    <row r="687">
      <c r="J687" s="122"/>
    </row>
    <row r="688">
      <c r="J688" s="122"/>
    </row>
    <row r="689">
      <c r="J689" s="122"/>
    </row>
    <row r="690">
      <c r="J690" s="122"/>
    </row>
    <row r="691">
      <c r="J691" s="122"/>
    </row>
    <row r="692">
      <c r="J692" s="122"/>
    </row>
    <row r="693">
      <c r="J693" s="122"/>
    </row>
    <row r="694">
      <c r="J694" s="122"/>
    </row>
    <row r="695">
      <c r="J695" s="122"/>
    </row>
    <row r="696">
      <c r="J696" s="122"/>
    </row>
    <row r="697">
      <c r="J697" s="122"/>
    </row>
    <row r="698">
      <c r="J698" s="122"/>
    </row>
    <row r="699">
      <c r="J699" s="122"/>
    </row>
    <row r="700">
      <c r="J700" s="122"/>
    </row>
    <row r="701">
      <c r="J701" s="122"/>
    </row>
    <row r="702">
      <c r="J702" s="122"/>
    </row>
    <row r="703">
      <c r="J703" s="122"/>
    </row>
    <row r="704">
      <c r="J704" s="122"/>
    </row>
    <row r="705">
      <c r="J705" s="122"/>
    </row>
    <row r="706">
      <c r="J706" s="122"/>
    </row>
    <row r="707">
      <c r="J707" s="122"/>
    </row>
    <row r="708">
      <c r="J708" s="122"/>
    </row>
    <row r="709">
      <c r="J709" s="122"/>
    </row>
    <row r="710">
      <c r="J710" s="122"/>
    </row>
    <row r="711">
      <c r="J711" s="122"/>
    </row>
    <row r="712">
      <c r="J712" s="122"/>
    </row>
    <row r="713">
      <c r="J713" s="122"/>
    </row>
    <row r="714">
      <c r="J714" s="122"/>
    </row>
    <row r="715">
      <c r="J715" s="122"/>
    </row>
    <row r="716">
      <c r="J716" s="122"/>
    </row>
    <row r="717">
      <c r="J717" s="122"/>
    </row>
    <row r="718">
      <c r="J718" s="122"/>
    </row>
    <row r="719">
      <c r="J719" s="122"/>
    </row>
    <row r="720">
      <c r="J720" s="122"/>
    </row>
    <row r="721">
      <c r="J721" s="122"/>
    </row>
    <row r="722">
      <c r="J722" s="122"/>
    </row>
    <row r="723">
      <c r="J723" s="122"/>
    </row>
    <row r="724">
      <c r="J724" s="122"/>
    </row>
    <row r="725">
      <c r="J725" s="122"/>
    </row>
    <row r="726">
      <c r="J726" s="122"/>
    </row>
    <row r="727">
      <c r="J727" s="122"/>
    </row>
    <row r="728">
      <c r="J728" s="122"/>
    </row>
    <row r="729">
      <c r="J729" s="122"/>
    </row>
    <row r="730">
      <c r="J730" s="122"/>
    </row>
    <row r="731">
      <c r="J731" s="122"/>
    </row>
    <row r="732">
      <c r="J732" s="122"/>
    </row>
    <row r="733">
      <c r="J733" s="122"/>
    </row>
    <row r="734">
      <c r="J734" s="122"/>
    </row>
    <row r="735">
      <c r="J735" s="122"/>
    </row>
    <row r="736">
      <c r="J736" s="122"/>
    </row>
    <row r="737">
      <c r="J737" s="122"/>
    </row>
    <row r="738">
      <c r="J738" s="122"/>
    </row>
    <row r="739">
      <c r="J739" s="122"/>
    </row>
    <row r="740">
      <c r="J740" s="122"/>
    </row>
    <row r="741">
      <c r="J741" s="122"/>
    </row>
    <row r="742">
      <c r="J742" s="122"/>
    </row>
    <row r="743">
      <c r="J743" s="122"/>
    </row>
    <row r="744">
      <c r="J744" s="122"/>
    </row>
    <row r="745">
      <c r="J745" s="122"/>
    </row>
    <row r="746">
      <c r="J746" s="122"/>
    </row>
    <row r="747">
      <c r="J747" s="122"/>
    </row>
    <row r="748">
      <c r="J748" s="122"/>
    </row>
    <row r="749">
      <c r="J749" s="122"/>
    </row>
    <row r="750">
      <c r="J750" s="122"/>
    </row>
    <row r="751">
      <c r="J751" s="122"/>
    </row>
    <row r="752">
      <c r="J752" s="122"/>
    </row>
    <row r="753">
      <c r="J753" s="122"/>
    </row>
    <row r="754">
      <c r="J754" s="122"/>
    </row>
    <row r="755">
      <c r="J755" s="122"/>
    </row>
    <row r="756">
      <c r="J756" s="122"/>
    </row>
    <row r="757">
      <c r="J757" s="122"/>
    </row>
    <row r="758">
      <c r="J758" s="122"/>
    </row>
    <row r="759">
      <c r="J759" s="122"/>
    </row>
    <row r="760">
      <c r="J760" s="122"/>
    </row>
    <row r="761">
      <c r="J761" s="122"/>
    </row>
    <row r="762">
      <c r="J762" s="122"/>
    </row>
    <row r="763">
      <c r="J763" s="122"/>
    </row>
    <row r="764">
      <c r="J764" s="122"/>
    </row>
    <row r="765">
      <c r="J765" s="122"/>
    </row>
    <row r="766">
      <c r="J766" s="122"/>
    </row>
    <row r="767">
      <c r="J767" s="122"/>
    </row>
    <row r="768">
      <c r="J768" s="122"/>
    </row>
    <row r="769">
      <c r="J769" s="122"/>
    </row>
    <row r="770">
      <c r="J770" s="122"/>
    </row>
    <row r="771">
      <c r="J771" s="122"/>
    </row>
    <row r="772">
      <c r="J772" s="122"/>
    </row>
    <row r="773">
      <c r="J773" s="122"/>
    </row>
    <row r="774">
      <c r="J774" s="122"/>
    </row>
    <row r="775">
      <c r="J775" s="122"/>
    </row>
    <row r="776">
      <c r="J776" s="122"/>
    </row>
    <row r="777">
      <c r="J777" s="122"/>
    </row>
    <row r="778">
      <c r="J778" s="122"/>
    </row>
    <row r="779">
      <c r="J779" s="122"/>
    </row>
    <row r="780">
      <c r="J780" s="122"/>
    </row>
    <row r="781">
      <c r="J781" s="122"/>
    </row>
    <row r="782">
      <c r="J782" s="122"/>
    </row>
    <row r="783">
      <c r="J783" s="122"/>
    </row>
    <row r="784">
      <c r="J784" s="122"/>
    </row>
    <row r="785">
      <c r="J785" s="122"/>
    </row>
    <row r="786">
      <c r="J786" s="122"/>
    </row>
    <row r="787">
      <c r="J787" s="122"/>
    </row>
    <row r="788">
      <c r="J788" s="122"/>
    </row>
    <row r="789">
      <c r="J789" s="122"/>
    </row>
    <row r="790">
      <c r="J790" s="122"/>
    </row>
    <row r="791">
      <c r="J791" s="122"/>
    </row>
    <row r="792">
      <c r="J792" s="122"/>
    </row>
    <row r="793">
      <c r="J793" s="122"/>
    </row>
    <row r="794">
      <c r="J794" s="122"/>
    </row>
    <row r="795">
      <c r="J795" s="122"/>
    </row>
    <row r="796">
      <c r="J796" s="122"/>
    </row>
    <row r="797">
      <c r="J797" s="122"/>
    </row>
    <row r="798">
      <c r="J798" s="122"/>
    </row>
    <row r="799">
      <c r="J799" s="122"/>
    </row>
    <row r="800">
      <c r="J800" s="122"/>
    </row>
    <row r="801">
      <c r="J801" s="122"/>
    </row>
    <row r="802">
      <c r="J802" s="122"/>
    </row>
    <row r="803">
      <c r="J803" s="122"/>
    </row>
    <row r="804">
      <c r="J804" s="122"/>
    </row>
    <row r="805">
      <c r="J805" s="122"/>
    </row>
    <row r="806">
      <c r="J806" s="122"/>
    </row>
    <row r="807">
      <c r="J807" s="122"/>
    </row>
    <row r="808">
      <c r="J808" s="122"/>
    </row>
    <row r="809">
      <c r="J809" s="122"/>
    </row>
    <row r="810">
      <c r="J810" s="122"/>
    </row>
    <row r="811">
      <c r="J811" s="122"/>
    </row>
    <row r="812">
      <c r="J812" s="122"/>
    </row>
    <row r="813">
      <c r="J813" s="122"/>
    </row>
    <row r="814">
      <c r="J814" s="122"/>
    </row>
    <row r="815">
      <c r="J815" s="122"/>
    </row>
    <row r="816">
      <c r="J816" s="122"/>
    </row>
    <row r="817">
      <c r="J817" s="122"/>
    </row>
    <row r="818">
      <c r="J818" s="122"/>
    </row>
    <row r="819">
      <c r="J819" s="122"/>
    </row>
    <row r="820">
      <c r="J820" s="122"/>
    </row>
    <row r="821">
      <c r="J821" s="122"/>
    </row>
    <row r="822">
      <c r="J822" s="122"/>
    </row>
    <row r="823">
      <c r="J823" s="122"/>
    </row>
    <row r="824">
      <c r="J824" s="122"/>
    </row>
    <row r="825">
      <c r="J825" s="122"/>
    </row>
    <row r="826">
      <c r="J826" s="122"/>
    </row>
    <row r="827">
      <c r="J827" s="122"/>
    </row>
    <row r="828">
      <c r="J828" s="122"/>
    </row>
    <row r="829">
      <c r="J829" s="122"/>
    </row>
    <row r="830">
      <c r="J830" s="122"/>
    </row>
    <row r="831">
      <c r="J831" s="122"/>
    </row>
    <row r="832">
      <c r="J832" s="122"/>
    </row>
    <row r="833">
      <c r="J833" s="122"/>
    </row>
    <row r="834">
      <c r="J834" s="122"/>
    </row>
    <row r="835">
      <c r="J835" s="122"/>
    </row>
    <row r="836">
      <c r="J836" s="122"/>
    </row>
    <row r="837">
      <c r="J837" s="122"/>
    </row>
    <row r="838">
      <c r="J838" s="122"/>
    </row>
    <row r="839">
      <c r="J839" s="122"/>
    </row>
    <row r="840">
      <c r="J840" s="122"/>
    </row>
    <row r="841">
      <c r="J841" s="122"/>
    </row>
    <row r="842">
      <c r="J842" s="122"/>
    </row>
    <row r="843">
      <c r="J843" s="122"/>
    </row>
    <row r="844">
      <c r="J844" s="122"/>
    </row>
    <row r="845">
      <c r="J845" s="122"/>
    </row>
    <row r="846">
      <c r="J846" s="122"/>
    </row>
    <row r="847">
      <c r="J847" s="122"/>
    </row>
    <row r="848">
      <c r="J848" s="122"/>
    </row>
    <row r="849">
      <c r="J849" s="122"/>
    </row>
    <row r="850">
      <c r="J850" s="122"/>
    </row>
    <row r="851">
      <c r="J851" s="122"/>
    </row>
    <row r="852">
      <c r="J852" s="122"/>
    </row>
    <row r="853">
      <c r="J853" s="122"/>
    </row>
    <row r="854">
      <c r="J854" s="122"/>
    </row>
    <row r="855">
      <c r="J855" s="122"/>
    </row>
    <row r="856">
      <c r="J856" s="122"/>
    </row>
    <row r="857">
      <c r="J857" s="122"/>
    </row>
    <row r="858">
      <c r="J858" s="122"/>
    </row>
    <row r="859">
      <c r="J859" s="122"/>
    </row>
    <row r="860">
      <c r="J860" s="122"/>
    </row>
    <row r="861">
      <c r="J861" s="122"/>
    </row>
    <row r="862">
      <c r="J862" s="122"/>
    </row>
    <row r="863">
      <c r="J863" s="122"/>
    </row>
    <row r="864">
      <c r="J864" s="122"/>
    </row>
    <row r="865">
      <c r="J865" s="122"/>
    </row>
    <row r="866">
      <c r="J866" s="122"/>
    </row>
    <row r="867">
      <c r="J867" s="122"/>
    </row>
    <row r="868">
      <c r="J868" s="122"/>
    </row>
    <row r="869">
      <c r="J869" s="122"/>
    </row>
    <row r="870">
      <c r="J870" s="122"/>
    </row>
    <row r="871">
      <c r="J871" s="122"/>
    </row>
    <row r="872">
      <c r="J872" s="122"/>
    </row>
    <row r="873">
      <c r="J873" s="122"/>
    </row>
    <row r="874">
      <c r="J874" s="122"/>
    </row>
    <row r="875">
      <c r="J875" s="122"/>
    </row>
    <row r="876">
      <c r="J876" s="122"/>
    </row>
    <row r="877">
      <c r="J877" s="122"/>
    </row>
    <row r="878">
      <c r="J878" s="122"/>
    </row>
    <row r="879">
      <c r="J879" s="122"/>
    </row>
    <row r="880">
      <c r="J880" s="122"/>
    </row>
    <row r="881">
      <c r="J881" s="122"/>
    </row>
    <row r="882">
      <c r="J882" s="122"/>
    </row>
    <row r="883">
      <c r="J883" s="122"/>
    </row>
    <row r="884">
      <c r="J884" s="122"/>
    </row>
    <row r="885">
      <c r="J885" s="122"/>
    </row>
    <row r="886">
      <c r="J886" s="122"/>
    </row>
    <row r="887">
      <c r="J887" s="122"/>
    </row>
    <row r="888">
      <c r="J888" s="122"/>
    </row>
    <row r="889">
      <c r="J889" s="122"/>
    </row>
    <row r="890">
      <c r="J890" s="122"/>
    </row>
    <row r="891">
      <c r="J891" s="122"/>
    </row>
    <row r="892">
      <c r="J892" s="122"/>
    </row>
    <row r="893">
      <c r="J893" s="122"/>
    </row>
    <row r="894">
      <c r="J894" s="122"/>
    </row>
    <row r="895">
      <c r="J895" s="122"/>
    </row>
    <row r="896">
      <c r="J896" s="122"/>
    </row>
    <row r="897">
      <c r="J897" s="122"/>
    </row>
    <row r="898">
      <c r="J898" s="122"/>
    </row>
    <row r="899">
      <c r="J899" s="122"/>
    </row>
    <row r="900">
      <c r="J900" s="122"/>
    </row>
    <row r="901">
      <c r="J901" s="122"/>
    </row>
    <row r="902">
      <c r="J902" s="122"/>
    </row>
    <row r="903">
      <c r="J903" s="122"/>
    </row>
    <row r="904">
      <c r="J904" s="122"/>
    </row>
    <row r="905">
      <c r="J905" s="122"/>
    </row>
    <row r="906">
      <c r="J906" s="122"/>
    </row>
    <row r="907">
      <c r="J907" s="122"/>
    </row>
    <row r="908">
      <c r="J908" s="122"/>
    </row>
    <row r="909">
      <c r="J909" s="122"/>
    </row>
    <row r="910">
      <c r="J910" s="122"/>
    </row>
    <row r="911">
      <c r="J911" s="122"/>
    </row>
    <row r="912">
      <c r="J912" s="122"/>
    </row>
    <row r="913">
      <c r="J913" s="122"/>
    </row>
    <row r="914">
      <c r="J914" s="122"/>
    </row>
    <row r="915">
      <c r="J915" s="122"/>
    </row>
    <row r="916">
      <c r="J916" s="122"/>
    </row>
    <row r="917">
      <c r="J917" s="122"/>
    </row>
    <row r="918">
      <c r="J918" s="122"/>
    </row>
    <row r="919">
      <c r="J919" s="122"/>
    </row>
    <row r="920">
      <c r="J920" s="122"/>
    </row>
    <row r="921">
      <c r="J921" s="122"/>
    </row>
    <row r="922">
      <c r="J922" s="122"/>
    </row>
    <row r="923">
      <c r="J923" s="122"/>
    </row>
    <row r="924">
      <c r="J924" s="122"/>
    </row>
    <row r="925">
      <c r="J925" s="122"/>
    </row>
    <row r="926">
      <c r="J926" s="122"/>
    </row>
    <row r="927">
      <c r="J927" s="122"/>
    </row>
    <row r="928">
      <c r="J928" s="122"/>
    </row>
    <row r="929">
      <c r="J929" s="122"/>
    </row>
    <row r="930">
      <c r="J930" s="122"/>
    </row>
    <row r="931">
      <c r="J931" s="122"/>
    </row>
    <row r="932">
      <c r="J932" s="122"/>
    </row>
    <row r="933">
      <c r="J933" s="122"/>
    </row>
    <row r="934">
      <c r="J934" s="122"/>
    </row>
    <row r="935">
      <c r="J935" s="122"/>
    </row>
    <row r="936">
      <c r="J936" s="122"/>
    </row>
    <row r="937">
      <c r="J937" s="122"/>
    </row>
    <row r="938">
      <c r="J938" s="122"/>
    </row>
    <row r="939">
      <c r="J939" s="122"/>
    </row>
    <row r="940">
      <c r="J940" s="122"/>
    </row>
    <row r="941">
      <c r="J941" s="122"/>
    </row>
    <row r="942">
      <c r="J942" s="122"/>
    </row>
    <row r="943">
      <c r="J943" s="122"/>
    </row>
    <row r="944">
      <c r="J944" s="122"/>
    </row>
    <row r="945">
      <c r="J945" s="122"/>
    </row>
    <row r="946">
      <c r="J946" s="122"/>
    </row>
    <row r="947">
      <c r="J947" s="122"/>
    </row>
    <row r="948">
      <c r="J948" s="122"/>
    </row>
    <row r="949">
      <c r="J949" s="122"/>
    </row>
    <row r="950">
      <c r="J950" s="122"/>
    </row>
    <row r="951">
      <c r="J951" s="122"/>
    </row>
    <row r="952">
      <c r="J952" s="122"/>
    </row>
    <row r="953">
      <c r="J953" s="122"/>
    </row>
    <row r="954">
      <c r="J954" s="122"/>
    </row>
    <row r="955">
      <c r="J955" s="122"/>
    </row>
    <row r="956">
      <c r="J956" s="122"/>
    </row>
    <row r="957">
      <c r="J957" s="122"/>
    </row>
    <row r="958">
      <c r="J958" s="122"/>
    </row>
    <row r="959">
      <c r="J959" s="122"/>
    </row>
    <row r="960">
      <c r="J960" s="122"/>
    </row>
    <row r="961">
      <c r="J961" s="122"/>
    </row>
    <row r="962">
      <c r="J962" s="122"/>
    </row>
    <row r="963">
      <c r="J963" s="122"/>
    </row>
    <row r="964">
      <c r="J964" s="122"/>
    </row>
    <row r="965">
      <c r="J965" s="122"/>
    </row>
    <row r="966">
      <c r="J966" s="122"/>
    </row>
    <row r="967">
      <c r="J967" s="122"/>
    </row>
    <row r="968">
      <c r="J968" s="122"/>
    </row>
    <row r="969">
      <c r="J969" s="122"/>
    </row>
    <row r="970">
      <c r="J970" s="122"/>
    </row>
    <row r="971">
      <c r="J971" s="122"/>
    </row>
    <row r="972">
      <c r="J972" s="122"/>
    </row>
    <row r="973">
      <c r="J973" s="122"/>
    </row>
    <row r="974">
      <c r="J974" s="122"/>
    </row>
    <row r="975">
      <c r="J975" s="122"/>
    </row>
    <row r="976">
      <c r="J976" s="122"/>
    </row>
    <row r="977">
      <c r="J977" s="122"/>
    </row>
    <row r="978">
      <c r="J978" s="122"/>
    </row>
    <row r="979">
      <c r="J979" s="122"/>
    </row>
    <row r="980">
      <c r="J980" s="122"/>
    </row>
    <row r="981">
      <c r="J981" s="122"/>
    </row>
    <row r="982">
      <c r="J982" s="122"/>
    </row>
    <row r="983">
      <c r="J983" s="122"/>
    </row>
    <row r="984">
      <c r="J984" s="122"/>
    </row>
    <row r="985">
      <c r="J985" s="122"/>
    </row>
    <row r="986">
      <c r="J986" s="122"/>
    </row>
    <row r="987">
      <c r="J987" s="122"/>
    </row>
    <row r="988">
      <c r="J988" s="122"/>
    </row>
    <row r="989">
      <c r="J989" s="122"/>
    </row>
    <row r="990">
      <c r="J990" s="122"/>
    </row>
    <row r="991">
      <c r="J991" s="122"/>
    </row>
    <row r="992">
      <c r="J992" s="122"/>
    </row>
    <row r="993">
      <c r="J993" s="122"/>
    </row>
    <row r="994">
      <c r="J994" s="122"/>
    </row>
    <row r="995">
      <c r="J995" s="122"/>
    </row>
    <row r="996">
      <c r="J996" s="122"/>
    </row>
    <row r="997">
      <c r="J997" s="122"/>
    </row>
    <row r="998">
      <c r="J998" s="122"/>
    </row>
    <row r="999">
      <c r="J999" s="122"/>
    </row>
    <row r="1000">
      <c r="J1000" s="12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71"/>
    <col customWidth="1" min="4" max="4" width="23.29"/>
  </cols>
  <sheetData>
    <row r="1">
      <c r="A1" s="42" t="s">
        <v>1255</v>
      </c>
      <c r="B1" s="54" t="s">
        <v>838</v>
      </c>
    </row>
    <row r="2">
      <c r="A2" s="123" t="str">
        <f>resultado_bd[Afiliados:]</f>
        <v>battafarano,  amelia andrea</v>
      </c>
      <c r="B2" s="124">
        <f>resultado_bd[AP]</f>
        <v>127</v>
      </c>
      <c r="D2" s="125" t="s">
        <v>1256</v>
      </c>
      <c r="E2" s="126">
        <v>1575.0</v>
      </c>
      <c r="F2" s="127" t="s">
        <v>1257</v>
      </c>
      <c r="G2" s="127" t="s">
        <v>1258</v>
      </c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</row>
    <row r="3">
      <c r="A3" s="129" t="str">
        <f>resultado_bd[Afiliados:]</f>
        <v>arroyo, elizabeth beatriz</v>
      </c>
      <c r="B3" s="130">
        <f>resultado_bd[AP]</f>
        <v>1575</v>
      </c>
      <c r="D3" s="131" t="s">
        <v>1259</v>
      </c>
      <c r="E3" s="132">
        <v>1572.0</v>
      </c>
      <c r="F3" s="133">
        <v>1.133985337E9</v>
      </c>
      <c r="G3" s="134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</row>
    <row r="4">
      <c r="A4" s="123" t="str">
        <f>resultado_bd[Afiliados:]</f>
        <v>aranda, natalia veronica</v>
      </c>
      <c r="B4" s="124">
        <f>resultado_bd[AP]</f>
        <v>444</v>
      </c>
      <c r="D4" s="125" t="s">
        <v>1260</v>
      </c>
      <c r="E4" s="126">
        <v>1579.0</v>
      </c>
      <c r="F4" s="135">
        <v>1.161062052E9</v>
      </c>
      <c r="G4" s="136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</row>
    <row r="5">
      <c r="A5" s="129" t="str">
        <f>resultado_bd[Afiliados:]</f>
        <v>amaya, mariela cecilia</v>
      </c>
      <c r="B5" s="130">
        <f>resultado_bd[AP]</f>
        <v>275</v>
      </c>
      <c r="D5" s="125" t="s">
        <v>1261</v>
      </c>
      <c r="E5" s="126">
        <v>494.0</v>
      </c>
      <c r="F5" s="135">
        <v>1.168442449E9</v>
      </c>
      <c r="G5" s="136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</row>
    <row r="6">
      <c r="A6" s="123" t="str">
        <f>resultado_bd[Afiliados:]</f>
        <v>amaya, erika elizabeth</v>
      </c>
      <c r="B6" s="124">
        <f>resultado_bd[AP]</f>
        <v>2914</v>
      </c>
      <c r="D6" s="125" t="s">
        <v>1262</v>
      </c>
      <c r="E6" s="126">
        <v>1326.0</v>
      </c>
      <c r="F6" s="135">
        <v>1.136269477E9</v>
      </c>
      <c r="G6" s="136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</row>
    <row r="7">
      <c r="A7" s="129" t="str">
        <f>resultado_bd[Afiliados:]</f>
        <v>alegre, daniela</v>
      </c>
      <c r="B7" s="130">
        <f>resultado_bd[AP]</f>
        <v>2238</v>
      </c>
      <c r="D7" s="131" t="s">
        <v>1263</v>
      </c>
      <c r="E7" s="132">
        <v>925.0</v>
      </c>
      <c r="F7" s="133">
        <v>1.131666927E9</v>
      </c>
      <c r="G7" s="134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</row>
    <row r="8">
      <c r="A8" s="123" t="str">
        <f>resultado_bd[Afiliados:]</f>
        <v>ale, micaela ayelen</v>
      </c>
      <c r="B8" s="124">
        <f>resultado_bd[AP]</f>
        <v>1572</v>
      </c>
      <c r="D8" s="125" t="s">
        <v>1264</v>
      </c>
      <c r="E8" s="126">
        <v>1536.0</v>
      </c>
      <c r="F8" s="135">
        <v>1.166665806E9</v>
      </c>
      <c r="G8" s="136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</row>
    <row r="9">
      <c r="A9" s="129" t="str">
        <f>resultado_bd[Afiliados:]</f>
        <v>albornoz, victor omar</v>
      </c>
      <c r="B9" s="130">
        <f>resultado_bd[AP]</f>
        <v>270</v>
      </c>
      <c r="D9" s="125" t="s">
        <v>1265</v>
      </c>
      <c r="E9" s="126">
        <v>1657.0</v>
      </c>
      <c r="F9" s="135">
        <v>1.124048703E9</v>
      </c>
      <c r="G9" s="136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</row>
    <row r="10">
      <c r="A10" s="123" t="str">
        <f>resultado_bd[Afiliados:]</f>
        <v>acosta, belen teresa</v>
      </c>
      <c r="B10" s="124">
        <f>resultado_bd[AP]</f>
        <v>2166</v>
      </c>
      <c r="D10" s="131" t="s">
        <v>1266</v>
      </c>
      <c r="E10" s="132">
        <v>523.0</v>
      </c>
      <c r="F10" s="133">
        <v>1.13190927E9</v>
      </c>
      <c r="G10" s="134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</row>
    <row r="11">
      <c r="A11" s="129" t="str">
        <f>resultado_bd[Afiliados:]</f>
        <v>romero, irina</v>
      </c>
      <c r="B11" s="130">
        <f>resultado_bd[AP]</f>
        <v>1023</v>
      </c>
      <c r="D11" s="131" t="s">
        <v>1267</v>
      </c>
      <c r="E11" s="132">
        <v>996.0</v>
      </c>
      <c r="F11" s="133">
        <v>1.138863933E9</v>
      </c>
      <c r="G11" s="136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</row>
    <row r="12">
      <c r="A12" s="123" t="str">
        <f>resultado_bd[Afiliados:]</f>
        <v>ruiz, pablo nahuel</v>
      </c>
      <c r="B12" s="124">
        <f>resultado_bd[AP]</f>
        <v>1025</v>
      </c>
      <c r="D12" s="131" t="s">
        <v>1268</v>
      </c>
      <c r="E12" s="132">
        <v>180.0</v>
      </c>
      <c r="F12" s="133">
        <v>1.160531098E9</v>
      </c>
      <c r="G12" s="134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</row>
    <row r="13">
      <c r="A13" s="129" t="str">
        <f>resultado_bd[Afiliados:]</f>
        <v>felipe lima, aidee deysi</v>
      </c>
      <c r="B13" s="130">
        <f>resultado_bd[AP]</f>
        <v>754</v>
      </c>
      <c r="D13" s="131" t="s">
        <v>1269</v>
      </c>
      <c r="E13" s="132">
        <v>1776.0</v>
      </c>
      <c r="F13" s="137">
        <v>1.127276399E9</v>
      </c>
      <c r="G13" s="134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</row>
    <row r="14">
      <c r="A14" s="123" t="str">
        <f>resultado_bd[Afiliados:]</f>
        <v>olaya piña, laly del pilar</v>
      </c>
      <c r="B14" s="124">
        <f>resultado_bd[AP]</f>
        <v>527</v>
      </c>
      <c r="D14" s="125" t="s">
        <v>1270</v>
      </c>
      <c r="E14" s="126">
        <v>1234.0</v>
      </c>
      <c r="F14" s="138">
        <v>1.161708518E9</v>
      </c>
      <c r="G14" s="136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</row>
    <row r="15">
      <c r="A15" s="129" t="str">
        <f>resultado_bd[Afiliados:]</f>
        <v>ferro rodriguez, maria elena</v>
      </c>
      <c r="B15" s="130">
        <f>resultado_bd[AP]</f>
        <v>560</v>
      </c>
      <c r="D15" s="131" t="s">
        <v>1271</v>
      </c>
      <c r="E15" s="132">
        <v>1736.0</v>
      </c>
      <c r="F15" s="133">
        <v>1.162777192E9</v>
      </c>
      <c r="G15" s="134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</row>
    <row r="16">
      <c r="A16" s="123" t="str">
        <f>resultado_bd[Afiliados:]</f>
        <v>gutierrez quispe, griselda</v>
      </c>
      <c r="B16" s="124">
        <f>resultado_bd[AP]</f>
        <v>909</v>
      </c>
      <c r="D16" s="125" t="s">
        <v>1272</v>
      </c>
      <c r="E16" s="126">
        <v>207.0</v>
      </c>
      <c r="F16" s="138">
        <v>1.144271929E9</v>
      </c>
      <c r="G16" s="127" t="s">
        <v>1258</v>
      </c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</row>
    <row r="17">
      <c r="A17" s="129" t="str">
        <f>resultado_bd[Afiliados:]</f>
        <v>fernandez, mariana</v>
      </c>
      <c r="B17" s="130">
        <f>resultado_bd[AP]</f>
        <v>2777</v>
      </c>
      <c r="D17" s="131" t="s">
        <v>1273</v>
      </c>
      <c r="E17" s="132">
        <v>450.0</v>
      </c>
      <c r="F17" s="137">
        <v>1.134039809E9</v>
      </c>
      <c r="G17" s="139" t="s">
        <v>1258</v>
      </c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</row>
    <row r="18">
      <c r="A18" s="123" t="str">
        <f>resultado_bd[Afiliados:]</f>
        <v>dugour, cecilia paola</v>
      </c>
      <c r="B18" s="124">
        <f>resultado_bd[AP]</f>
        <v>1931</v>
      </c>
      <c r="D18" s="131" t="s">
        <v>1274</v>
      </c>
      <c r="E18" s="132">
        <v>413.0</v>
      </c>
      <c r="F18" s="140">
        <v>1.124773534E9</v>
      </c>
      <c r="G18" s="134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</row>
    <row r="19">
      <c r="A19" s="129" t="str">
        <f>resultado_bd[Afiliados:]</f>
        <v>divito, florencia belen</v>
      </c>
      <c r="B19" s="130">
        <f>resultado_bd[AP]</f>
        <v>2450</v>
      </c>
      <c r="D19" s="125" t="s">
        <v>1275</v>
      </c>
      <c r="E19" s="126">
        <v>1191.0</v>
      </c>
      <c r="F19" s="141">
        <v>1.156665476E9</v>
      </c>
      <c r="G19" s="127" t="s">
        <v>1258</v>
      </c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</row>
    <row r="20">
      <c r="A20" s="123" t="str">
        <f>resultado_bd[Afiliados:]</f>
        <v>guitierrez, aylin silvia</v>
      </c>
      <c r="B20" s="124">
        <f>resultado_bd[AP]</f>
        <v>1850</v>
      </c>
      <c r="D20" s="142" t="s">
        <v>1276</v>
      </c>
      <c r="E20" s="143">
        <v>803.0</v>
      </c>
      <c r="F20" s="144">
        <v>1.13861994E9</v>
      </c>
      <c r="G20" s="145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</row>
    <row r="21">
      <c r="A21" s="129" t="str">
        <f>resultado_bd[Afiliados:]</f>
        <v>alvarez , miranda</v>
      </c>
      <c r="B21" s="130">
        <f>resultado_bd[AP]</f>
        <v>3069</v>
      </c>
      <c r="D21" s="136" t="s">
        <v>1277</v>
      </c>
      <c r="E21" s="147">
        <v>877.0</v>
      </c>
      <c r="F21" s="148">
        <v>1.165963623E9</v>
      </c>
      <c r="G21" s="136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</row>
    <row r="22">
      <c r="A22" s="123" t="str">
        <f>resultado_bd[Afiliados:]</f>
        <v>davico castañeira, nazareno martin</v>
      </c>
      <c r="B22" s="124">
        <f>resultado_bd[AP]</f>
        <v>3133</v>
      </c>
    </row>
    <row r="23">
      <c r="A23" s="129" t="str">
        <f>resultado_bd[Afiliados:]</f>
        <v>melgarejo , viviana noemi</v>
      </c>
      <c r="B23" s="130">
        <f>resultado_bd[AP]</f>
        <v>3185</v>
      </c>
    </row>
    <row r="24">
      <c r="A24" s="123" t="str">
        <f>resultado_bd[Afiliados:]</f>
        <v>nogueira, diego marcelo</v>
      </c>
      <c r="B24" s="124">
        <f>resultado_bd[AP]</f>
        <v>2323</v>
      </c>
    </row>
    <row r="25">
      <c r="A25" s="129" t="str">
        <f>resultado_bd[Afiliados:]</f>
        <v>bonomo, yamila maria</v>
      </c>
      <c r="B25" s="130">
        <f>resultado_bd[AP]</f>
        <v>1444</v>
      </c>
    </row>
    <row r="26">
      <c r="A26" s="123" t="str">
        <f>resultado_bd[Afiliados:]</f>
        <v>herrera, gaston</v>
      </c>
      <c r="B26" s="124">
        <f>resultado_bd[AP]</f>
        <v>2479</v>
      </c>
    </row>
    <row r="27">
      <c r="A27" s="129" t="str">
        <f>resultado_bd[Afiliados:]</f>
        <v>sinchicay, nelida del valle</v>
      </c>
      <c r="B27" s="130">
        <f>resultado_bd[AP]</f>
        <v>1142</v>
      </c>
    </row>
    <row r="28">
      <c r="A28" s="123" t="str">
        <f>resultado_bd[Afiliados:]</f>
        <v>mariani, melina giselle </v>
      </c>
      <c r="B28" s="124">
        <f>resultado_bd[AP]</f>
        <v>1591</v>
      </c>
    </row>
    <row r="29">
      <c r="A29" s="129" t="str">
        <f>resultado_bd[Afiliados:]</f>
        <v>melgarejo, gabriela romina</v>
      </c>
      <c r="B29" s="130">
        <f>resultado_bd[AP]</f>
        <v>2500</v>
      </c>
    </row>
    <row r="30">
      <c r="A30" s="123" t="str">
        <f>resultado_bd[Afiliados:]</f>
        <v>silva borda, nicolas rodrigo</v>
      </c>
      <c r="B30" s="124">
        <f>resultado_bd[AP]</f>
        <v>2713</v>
      </c>
    </row>
    <row r="31">
      <c r="A31" s="129" t="str">
        <f>resultado_bd[Afiliados:]</f>
        <v>gimenez, monica susana</v>
      </c>
      <c r="B31" s="130">
        <f>resultado_bd[AP]</f>
        <v>766</v>
      </c>
    </row>
    <row r="32">
      <c r="A32" s="123" t="str">
        <f>resultado_bd[Afiliados:]</f>
        <v>jaime, emilse solange</v>
      </c>
      <c r="B32" s="124">
        <f>resultado_bd[AP]</f>
        <v>2290</v>
      </c>
    </row>
    <row r="33">
      <c r="A33" s="129" t="str">
        <f>resultado_bd[Afiliados:]</f>
        <v>tuzes, maria ester</v>
      </c>
      <c r="B33" s="130">
        <f>resultado_bd[AP]</f>
        <v>2376</v>
      </c>
    </row>
    <row r="34">
      <c r="A34" s="123" t="str">
        <f>resultado_bd[Afiliados:]</f>
        <v>benittez, mirian celeste</v>
      </c>
      <c r="B34" s="124">
        <f>resultado_bd[AP]</f>
        <v>3106</v>
      </c>
    </row>
    <row r="35">
      <c r="A35" s="129" t="str">
        <f>resultado_bd[Afiliados:]</f>
        <v>aquino, emilio javier</v>
      </c>
      <c r="B35" s="130">
        <f>resultado_bd[AP]</f>
        <v>1677</v>
      </c>
    </row>
    <row r="36">
      <c r="A36" s="123" t="str">
        <f>resultado_bd[Afiliados:]</f>
        <v>caballero reyna,  manuel ignacio</v>
      </c>
      <c r="B36" s="124">
        <f>resultado_bd[AP]</f>
        <v>1112</v>
      </c>
    </row>
    <row r="37">
      <c r="A37" s="129" t="str">
        <f>resultado_bd[Afiliados:]</f>
        <v>cardozo,  gladys mabel</v>
      </c>
      <c r="B37" s="130">
        <f>resultado_bd[AP]</f>
        <v>729</v>
      </c>
    </row>
    <row r="38">
      <c r="A38" s="123" t="str">
        <f>resultado_bd[Afiliados:]</f>
        <v>cipriano,  facundo nicolas</v>
      </c>
      <c r="B38" s="124">
        <f>resultado_bd[AP]</f>
        <v>1923</v>
      </c>
    </row>
    <row r="39">
      <c r="A39" s="129" t="str">
        <f>resultado_bd[Afiliados:]</f>
        <v>corarelu,  alejandra </v>
      </c>
      <c r="B39" s="130">
        <f>resultado_bd[AP]</f>
        <v>130</v>
      </c>
    </row>
    <row r="40">
      <c r="A40" s="123" t="str">
        <f>resultado_bd[Afiliados:]</f>
        <v>coronel,  alejandra noemi</v>
      </c>
      <c r="B40" s="124">
        <f>resultado_bd[AP]</f>
        <v>2883</v>
      </c>
    </row>
    <row r="41">
      <c r="A41" s="129" t="str">
        <f>resultado_bd[Afiliados:]</f>
        <v>declavio,  maría cristina</v>
      </c>
      <c r="B41" s="130">
        <f>resultado_bd[AP]</f>
        <v>1579</v>
      </c>
    </row>
    <row r="42">
      <c r="A42" s="123" t="str">
        <f>resultado_bd[Afiliados:]</f>
        <v>delluniversidad,  gabriela andrea</v>
      </c>
      <c r="B42" s="124">
        <f>resultado_bd[AP]</f>
        <v>303</v>
      </c>
    </row>
    <row r="43">
      <c r="A43" s="129" t="str">
        <f>resultado_bd[Afiliados:]</f>
        <v>diego,  roxana claudia</v>
      </c>
      <c r="B43" s="130">
        <f>resultado_bd[AP]</f>
        <v>1116</v>
      </c>
    </row>
    <row r="44">
      <c r="A44" s="123" t="str">
        <f>resultado_bd[Afiliados:]</f>
        <v>de como,  daiana</v>
      </c>
      <c r="B44" s="124">
        <f>resultado_bd[AP]</f>
        <v>1640</v>
      </c>
    </row>
    <row r="45">
      <c r="A45" s="129" t="str">
        <f>resultado_bd[Afiliados:]</f>
        <v>digangi,  stella maris</v>
      </c>
      <c r="B45" s="130">
        <f>resultado_bd[AP]</f>
        <v>2447</v>
      </c>
    </row>
    <row r="46">
      <c r="A46" s="123" t="str">
        <f>resultado_bd[Afiliados:]</f>
        <v>diosquez,  sheila nahir</v>
      </c>
      <c r="B46" s="124">
        <f>resultado_bd[AP]</f>
        <v>2449</v>
      </c>
    </row>
    <row r="47">
      <c r="A47" s="129" t="str">
        <f>resultado_bd[Afiliados:]</f>
        <v>d' agostino,  leandro</v>
      </c>
      <c r="B47" s="130" t="str">
        <f>resultado_bd[AP]</f>
        <v/>
      </c>
    </row>
    <row r="48">
      <c r="A48" s="123" t="str">
        <f>resultado_bd[Afiliados:]</f>
        <v>fernandez,  florencia soledad</v>
      </c>
      <c r="B48" s="124">
        <f>resultado_bd[AP]</f>
        <v>2776</v>
      </c>
    </row>
    <row r="49">
      <c r="A49" s="129" t="str">
        <f>resultado_bd[Afiliados:]</f>
        <v>ferrari barcia,  brenda belen</v>
      </c>
      <c r="B49" s="130">
        <f>resultado_bd[AP]</f>
        <v>1644</v>
      </c>
    </row>
    <row r="50">
      <c r="A50" s="123" t="str">
        <f>resultado_bd[Afiliados:]</f>
        <v>flamenco,  ludmila  rosalia</v>
      </c>
      <c r="B50" s="124">
        <f>resultado_bd[AP]</f>
        <v>2463</v>
      </c>
    </row>
    <row r="51">
      <c r="A51" s="129" t="str">
        <f>resultado_bd[Afiliados:]</f>
        <v>fernandez,  nazarena abril</v>
      </c>
      <c r="B51" s="130">
        <f>resultado_bd[AP]</f>
        <v>2267</v>
      </c>
    </row>
    <row r="52">
      <c r="A52" s="123" t="str">
        <f>resultado_bd[Afiliados:]</f>
        <v>figueroa,  fernando </v>
      </c>
      <c r="B52" s="124">
        <f>resultado_bd[AP]</f>
        <v>1645</v>
      </c>
    </row>
    <row r="53">
      <c r="A53" s="129" t="str">
        <f>resultado_bd[Afiliados:]</f>
        <v>garcia,  maria belen</v>
      </c>
      <c r="B53" s="130">
        <f>resultado_bd[AP]</f>
        <v>2785</v>
      </c>
    </row>
    <row r="54">
      <c r="A54" s="123" t="str">
        <f>resultado_bd[Afiliados:]</f>
        <v>galarza,  wanda noemi</v>
      </c>
      <c r="B54" s="124">
        <f>resultado_bd[AP]</f>
        <v>3150</v>
      </c>
    </row>
    <row r="55">
      <c r="A55" s="129" t="str">
        <f>resultado_bd[Afiliados:]</f>
        <v>galeano,  carla antonella</v>
      </c>
      <c r="B55" s="130">
        <f>resultado_bd[AP]</f>
        <v>2275</v>
      </c>
    </row>
    <row r="56">
      <c r="A56" s="123" t="str">
        <f>resultado_bd[Afiliados:]</f>
        <v>galian,  daiana alejandra</v>
      </c>
      <c r="B56" s="124">
        <f>resultado_bd[AP]</f>
        <v>1984</v>
      </c>
    </row>
    <row r="57">
      <c r="A57" s="129" t="str">
        <f>resultado_bd[Afiliados:]</f>
        <v>geirola,  tomas agustin</v>
      </c>
      <c r="B57" s="130">
        <f>resultado_bd[AP]</f>
        <v>2636</v>
      </c>
    </row>
    <row r="58">
      <c r="A58" s="123" t="str">
        <f>resultado_bd[Afiliados:]</f>
        <v>gonzalez,  agostina jessica</v>
      </c>
      <c r="B58" s="124">
        <f>resultado_bd[AP]</f>
        <v>769</v>
      </c>
    </row>
    <row r="59">
      <c r="A59" s="129" t="str">
        <f>resultado_bd[Afiliados:]</f>
        <v>gonzalez,  hernan francisco</v>
      </c>
      <c r="B59" s="130">
        <f>resultado_bd[AP]</f>
        <v>2793</v>
      </c>
    </row>
    <row r="60">
      <c r="A60" s="123" t="str">
        <f>resultado_bd[Afiliados:]</f>
        <v>gonzalez churque,  maria pilar</v>
      </c>
      <c r="B60" s="124">
        <f>resultado_bd[AP]</f>
        <v>2473</v>
      </c>
    </row>
    <row r="61">
      <c r="A61" s="129" t="str">
        <f>resultado_bd[Afiliados:]</f>
        <v>gonzalez,  claudia </v>
      </c>
      <c r="B61" s="130">
        <f>resultado_bd[AP]</f>
        <v>494</v>
      </c>
    </row>
    <row r="62">
      <c r="A62" s="123" t="str">
        <f>resultado_bd[Afiliados:]</f>
        <v>gonzalez,  ruth esther</v>
      </c>
      <c r="B62" s="124">
        <f>resultado_bd[AP]</f>
        <v>2184</v>
      </c>
    </row>
    <row r="63">
      <c r="A63" s="129" t="str">
        <f>resultado_bd[Afiliados:]</f>
        <v>hermida,  vanesa karina</v>
      </c>
      <c r="B63" s="130">
        <f>resultado_bd[AP]</f>
        <v>576</v>
      </c>
    </row>
    <row r="64">
      <c r="A64" s="123" t="str">
        <f>resultado_bd[Afiliados:]</f>
        <v>hidalgo,  silvia roxana</v>
      </c>
      <c r="B64" s="124">
        <f>resultado_bd[AP]</f>
        <v>1608</v>
      </c>
    </row>
    <row r="65">
      <c r="A65" s="129" t="str">
        <f>resultado_bd[Afiliados:]</f>
        <v>ibañez,  maria ines</v>
      </c>
      <c r="B65" s="130">
        <f>resultado_bd[AP]</f>
        <v>1410</v>
      </c>
    </row>
    <row r="66">
      <c r="A66" s="123" t="str">
        <f>resultado_bd[Afiliados:]</f>
        <v>insfran gutierrez,  johanna yanett </v>
      </c>
      <c r="B66" s="124">
        <f>resultado_bd[AP]</f>
        <v>577</v>
      </c>
    </row>
    <row r="67">
      <c r="A67" s="129" t="str">
        <f>resultado_bd[Afiliados:]</f>
        <v>irala,  liz </v>
      </c>
      <c r="B67" s="130">
        <f>resultado_bd[AP]</f>
        <v>1326</v>
      </c>
    </row>
    <row r="68">
      <c r="A68" s="123" t="str">
        <f>resultado_bd[Afiliados:]</f>
        <v>jofre,  vivian</v>
      </c>
      <c r="B68" s="124">
        <f>resultado_bd[AP]</f>
        <v>343</v>
      </c>
    </row>
    <row r="69">
      <c r="A69" s="129" t="str">
        <f>resultado_bd[Afiliados:]</f>
        <v>jurado usabarrena,  lourdes anabel</v>
      </c>
      <c r="B69" s="130">
        <f>resultado_bd[AP]</f>
        <v>779</v>
      </c>
    </row>
    <row r="70">
      <c r="A70" s="123" t="str">
        <f>resultado_bd[Afiliados:]</f>
        <v>kehoe,  marianela</v>
      </c>
      <c r="B70" s="124">
        <f>resultado_bd[AP]</f>
        <v>129</v>
      </c>
    </row>
    <row r="71">
      <c r="A71" s="129" t="str">
        <f>resultado_bd[Afiliados:]</f>
        <v>kim,  sabrina leila</v>
      </c>
      <c r="B71" s="130">
        <f>resultado_bd[AP]</f>
        <v>1969</v>
      </c>
    </row>
    <row r="72">
      <c r="A72" s="123" t="str">
        <f>resultado_bd[Afiliados:]</f>
        <v>larche,  dario ezequiel </v>
      </c>
      <c r="B72" s="124">
        <f>resultado_bd[AP]</f>
        <v>166</v>
      </c>
    </row>
    <row r="73">
      <c r="A73" s="129" t="str">
        <f>resultado_bd[Afiliados:]</f>
        <v>lenisa,  nancy yanina</v>
      </c>
      <c r="B73" s="130">
        <f>resultado_bd[AP]</f>
        <v>925</v>
      </c>
    </row>
    <row r="74">
      <c r="A74" s="123" t="str">
        <f>resultado_bd[Afiliados:]</f>
        <v>linos,  dolores del carmen</v>
      </c>
      <c r="B74" s="124">
        <f>resultado_bd[AP]</f>
        <v>1536</v>
      </c>
    </row>
    <row r="75">
      <c r="A75" s="129" t="str">
        <f>resultado_bd[Afiliados:]</f>
        <v>lopez,  daiana belen</v>
      </c>
      <c r="B75" s="130">
        <f>resultado_bd[AP]</f>
        <v>2649</v>
      </c>
    </row>
    <row r="76">
      <c r="A76" s="123" t="str">
        <f>resultado_bd[Afiliados:]</f>
        <v>lopez,  gonzalo ezequiel</v>
      </c>
      <c r="B76" s="124" t="str">
        <f>resultado_bd[AP]</f>
        <v/>
      </c>
    </row>
    <row r="77">
      <c r="A77" s="129" t="str">
        <f>resultado_bd[Afiliados:]</f>
        <v>lopez,  julieta daiana </v>
      </c>
      <c r="B77" s="130">
        <f>resultado_bd[AP]</f>
        <v>1873</v>
      </c>
    </row>
    <row r="78">
      <c r="A78" s="123" t="str">
        <f>resultado_bd[Afiliados:]</f>
        <v>lopez,  lilian elizabeth </v>
      </c>
      <c r="B78" s="124">
        <f>resultado_bd[AP]</f>
        <v>1989</v>
      </c>
    </row>
    <row r="79">
      <c r="A79" s="129" t="str">
        <f>resultado_bd[Afiliados:]</f>
        <v>mamani,  ivan</v>
      </c>
      <c r="B79" s="130">
        <f>resultado_bd[AP]</f>
        <v>2813</v>
      </c>
    </row>
    <row r="80">
      <c r="A80" s="123" t="str">
        <f>resultado_bd[Afiliados:]</f>
        <v>mansilla,  fernando damian</v>
      </c>
      <c r="B80" s="124">
        <f>resultado_bd[AP]</f>
        <v>2657</v>
      </c>
    </row>
    <row r="81">
      <c r="A81" s="129" t="str">
        <f>resultado_bd[Afiliados:]</f>
        <v>martin,  nicole</v>
      </c>
      <c r="B81" s="130">
        <f>resultado_bd[AP]</f>
        <v>1657</v>
      </c>
    </row>
    <row r="82">
      <c r="A82" s="123" t="str">
        <f>resultado_bd[Afiliados:]</f>
        <v>martinez,  raquel</v>
      </c>
      <c r="B82" s="124">
        <f>resultado_bd[AP]</f>
        <v>941</v>
      </c>
    </row>
    <row r="83">
      <c r="A83" s="129" t="str">
        <f>resultado_bd[Afiliados:]</f>
        <v>martinez,  debora alejandra</v>
      </c>
      <c r="B83" s="130" t="str">
        <f>resultado_bd[AP]</f>
        <v/>
      </c>
    </row>
    <row r="84">
      <c r="A84" s="123" t="str">
        <f>resultado_bd[Afiliados:]</f>
        <v>medina,  katerin julieta</v>
      </c>
      <c r="B84" s="124">
        <f>resultado_bd[AP]</f>
        <v>2499</v>
      </c>
    </row>
    <row r="85">
      <c r="A85" s="129" t="str">
        <f>resultado_bd[Afiliados:]</f>
        <v>mieres,  florencia</v>
      </c>
      <c r="B85" s="130">
        <f>resultado_bd[AP]</f>
        <v>1944</v>
      </c>
    </row>
    <row r="86">
      <c r="A86" s="123" t="str">
        <f>resultado_bd[Afiliados:]</f>
        <v>montiel,  sergio agustín </v>
      </c>
      <c r="B86" s="124">
        <f>resultado_bd[AP]</f>
        <v>523</v>
      </c>
    </row>
    <row r="87">
      <c r="A87" s="129" t="str">
        <f>resultado_bd[Afiliados:]</f>
        <v>monaco,  agustina</v>
      </c>
      <c r="B87" s="130">
        <f>resultado_bd[AP]</f>
        <v>3018</v>
      </c>
    </row>
    <row r="88">
      <c r="A88" s="123" t="str">
        <f>resultado_bd[Afiliados:]</f>
        <v>montenegro,  sandra beatriz</v>
      </c>
      <c r="B88" s="124">
        <f>resultado_bd[AP]</f>
        <v>114</v>
      </c>
    </row>
    <row r="89">
      <c r="A89" s="129" t="str">
        <f>resultado_bd[Afiliados:]</f>
        <v>muscarelli,  florencia sol</v>
      </c>
      <c r="B89" s="130">
        <f>resultado_bd[AP]</f>
        <v>376</v>
      </c>
    </row>
    <row r="90">
      <c r="A90" s="123" t="str">
        <f>resultado_bd[Afiliados:]</f>
        <v>nieva,  alcira del valle</v>
      </c>
      <c r="B90" s="124">
        <f>resultado_bd[AP]</f>
        <v>1978</v>
      </c>
    </row>
    <row r="91">
      <c r="A91" s="129" t="str">
        <f>resultado_bd[Afiliados:]</f>
        <v>nuñez,  santino alan</v>
      </c>
      <c r="B91" s="130">
        <f>resultado_bd[AP]</f>
        <v>2324</v>
      </c>
    </row>
    <row r="92">
      <c r="A92" s="123" t="str">
        <f>resultado_bd[Afiliados:]</f>
        <v>ortiz,  yazmin vaniria nahir</v>
      </c>
      <c r="B92" s="124">
        <f>resultado_bd[AP]</f>
        <v>1543</v>
      </c>
    </row>
    <row r="93">
      <c r="A93" s="129" t="str">
        <f>resultado_bd[Afiliados:]</f>
        <v>ortiz,  daniela  </v>
      </c>
      <c r="B93" s="130">
        <f>resultado_bd[AP]</f>
        <v>1739</v>
      </c>
    </row>
    <row r="94">
      <c r="A94" s="123" t="str">
        <f>resultado_bd[Afiliados:]</f>
        <v>ortiz,  gustavo</v>
      </c>
      <c r="B94" s="124" t="str">
        <f>resultado_bd[AP]</f>
        <v/>
      </c>
    </row>
    <row r="95">
      <c r="A95" s="129" t="str">
        <f>resultado_bd[Afiliados:]</f>
        <v>ortiz,  marina elizabeth</v>
      </c>
      <c r="B95" s="130">
        <f>resultado_bd[AP]</f>
        <v>3199</v>
      </c>
    </row>
    <row r="96">
      <c r="A96" s="123" t="str">
        <f>resultado_bd[Afiliados:]</f>
        <v>paez,  yamila denise</v>
      </c>
      <c r="B96" s="124">
        <f>resultado_bd[AP]</f>
        <v>1594</v>
      </c>
    </row>
    <row r="97">
      <c r="A97" s="129" t="str">
        <f>resultado_bd[Afiliados:]</f>
        <v>paz,  daniela</v>
      </c>
      <c r="B97" s="130">
        <f>resultado_bd[AP]</f>
        <v>2830</v>
      </c>
    </row>
    <row r="98">
      <c r="A98" s="123" t="str">
        <f>resultado_bd[Afiliados:]</f>
        <v>palacio,  gustavo</v>
      </c>
      <c r="B98" s="124">
        <f>resultado_bd[AP]</f>
        <v>1124</v>
      </c>
    </row>
    <row r="99">
      <c r="A99" s="129" t="str">
        <f>resultado_bd[Afiliados:]</f>
        <v>perez,  florencia ludmila</v>
      </c>
      <c r="B99" s="130">
        <f>resultado_bd[AP]</f>
        <v>2518</v>
      </c>
    </row>
    <row r="100">
      <c r="A100" s="123" t="str">
        <f>resultado_bd[Afiliados:]</f>
        <v>perez,  maría bettina </v>
      </c>
      <c r="B100" s="124">
        <f>resultado_bd[AP]</f>
        <v>1693</v>
      </c>
    </row>
    <row r="101">
      <c r="A101" s="129" t="str">
        <f>resultado_bd[Afiliados:]</f>
        <v>perez,  fernanda mariel</v>
      </c>
      <c r="B101" s="130">
        <f>resultado_bd[AP]</f>
        <v>1953</v>
      </c>
    </row>
    <row r="102">
      <c r="A102" s="123" t="str">
        <f>resultado_bd[Afiliados:]</f>
        <v>pereyra,  lucas daniel</v>
      </c>
      <c r="B102" s="124">
        <f>resultado_bd[AP]</f>
        <v>1862</v>
      </c>
    </row>
    <row r="103">
      <c r="A103" s="129" t="str">
        <f>resultado_bd[Afiliados:]</f>
        <v>pineda,  gina magali florencia</v>
      </c>
      <c r="B103" s="130">
        <f>resultado_bd[AP]</f>
        <v>2680</v>
      </c>
    </row>
    <row r="104">
      <c r="A104" s="123" t="str">
        <f>resultado_bd[Afiliados:]</f>
        <v>pineda mongelos,  sindy kathiana</v>
      </c>
      <c r="B104" s="124">
        <f>resultado_bd[AP]</f>
        <v>996</v>
      </c>
    </row>
    <row r="105">
      <c r="A105" s="129" t="str">
        <f>resultado_bd[Afiliados:]</f>
        <v>proz,  magali nahir</v>
      </c>
      <c r="B105" s="130">
        <f>resultado_bd[AP]</f>
        <v>1970</v>
      </c>
    </row>
    <row r="106">
      <c r="A106" s="123" t="str">
        <f>resultado_bd[Afiliados:]</f>
        <v>quintero,  cinthia alejandra </v>
      </c>
      <c r="B106" s="124">
        <f>resultado_bd[AP]</f>
        <v>1365</v>
      </c>
    </row>
    <row r="107">
      <c r="A107" s="129" t="str">
        <f>resultado_bd[Afiliados:]</f>
        <v>quintero,  natalia paola</v>
      </c>
      <c r="B107" s="130">
        <f>resultado_bd[AP]</f>
        <v>2340</v>
      </c>
    </row>
    <row r="108">
      <c r="A108" s="123" t="str">
        <f>resultado_bd[Afiliados:]</f>
        <v>quiroga,  claudio javier </v>
      </c>
      <c r="B108" s="124">
        <f>resultado_bd[AP]</f>
        <v>1004</v>
      </c>
    </row>
    <row r="109">
      <c r="A109" s="129" t="str">
        <f>resultado_bd[Afiliados:]</f>
        <v>quispe coronado,  josé luis</v>
      </c>
      <c r="B109" s="130">
        <f>resultado_bd[AP]</f>
        <v>180</v>
      </c>
    </row>
    <row r="110">
      <c r="A110" s="123" t="str">
        <f>resultado_bd[Afiliados:]</f>
        <v>quiñones,  camila</v>
      </c>
      <c r="B110" s="124">
        <f>resultado_bd[AP]</f>
        <v>3033</v>
      </c>
    </row>
    <row r="111">
      <c r="A111" s="129" t="str">
        <f>resultado_bd[Afiliados:]</f>
        <v>rivera,  daniela alejandra</v>
      </c>
      <c r="B111" s="130">
        <f>resultado_bd[AP]</f>
        <v>2351</v>
      </c>
    </row>
    <row r="112">
      <c r="A112" s="123" t="str">
        <f>resultado_bd[Afiliados:]</f>
        <v>rinaldi,  carla</v>
      </c>
      <c r="B112" s="124">
        <f>resultado_bd[AP]</f>
        <v>1917</v>
      </c>
    </row>
    <row r="113">
      <c r="A113" s="129" t="str">
        <f>resultado_bd[Afiliados:]</f>
        <v>ríos,  mariana noemí</v>
      </c>
      <c r="B113" s="130">
        <f>resultado_bd[AP]</f>
        <v>1662</v>
      </c>
    </row>
    <row r="114">
      <c r="A114" s="123" t="str">
        <f>resultado_bd[Afiliados:]</f>
        <v>rodriguez,  paola alejandra</v>
      </c>
      <c r="B114" s="124">
        <f>resultado_bd[AP]</f>
        <v>543</v>
      </c>
    </row>
    <row r="115">
      <c r="A115" s="129" t="str">
        <f>resultado_bd[Afiliados:]</f>
        <v>rojas molinas,  micaela</v>
      </c>
      <c r="B115" s="130">
        <f>resultado_bd[AP]</f>
        <v>1775</v>
      </c>
    </row>
    <row r="116">
      <c r="A116" s="123" t="str">
        <f>resultado_bd[Afiliados:]</f>
        <v>rolón,  marta patricia</v>
      </c>
      <c r="B116" s="124">
        <f>resultado_bd[AP]</f>
        <v>1429</v>
      </c>
    </row>
    <row r="117">
      <c r="A117" s="129" t="str">
        <f>resultado_bd[Afiliados:]</f>
        <v>roma,  pablo</v>
      </c>
      <c r="B117" s="130">
        <f>resultado_bd[AP]</f>
        <v>1407</v>
      </c>
    </row>
    <row r="118">
      <c r="A118" s="123" t="str">
        <f>resultado_bd[Afiliados:]</f>
        <v>rossi,  jesica johana</v>
      </c>
      <c r="B118" s="124">
        <f>resultado_bd[AP]</f>
        <v>1484</v>
      </c>
    </row>
    <row r="119">
      <c r="A119" s="129" t="str">
        <f>resultado_bd[Afiliados:]</f>
        <v>ruiz,  lucia yamila</v>
      </c>
      <c r="B119" s="130">
        <f>resultado_bd[AP]</f>
        <v>2849</v>
      </c>
    </row>
    <row r="120">
      <c r="A120" s="123" t="str">
        <f>resultado_bd[Afiliados:]</f>
        <v>ruiz,  mailen ariadna</v>
      </c>
      <c r="B120" s="124">
        <f>resultado_bd[AP]</f>
        <v>2537</v>
      </c>
    </row>
    <row r="121">
      <c r="A121" s="129" t="str">
        <f>resultado_bd[Afiliados:]</f>
        <v>ruíz diaz,  diego fernando </v>
      </c>
      <c r="B121" s="130">
        <f>resultado_bd[AP]</f>
        <v>1776</v>
      </c>
    </row>
    <row r="122">
      <c r="A122" s="123" t="str">
        <f>resultado_bd[Afiliados:]</f>
        <v>saracho,  gabriela</v>
      </c>
      <c r="B122" s="124">
        <f>resultado_bd[AP]</f>
        <v>2856</v>
      </c>
    </row>
    <row r="123">
      <c r="A123" s="129" t="str">
        <f>resultado_bd[Afiliados:]</f>
        <v>sabbagh,  mario javier</v>
      </c>
      <c r="B123" s="130">
        <f>resultado_bd[AP]</f>
        <v>2001</v>
      </c>
    </row>
    <row r="124">
      <c r="A124" s="123" t="str">
        <f>resultado_bd[Afiliados:]</f>
        <v>salazar,  claudio</v>
      </c>
      <c r="B124" s="124">
        <f>resultado_bd[AP]</f>
        <v>1234</v>
      </c>
    </row>
    <row r="125">
      <c r="A125" s="129" t="str">
        <f>resultado_bd[Afiliados:]</f>
        <v>sartori,  carina alejandra </v>
      </c>
      <c r="B125" s="130">
        <f>resultado_bd[AP]</f>
        <v>1674</v>
      </c>
    </row>
    <row r="126">
      <c r="A126" s="123" t="str">
        <f>resultado_bd[Afiliados:]</f>
        <v>siles,  romina leticia </v>
      </c>
      <c r="B126" s="124">
        <f>resultado_bd[AP]</f>
        <v>1665</v>
      </c>
    </row>
    <row r="127">
      <c r="A127" s="129" t="str">
        <f>resultado_bd[Afiliados:]</f>
        <v>silva,  claudia alejandra</v>
      </c>
      <c r="B127" s="130">
        <f>resultado_bd[AP]</f>
        <v>1746</v>
      </c>
    </row>
    <row r="128">
      <c r="A128" s="123" t="str">
        <f>resultado_bd[Afiliados:]</f>
        <v>sorbara,  mariana</v>
      </c>
      <c r="B128" s="124">
        <f>resultado_bd[AP]</f>
        <v>1239</v>
      </c>
    </row>
    <row r="129">
      <c r="A129" s="129" t="str">
        <f>resultado_bd[Afiliados:]</f>
        <v>sotomayor machado,  sandra</v>
      </c>
      <c r="B129" s="130">
        <f>resultado_bd[AP]</f>
        <v>1736</v>
      </c>
    </row>
    <row r="130">
      <c r="A130" s="123" t="str">
        <f>resultado_bd[Afiliados:]</f>
        <v>sterzel,  hernan</v>
      </c>
      <c r="B130" s="124">
        <f>resultado_bd[AP]</f>
        <v>189</v>
      </c>
    </row>
    <row r="131">
      <c r="A131" s="129" t="str">
        <f>resultado_bd[Afiliados:]</f>
        <v>suarez,  cristian marcelo</v>
      </c>
      <c r="B131" s="130">
        <f>resultado_bd[AP]</f>
        <v>260</v>
      </c>
    </row>
    <row r="132">
      <c r="A132" s="123" t="str">
        <f>resultado_bd[Afiliados:]</f>
        <v>torres,  rodrigo</v>
      </c>
      <c r="B132" s="124" t="str">
        <f>resultado_bd[AP]</f>
        <v/>
      </c>
    </row>
    <row r="133">
      <c r="A133" s="129" t="str">
        <f>resultado_bd[Afiliados:]</f>
        <v>turza,  francisco</v>
      </c>
      <c r="B133" s="130" t="str">
        <f>resultado_bd[AP]</f>
        <v/>
      </c>
    </row>
    <row r="134">
      <c r="A134" s="123" t="str">
        <f>resultado_bd[Afiliados:]</f>
        <v>uriarte,  romina maría lujan </v>
      </c>
      <c r="B134" s="124">
        <f>resultado_bd[AP]</f>
        <v>1065</v>
      </c>
    </row>
    <row r="135">
      <c r="A135" s="129" t="str">
        <f>resultado_bd[Afiliados:]</f>
        <v>vallejos,  cristian adrian</v>
      </c>
      <c r="B135" s="130">
        <f>resultado_bd[AP]</f>
        <v>2379</v>
      </c>
    </row>
    <row r="136">
      <c r="A136" s="123" t="str">
        <f>resultado_bd[Afiliados:]</f>
        <v>vertz,  carina alejandra</v>
      </c>
      <c r="B136" s="124">
        <f>resultado_bd[AP]</f>
        <v>3240</v>
      </c>
    </row>
    <row r="137">
      <c r="A137" s="129" t="str">
        <f>resultado_bd[Afiliados:]</f>
        <v>vitadello,  milena ayelen</v>
      </c>
      <c r="B137" s="130">
        <f>resultado_bd[AP]</f>
        <v>3242</v>
      </c>
    </row>
    <row r="138">
      <c r="A138" s="123" t="str">
        <f>resultado_bd[Afiliados:]</f>
        <v>virreira,  pedro </v>
      </c>
      <c r="B138" s="124">
        <f>resultado_bd[AP]</f>
        <v>1150</v>
      </c>
    </row>
    <row r="139">
      <c r="A139" s="129" t="str">
        <f>resultado_bd[Afiliados:]</f>
        <v>zegarra,  alarcon mariano salvador</v>
      </c>
      <c r="B139" s="130">
        <f>resultado_bd[AP]</f>
        <v>1793</v>
      </c>
    </row>
    <row r="140">
      <c r="A140" s="123" t="str">
        <f>resultado_bd[Afiliados:]</f>
        <v>carlos,  nicolas</v>
      </c>
      <c r="B140" s="124" t="str">
        <f>resultado_bd[AP]</f>
        <v/>
      </c>
    </row>
    <row r="141">
      <c r="A141" s="129" t="str">
        <f>resultado_bd[Afiliados:]</f>
        <v>catalano,  ariadna </v>
      </c>
      <c r="B141" s="130" t="str">
        <f>resultado_bd[AP]</f>
        <v/>
      </c>
    </row>
    <row r="142">
      <c r="A142" s="123" t="str">
        <f>resultado_bd[Afiliados:]</f>
        <v>cepeda,  veronica</v>
      </c>
      <c r="B142" s="124" t="str">
        <f>resultado_bd[AP]</f>
        <v/>
      </c>
    </row>
    <row r="143">
      <c r="A143" s="129" t="str">
        <f>resultado_bd[Afiliados:]</f>
        <v>gonzalez,  gabriela</v>
      </c>
      <c r="B143" s="130" t="str">
        <f>resultado_bd[AP]</f>
        <v/>
      </c>
    </row>
    <row r="144">
      <c r="A144" s="123" t="str">
        <f>resultado_bd[Afiliados:]</f>
        <v>gonzalez,  martina</v>
      </c>
      <c r="B144" s="124" t="str">
        <f>resultado_bd[AP]</f>
        <v/>
      </c>
    </row>
    <row r="145">
      <c r="A145" s="129" t="str">
        <f>resultado_bd[Afiliados:]</f>
        <v>gutierrez,  belén</v>
      </c>
      <c r="B145" s="130" t="str">
        <f>resultado_bd[AP]</f>
        <v/>
      </c>
    </row>
    <row r="146">
      <c r="A146" s="123" t="str">
        <f>resultado_bd[Afiliados:]</f>
        <v>perez,  claudio</v>
      </c>
      <c r="B146" s="124" t="str">
        <f>resultado_bd[AP]</f>
        <v/>
      </c>
    </row>
    <row r="147">
      <c r="A147" s="129" t="str">
        <f>resultado_bd[Afiliados:]</f>
        <v>rojas,  veronica</v>
      </c>
      <c r="B147" s="130" t="str">
        <f>resultado_bd[AP]</f>
        <v/>
      </c>
    </row>
    <row r="148">
      <c r="A148" s="123" t="str">
        <f>resultado_bd[Afiliados:]</f>
        <v>romero,  veronica</v>
      </c>
      <c r="B148" s="124" t="str">
        <f>resultado_bd[AP]</f>
        <v/>
      </c>
    </row>
    <row r="149">
      <c r="A149" s="129" t="str">
        <f>resultado_bd[Afiliados:]</f>
        <v>sterzel,  romina </v>
      </c>
      <c r="B149" s="130" t="str">
        <f>resultado_bd[AP]</f>
        <v/>
      </c>
    </row>
    <row r="150">
      <c r="A150" s="123" t="str">
        <f>resultado_bd[Afiliados:]</f>
        <v>suarez,  marcos</v>
      </c>
      <c r="B150" s="124" t="str">
        <f>resultado_bd[AP]</f>
        <v/>
      </c>
    </row>
    <row r="151">
      <c r="A151" s="129" t="str">
        <f>resultado_bd[Afiliados:]</f>
        <v>vaca,  matias</v>
      </c>
      <c r="B151" s="130" t="str">
        <f>resultado_bd[AP]</f>
        <v/>
      </c>
    </row>
    <row r="152">
      <c r="A152" s="123" t="str">
        <f>resultado_bd[Afiliados:]</f>
        <v>Armentano,  Romina </v>
      </c>
      <c r="B152" s="124">
        <f>resultado_bd[AP]</f>
        <v>134</v>
      </c>
    </row>
    <row r="153">
      <c r="A153" s="129" t="str">
        <f>resultado_bd[Afiliados:]</f>
        <v>Barrero Borda,  Melanie Araceli</v>
      </c>
      <c r="B153" s="130">
        <f>resultado_bd[AP]</f>
        <v>207</v>
      </c>
    </row>
    <row r="154">
      <c r="A154" s="123" t="str">
        <f>resultado_bd[Afiliados:]</f>
        <v>Bazán,  Erica Haydee</v>
      </c>
      <c r="B154" s="124">
        <f>resultado_bd[AP]</f>
        <v>450</v>
      </c>
    </row>
    <row r="155">
      <c r="A155" s="129" t="str">
        <f>resultado_bd[Afiliados:]</f>
        <v>Bergamoen,  Angie</v>
      </c>
      <c r="B155" s="130">
        <f>resultado_bd[AP]</f>
        <v>2593</v>
      </c>
    </row>
    <row r="156">
      <c r="A156" s="123" t="str">
        <f>resultado_bd[Afiliados:]</f>
        <v>Bianchi,  Alexis</v>
      </c>
      <c r="B156" s="124">
        <f>resultado_bd[AP]</f>
        <v>1526</v>
      </c>
    </row>
    <row r="157">
      <c r="A157" s="129" t="str">
        <f>resultado_bd[Afiliados:]</f>
        <v>Borda,  Noelia Elizabeth</v>
      </c>
      <c r="B157" s="130">
        <f>resultado_bd[AP]</f>
        <v>726</v>
      </c>
    </row>
    <row r="158">
      <c r="A158" s="123" t="str">
        <f>resultado_bd[Afiliados:]</f>
        <v>Bruno,  Johanna Belén </v>
      </c>
      <c r="B158" s="124">
        <f>resultado_bd[AP]</f>
        <v>1577</v>
      </c>
    </row>
    <row r="159">
      <c r="A159" s="129" t="str">
        <f>resultado_bd[Afiliados:]</f>
        <v>Camicia,  Leila Mabel</v>
      </c>
      <c r="B159" s="130">
        <f>resultado_bd[AP]</f>
        <v>1183</v>
      </c>
    </row>
    <row r="160">
      <c r="A160" s="123" t="str">
        <f>resultado_bd[Afiliados:]</f>
        <v>Castro Andraca,  Maria Angeles</v>
      </c>
      <c r="B160" s="124">
        <f>resultado_bd[AP]</f>
        <v>733</v>
      </c>
    </row>
    <row r="161">
      <c r="A161" s="129" t="str">
        <f>resultado_bd[Afiliados:]</f>
        <v>Estevez,  Brenda</v>
      </c>
      <c r="B161" s="130">
        <f>resultado_bd[AP]</f>
        <v>1642</v>
      </c>
    </row>
    <row r="162">
      <c r="A162" s="123" t="str">
        <f>resultado_bd[Afiliados:]</f>
        <v>Gervasio,  Cintia Micaela </v>
      </c>
      <c r="B162" s="124">
        <f>resultado_bd[AP]</f>
        <v>1586</v>
      </c>
    </row>
    <row r="163">
      <c r="A163" s="129" t="str">
        <f>resultado_bd[Afiliados:]</f>
        <v>Jorrat,  Sasha Tamara</v>
      </c>
      <c r="B163" s="130">
        <f>resultado_bd[AP]</f>
        <v>1327</v>
      </c>
    </row>
    <row r="164">
      <c r="A164" s="123" t="str">
        <f>resultado_bd[Afiliados:]</f>
        <v>Lopez,  Cinthia </v>
      </c>
      <c r="B164" s="124">
        <f>resultado_bd[AP]</f>
        <v>353</v>
      </c>
    </row>
    <row r="165">
      <c r="A165" s="129" t="str">
        <f>resultado_bd[Afiliados:]</f>
        <v>López,  Nadiezha</v>
      </c>
      <c r="B165" s="130">
        <f>resultado_bd[AP]</f>
        <v>509</v>
      </c>
    </row>
    <row r="166">
      <c r="A166" s="123" t="str">
        <f>resultado_bd[Afiliados:]</f>
        <v>Lucero,  Camila Macarena</v>
      </c>
      <c r="B166" s="124">
        <f>resultado_bd[AP]</f>
        <v>232</v>
      </c>
    </row>
    <row r="167">
      <c r="A167" s="129" t="str">
        <f>resultado_bd[Afiliados:]</f>
        <v>Mugno,  Vanesa</v>
      </c>
      <c r="B167" s="130">
        <f>resultado_bd[AP]</f>
        <v>1380</v>
      </c>
    </row>
    <row r="168">
      <c r="A168" s="123" t="str">
        <f>resultado_bd[Afiliados:]</f>
        <v>Noya,  Facundo Gonzalo</v>
      </c>
      <c r="B168" s="124">
        <f>resultado_bd[AP]</f>
        <v>1993</v>
      </c>
    </row>
    <row r="169">
      <c r="A169" s="129" t="str">
        <f>resultado_bd[Afiliados:]</f>
        <v>Serrano,  Natalia</v>
      </c>
      <c r="B169" s="130">
        <f>resultado_bd[AP]</f>
        <v>413</v>
      </c>
    </row>
    <row r="170">
      <c r="A170" s="123" t="str">
        <f>resultado_bd[Afiliados:]</f>
        <v>Tesone,  Juan Manuel </v>
      </c>
      <c r="B170" s="124">
        <f>resultado_bd[AP]</f>
        <v>417</v>
      </c>
    </row>
    <row r="171">
      <c r="A171" s="129" t="str">
        <f>resultado_bd[Afiliados:]</f>
        <v>Ybarra,  Roxana </v>
      </c>
      <c r="B171" s="130">
        <f>resultado_bd[AP]</f>
        <v>267</v>
      </c>
    </row>
    <row r="172">
      <c r="A172" s="123" t="str">
        <f>resultado_bd[Afiliados:]</f>
        <v>Argañaraz,  Ayelen Ailen</v>
      </c>
      <c r="B172" s="124">
        <f>resultado_bd[AP]</f>
        <v>2920</v>
      </c>
    </row>
    <row r="173">
      <c r="A173" s="129" t="str">
        <f>resultado_bd[Afiliados:]</f>
        <v>Baez,  Ornella</v>
      </c>
      <c r="B173" s="130">
        <f>resultado_bd[AP]</f>
        <v>2924</v>
      </c>
    </row>
    <row r="174">
      <c r="A174" s="123" t="str">
        <f>resultado_bd[Afiliados:]</f>
        <v>Barreto,  Federico Martin</v>
      </c>
      <c r="B174" s="124">
        <f>resultado_bd[AP]</f>
        <v>2406</v>
      </c>
    </row>
    <row r="175">
      <c r="A175" s="129" t="str">
        <f>resultado_bd[Afiliados:]</f>
        <v>Barriento,  Daniela Giselle</v>
      </c>
      <c r="B175" s="130">
        <f>resultado_bd[AP]</f>
        <v>2746</v>
      </c>
    </row>
    <row r="176">
      <c r="A176" s="123" t="str">
        <f>resultado_bd[Afiliados:]</f>
        <v>Benitez,  Lucas</v>
      </c>
      <c r="B176" s="124">
        <f>resultado_bd[AP]</f>
        <v>1753</v>
      </c>
    </row>
    <row r="177">
      <c r="A177" s="129" t="str">
        <f>resultado_bd[Afiliados:]</f>
        <v>Benitez,  Miriagly</v>
      </c>
      <c r="B177" s="130">
        <f>resultado_bd[AP]</f>
        <v>1919</v>
      </c>
    </row>
    <row r="178">
      <c r="A178" s="123" t="str">
        <f>resultado_bd[Afiliados:]</f>
        <v>Cabelluzi,  Juan Alberto</v>
      </c>
      <c r="B178" s="124">
        <f>resultado_bd[AP]</f>
        <v>2601</v>
      </c>
    </row>
    <row r="179">
      <c r="A179" s="129" t="str">
        <f>resultado_bd[Afiliados:]</f>
        <v>Carosini,  Araceli</v>
      </c>
      <c r="B179" s="130">
        <f>resultado_bd[AP]</f>
        <v>2608</v>
      </c>
    </row>
    <row r="180">
      <c r="A180" s="123" t="str">
        <f>resultado_bd[Afiliados:]</f>
        <v>Corbalan,  Amalia</v>
      </c>
      <c r="B180" s="124">
        <f>resultado_bd[AP]</f>
        <v>2891</v>
      </c>
    </row>
    <row r="181">
      <c r="A181" s="129" t="str">
        <f>resultado_bd[Afiliados:]</f>
        <v>Cordoba,  Romina</v>
      </c>
      <c r="B181" s="130">
        <f>resultado_bd[AP]</f>
        <v>2954</v>
      </c>
    </row>
    <row r="182">
      <c r="A182" s="123" t="str">
        <f>resultado_bd[Afiliados:]</f>
        <v>Dugour,  Cecilia</v>
      </c>
      <c r="B182" s="124">
        <f>resultado_bd[AP]</f>
        <v>1931</v>
      </c>
    </row>
    <row r="183">
      <c r="A183" s="129" t="str">
        <f>resultado_bd[Afiliados:]</f>
        <v>Espindola,  Romina</v>
      </c>
      <c r="B183" s="130">
        <f>resultado_bd[AP]</f>
        <v>2177</v>
      </c>
    </row>
    <row r="184">
      <c r="A184" s="123" t="str">
        <f>resultado_bd[Afiliados:]</f>
        <v>Farias,  Daiana</v>
      </c>
      <c r="B184" s="124">
        <f>resultado_bd[AP]</f>
        <v>2458</v>
      </c>
    </row>
    <row r="185">
      <c r="A185" s="129" t="str">
        <f>resultado_bd[Afiliados:]</f>
        <v>Farias,  Tamara</v>
      </c>
      <c r="B185" s="130">
        <f>resultado_bd[AP]</f>
        <v>2457</v>
      </c>
    </row>
    <row r="186">
      <c r="A186" s="123" t="str">
        <f>resultado_bd[Afiliados:]</f>
        <v>Gerez,  Paula</v>
      </c>
      <c r="B186" s="124">
        <f>resultado_bd[AP]</f>
        <v>2467</v>
      </c>
    </row>
    <row r="187">
      <c r="A187" s="129" t="str">
        <f>resultado_bd[Afiliados:]</f>
        <v>Gonzalez,  Gabriela Guadalupe</v>
      </c>
      <c r="B187" s="130">
        <f>resultado_bd[AP]</f>
        <v>2795</v>
      </c>
    </row>
    <row r="188">
      <c r="A188" s="123" t="str">
        <f>resultado_bd[Afiliados:]</f>
        <v>Hosko,  Aldana</v>
      </c>
      <c r="B188" s="124">
        <f>resultado_bd[AP]</f>
        <v>2798</v>
      </c>
    </row>
    <row r="189">
      <c r="A189" s="129" t="str">
        <f>resultado_bd[Afiliados:]</f>
        <v>Pentrelli,  Vanesa</v>
      </c>
      <c r="B189" s="130">
        <f>resultado_bd[AP]</f>
        <v>2333</v>
      </c>
    </row>
    <row r="190">
      <c r="A190" s="123" t="str">
        <f>resultado_bd[Afiliados:]</f>
        <v>Silva,  Luciana</v>
      </c>
      <c r="B190" s="124">
        <f>resultado_bd[AP]</f>
        <v>1777</v>
      </c>
    </row>
    <row r="191">
      <c r="A191" s="129" t="str">
        <f>resultado_bd[Afiliados:]</f>
        <v>Villegas,  Oscar</v>
      </c>
      <c r="B191" s="130">
        <f>resultado_bd[AP]</f>
        <v>2043</v>
      </c>
    </row>
    <row r="192">
      <c r="A192" s="123" t="str">
        <f>resultado_bd[Afiliados:]</f>
        <v>encina, madelin milagros</v>
      </c>
      <c r="B192" s="124">
        <f>resultado_bd[AP]</f>
        <v>1583</v>
      </c>
    </row>
    <row r="193">
      <c r="A193" s="129" t="str">
        <f>resultado_bd[Afiliados:]</f>
        <v>lemos, ezequiel alberto</v>
      </c>
      <c r="B193" s="130">
        <f>resultado_bd[AP]</f>
        <v>1191</v>
      </c>
    </row>
    <row r="194">
      <c r="A194" s="123" t="str">
        <f>resultado_bd[Afiliados:]</f>
        <v>villalva, jonathan</v>
      </c>
      <c r="B194" s="124">
        <f>resultado_bd[AP]</f>
        <v>803</v>
      </c>
    </row>
    <row r="195">
      <c r="A195" s="129" t="str">
        <f>resultado_bd[Afiliados:]</f>
        <v>cruz, jonathan hernan</v>
      </c>
      <c r="B195" s="130">
        <f>resultado_bd[AP]</f>
        <v>109</v>
      </c>
    </row>
    <row r="196">
      <c r="A196" s="123" t="str">
        <f>resultado_bd[Afiliados:]</f>
        <v>pindilli, monica beatriz</v>
      </c>
      <c r="B196" s="124">
        <f>resultado_bd[AP]</f>
        <v>41</v>
      </c>
    </row>
    <row r="197">
      <c r="A197" s="129" t="str">
        <f>resultado_bd[Afiliados:]</f>
        <v>#VALUE!</v>
      </c>
      <c r="B197" s="130" t="str">
        <f>resultado_bd[AP]</f>
        <v>#VALUE!</v>
      </c>
    </row>
    <row r="198">
      <c r="A198" s="123" t="str">
        <f>resultado_bd[Afiliados:]</f>
        <v>#VALUE!</v>
      </c>
      <c r="B198" s="124" t="str">
        <f>resultado_bd[AP]</f>
        <v>#VALUE!</v>
      </c>
    </row>
    <row r="199">
      <c r="A199" s="129" t="str">
        <f>resultado_bd[Afiliados:]</f>
        <v>#VALUE!</v>
      </c>
      <c r="B199" s="130" t="str">
        <f>resultado_bd[AP]</f>
        <v>#VALUE!</v>
      </c>
    </row>
    <row r="200">
      <c r="A200" s="123" t="str">
        <f>resultado_bd[Afiliados:]</f>
        <v>#VALUE!</v>
      </c>
      <c r="B200" s="124" t="str">
        <f>resultado_bd[AP]</f>
        <v>#VALUE!</v>
      </c>
    </row>
    <row r="201">
      <c r="A201" s="129" t="str">
        <f>resultado_bd[Afiliados:]</f>
        <v>#VALUE!</v>
      </c>
      <c r="B201" s="130" t="str">
        <f>resultado_bd[AP]</f>
        <v>#VALUE!</v>
      </c>
    </row>
    <row r="202">
      <c r="A202" s="123" t="str">
        <f>resultado_bd[Afiliados:]</f>
        <v>#VALUE!</v>
      </c>
      <c r="B202" s="124" t="str">
        <f>resultado_bd[AP]</f>
        <v>#VALUE!</v>
      </c>
    </row>
    <row r="203">
      <c r="A203" s="129" t="str">
        <f>resultado_bd[Afiliados:]</f>
        <v>#VALUE!</v>
      </c>
      <c r="B203" s="130" t="str">
        <f>resultado_bd[AP]</f>
        <v>#VALUE!</v>
      </c>
    </row>
    <row r="204">
      <c r="A204" s="123" t="str">
        <f>resultado_bd[Afiliados:]</f>
        <v>#VALUE!</v>
      </c>
      <c r="B204" s="124" t="str">
        <f>resultado_bd[AP]</f>
        <v>#VALUE!</v>
      </c>
    </row>
    <row r="205">
      <c r="A205" s="129" t="str">
        <f>resultado_bd[Afiliados:]</f>
        <v>#VALUE!</v>
      </c>
      <c r="B205" s="130" t="str">
        <f>resultado_bd[AP]</f>
        <v>#VALUE!</v>
      </c>
    </row>
    <row r="206">
      <c r="A206" s="123" t="str">
        <f>resultado_bd[Afiliados:]</f>
        <v>#VALUE!</v>
      </c>
      <c r="B206" s="124" t="str">
        <f>resultado_bd[AP]</f>
        <v>#VALUE!</v>
      </c>
    </row>
    <row r="207">
      <c r="A207" s="129" t="str">
        <f>resultado_bd[Afiliados:]</f>
        <v>#VALUE!</v>
      </c>
      <c r="B207" s="130" t="str">
        <f>resultado_bd[AP]</f>
        <v>#VALUE!</v>
      </c>
    </row>
    <row r="208">
      <c r="A208" s="123" t="str">
        <f>resultado_bd[Afiliados:]</f>
        <v>#VALUE!</v>
      </c>
      <c r="B208" s="124" t="str">
        <f>resultado_bd[AP]</f>
        <v>#VALUE!</v>
      </c>
    </row>
    <row r="209">
      <c r="A209" s="129" t="str">
        <f>resultado_bd[Afiliados:]</f>
        <v>#VALUE!</v>
      </c>
      <c r="B209" s="130" t="str">
        <f>resultado_bd[AP]</f>
        <v>#VALUE!</v>
      </c>
    </row>
    <row r="210">
      <c r="A210" s="123" t="str">
        <f>resultado_bd[Afiliados:]</f>
        <v>#VALUE!</v>
      </c>
      <c r="B210" s="124" t="str">
        <f>resultado_bd[AP]</f>
        <v>#VALUE!</v>
      </c>
    </row>
    <row r="211">
      <c r="A211" s="129" t="str">
        <f>resultado_bd[Afiliados:]</f>
        <v>#VALUE!</v>
      </c>
      <c r="B211" s="130" t="str">
        <f>resultado_bd[AP]</f>
        <v>#VALUE!</v>
      </c>
    </row>
    <row r="212">
      <c r="A212" s="123" t="str">
        <f>resultado_bd[Afiliados:]</f>
        <v>#VALUE!</v>
      </c>
      <c r="B212" s="124" t="str">
        <f>resultado_bd[AP]</f>
        <v>#VALUE!</v>
      </c>
    </row>
    <row r="213">
      <c r="A213" s="129" t="str">
        <f>resultado_bd[Afiliados:]</f>
        <v>#VALUE!</v>
      </c>
      <c r="B213" s="130" t="str">
        <f>resultado_bd[AP]</f>
        <v>#VALUE!</v>
      </c>
    </row>
    <row r="214">
      <c r="A214" s="123" t="str">
        <f>resultado_bd[Afiliados:]</f>
        <v>#VALUE!</v>
      </c>
      <c r="B214" s="124" t="str">
        <f>resultado_bd[AP]</f>
        <v>#VALUE!</v>
      </c>
    </row>
    <row r="215">
      <c r="A215" s="129" t="str">
        <f>resultado_bd[Afiliados:]</f>
        <v>#VALUE!</v>
      </c>
      <c r="B215" s="130" t="str">
        <f>resultado_bd[AP]</f>
        <v>#VALUE!</v>
      </c>
    </row>
    <row r="216">
      <c r="A216" s="123" t="str">
        <f>resultado_bd[Afiliados:]</f>
        <v>#VALUE!</v>
      </c>
      <c r="B216" s="124" t="str">
        <f>resultado_bd[AP]</f>
        <v>#VALUE!</v>
      </c>
    </row>
    <row r="217">
      <c r="A217" s="129" t="str">
        <f>resultado_bd[Afiliados:]</f>
        <v>#VALUE!</v>
      </c>
      <c r="B217" s="130" t="str">
        <f>resultado_bd[AP]</f>
        <v>#VALUE!</v>
      </c>
    </row>
    <row r="218">
      <c r="A218" s="123" t="str">
        <f>resultado_bd[Afiliados:]</f>
        <v>#VALUE!</v>
      </c>
      <c r="B218" s="124" t="str">
        <f>resultado_bd[AP]</f>
        <v>#VALUE!</v>
      </c>
    </row>
    <row r="219">
      <c r="A219" s="129" t="str">
        <f>resultado_bd[Afiliados:]</f>
        <v>#VALUE!</v>
      </c>
      <c r="B219" s="130" t="str">
        <f>resultado_bd[AP]</f>
        <v>#VALUE!</v>
      </c>
    </row>
    <row r="220">
      <c r="A220" s="123" t="str">
        <f>resultado_bd[Afiliados:]</f>
        <v>#VALUE!</v>
      </c>
      <c r="B220" s="124" t="str">
        <f>resultado_bd[AP]</f>
        <v>#VALUE!</v>
      </c>
    </row>
    <row r="221">
      <c r="A221" s="129" t="str">
        <f>resultado_bd[Afiliados:]</f>
        <v>#VALUE!</v>
      </c>
      <c r="B221" s="130" t="str">
        <f>resultado_bd[AP]</f>
        <v>#VALUE!</v>
      </c>
    </row>
    <row r="222">
      <c r="A222" s="123" t="str">
        <f>resultado_bd[Afiliados:]</f>
        <v>#VALUE!</v>
      </c>
      <c r="B222" s="124" t="str">
        <f>resultado_bd[AP]</f>
        <v>#VALUE!</v>
      </c>
    </row>
    <row r="223">
      <c r="A223" s="129" t="str">
        <f>resultado_bd[Afiliados:]</f>
        <v>#VALUE!</v>
      </c>
      <c r="B223" s="130" t="str">
        <f>resultado_bd[AP]</f>
        <v>#VALUE!</v>
      </c>
    </row>
    <row r="224">
      <c r="A224" s="123" t="str">
        <f>resultado_bd[Afiliados:]</f>
        <v>#VALUE!</v>
      </c>
      <c r="B224" s="124" t="str">
        <f>resultado_bd[AP]</f>
        <v>#VALUE!</v>
      </c>
    </row>
    <row r="225">
      <c r="A225" s="129" t="str">
        <f>resultado_bd[Afiliados:]</f>
        <v>#VALUE!</v>
      </c>
      <c r="B225" s="130" t="str">
        <f>resultado_bd[AP]</f>
        <v>#VALUE!</v>
      </c>
    </row>
    <row r="226">
      <c r="A226" s="149" t="str">
        <f>resultado_bd[Afiliados:]</f>
        <v>#VALUE!</v>
      </c>
      <c r="B226" s="150" t="str">
        <f>resultado_bd[AP]</f>
        <v>#VALUE!</v>
      </c>
    </row>
  </sheetData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43"/>
    <col customWidth="1" min="3" max="3" width="33.86"/>
    <col customWidth="1" min="4" max="4" width="36.43"/>
  </cols>
  <sheetData>
    <row r="1">
      <c r="A1" s="151" t="s">
        <v>1154</v>
      </c>
      <c r="B1" s="152" t="s">
        <v>838</v>
      </c>
      <c r="C1" s="153" t="s">
        <v>1278</v>
      </c>
      <c r="D1" s="154" t="s">
        <v>1279</v>
      </c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</row>
    <row r="2" hidden="1">
      <c r="A2" s="155" t="s">
        <v>985</v>
      </c>
      <c r="B2" s="156">
        <v>2201.0</v>
      </c>
      <c r="C2" s="157" t="s">
        <v>1280</v>
      </c>
      <c r="D2" s="158" t="s">
        <v>985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hidden="1">
      <c r="A3" s="159" t="s">
        <v>1281</v>
      </c>
      <c r="B3" s="160">
        <v>2166.0</v>
      </c>
      <c r="C3" s="161" t="s">
        <v>1282</v>
      </c>
      <c r="D3" s="162" t="s">
        <v>979</v>
      </c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</row>
    <row r="4" hidden="1">
      <c r="A4" s="155" t="s">
        <v>1283</v>
      </c>
      <c r="B4" s="163">
        <v>2860.0</v>
      </c>
      <c r="C4" s="157" t="s">
        <v>1280</v>
      </c>
      <c r="D4" s="158" t="s">
        <v>1049</v>
      </c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</row>
    <row r="5" hidden="1">
      <c r="A5" s="159" t="s">
        <v>1284</v>
      </c>
      <c r="B5" s="164">
        <v>1572.0</v>
      </c>
      <c r="C5" s="161" t="s">
        <v>1259</v>
      </c>
      <c r="D5" s="165" t="s">
        <v>1285</v>
      </c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</row>
    <row r="6" hidden="1">
      <c r="A6" s="155" t="s">
        <v>1286</v>
      </c>
      <c r="B6" s="163">
        <v>2737.0</v>
      </c>
      <c r="C6" s="157" t="s">
        <v>1280</v>
      </c>
      <c r="D6" s="158" t="s">
        <v>1028</v>
      </c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</row>
    <row r="7" hidden="1">
      <c r="A7" s="159" t="s">
        <v>1030</v>
      </c>
      <c r="B7" s="160">
        <v>2738.0</v>
      </c>
      <c r="C7" s="157" t="s">
        <v>1280</v>
      </c>
      <c r="D7" s="162" t="s">
        <v>1030</v>
      </c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</row>
    <row r="8" hidden="1">
      <c r="A8" s="155" t="s">
        <v>1287</v>
      </c>
      <c r="B8" s="163">
        <v>3069.0</v>
      </c>
      <c r="C8" s="166" t="s">
        <v>1288</v>
      </c>
      <c r="D8" s="165" t="s">
        <v>1285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</row>
    <row r="9" hidden="1">
      <c r="A9" s="159" t="s">
        <v>1077</v>
      </c>
      <c r="B9" s="160">
        <v>3095.0</v>
      </c>
      <c r="C9" s="157" t="s">
        <v>1280</v>
      </c>
      <c r="D9" s="162" t="s">
        <v>1077</v>
      </c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</row>
    <row r="10" hidden="1">
      <c r="A10" s="155" t="s">
        <v>1289</v>
      </c>
      <c r="B10" s="163">
        <v>2914.0</v>
      </c>
      <c r="C10" s="157" t="s">
        <v>1280</v>
      </c>
      <c r="D10" s="158" t="s">
        <v>1059</v>
      </c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</row>
    <row r="11" hidden="1">
      <c r="A11" s="167" t="s">
        <v>1290</v>
      </c>
      <c r="B11" s="168">
        <v>275.0</v>
      </c>
      <c r="C11" s="161" t="s">
        <v>1291</v>
      </c>
      <c r="D11" s="162" t="s">
        <v>867</v>
      </c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</row>
    <row r="12" hidden="1">
      <c r="A12" s="169" t="s">
        <v>1292</v>
      </c>
      <c r="B12" s="170">
        <v>1677.0</v>
      </c>
      <c r="C12" s="166" t="s">
        <v>1293</v>
      </c>
      <c r="D12" s="165" t="s">
        <v>1285</v>
      </c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</row>
    <row r="13" hidden="1">
      <c r="A13" s="167" t="s">
        <v>1032</v>
      </c>
      <c r="B13" s="168">
        <v>2741.0</v>
      </c>
      <c r="C13" s="157" t="s">
        <v>1280</v>
      </c>
      <c r="D13" s="162" t="s">
        <v>1032</v>
      </c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</row>
    <row r="14" hidden="1">
      <c r="A14" s="169" t="s">
        <v>1294</v>
      </c>
      <c r="B14" s="170">
        <v>444.0</v>
      </c>
      <c r="C14" s="166" t="s">
        <v>1295</v>
      </c>
      <c r="D14" s="158" t="s">
        <v>872</v>
      </c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</row>
    <row r="15" hidden="1">
      <c r="A15" s="167" t="s">
        <v>961</v>
      </c>
      <c r="B15" s="168">
        <v>2005.0</v>
      </c>
      <c r="C15" s="157" t="s">
        <v>1280</v>
      </c>
      <c r="D15" s="162" t="s">
        <v>961</v>
      </c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</row>
    <row r="16" hidden="1">
      <c r="A16" s="169" t="s">
        <v>1296</v>
      </c>
      <c r="B16" s="170">
        <v>2920.0</v>
      </c>
      <c r="C16" s="166" t="s">
        <v>1296</v>
      </c>
      <c r="D16" s="165" t="s">
        <v>1285</v>
      </c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</row>
    <row r="17" hidden="1">
      <c r="A17" s="167" t="s">
        <v>1297</v>
      </c>
      <c r="B17" s="168">
        <v>1575.0</v>
      </c>
      <c r="C17" s="161" t="s">
        <v>1256</v>
      </c>
      <c r="D17" s="165" t="s">
        <v>1285</v>
      </c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</row>
    <row r="18" hidden="1">
      <c r="A18" s="169" t="s">
        <v>1298</v>
      </c>
      <c r="B18" s="170">
        <v>2924.0</v>
      </c>
      <c r="C18" s="166" t="s">
        <v>1298</v>
      </c>
      <c r="D18" s="158" t="s">
        <v>1062</v>
      </c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</row>
    <row r="19" hidden="1">
      <c r="A19" s="159" t="s">
        <v>1299</v>
      </c>
      <c r="B19" s="160">
        <v>2406.0</v>
      </c>
      <c r="C19" s="161" t="s">
        <v>1299</v>
      </c>
      <c r="D19" s="165" t="s">
        <v>1285</v>
      </c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</row>
    <row r="20" hidden="1">
      <c r="A20" s="155" t="s">
        <v>1300</v>
      </c>
      <c r="B20" s="163">
        <v>2746.0</v>
      </c>
      <c r="C20" s="166" t="s">
        <v>1300</v>
      </c>
      <c r="D20" s="158" t="s">
        <v>1036</v>
      </c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</row>
    <row r="21" hidden="1">
      <c r="A21" s="159" t="s">
        <v>1301</v>
      </c>
      <c r="B21" s="160">
        <v>3102.0</v>
      </c>
      <c r="C21" s="157" t="s">
        <v>1280</v>
      </c>
      <c r="D21" s="162" t="s">
        <v>1080</v>
      </c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</row>
    <row r="22" hidden="1">
      <c r="A22" s="155" t="s">
        <v>1051</v>
      </c>
      <c r="B22" s="163">
        <v>2882.0</v>
      </c>
      <c r="C22" s="157" t="s">
        <v>1280</v>
      </c>
      <c r="D22" s="158" t="s">
        <v>1051</v>
      </c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</row>
    <row r="23" hidden="1">
      <c r="A23" s="167" t="s">
        <v>1302</v>
      </c>
      <c r="B23" s="168">
        <v>1753.0</v>
      </c>
      <c r="C23" s="161" t="s">
        <v>1302</v>
      </c>
      <c r="D23" s="162" t="s">
        <v>935</v>
      </c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</row>
    <row r="24" hidden="1">
      <c r="A24" s="169" t="s">
        <v>1303</v>
      </c>
      <c r="B24" s="170">
        <v>1919.0</v>
      </c>
      <c r="C24" s="166" t="s">
        <v>1303</v>
      </c>
      <c r="D24" s="158" t="s">
        <v>946</v>
      </c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</row>
    <row r="25" hidden="1">
      <c r="A25" s="167" t="s">
        <v>1304</v>
      </c>
      <c r="B25" s="168">
        <v>2593.0</v>
      </c>
      <c r="C25" s="161" t="s">
        <v>1304</v>
      </c>
      <c r="D25" s="165" t="s">
        <v>1285</v>
      </c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</row>
    <row r="26" hidden="1">
      <c r="A26" s="155" t="s">
        <v>1305</v>
      </c>
      <c r="B26" s="163">
        <v>1444.0</v>
      </c>
      <c r="C26" s="166" t="s">
        <v>1306</v>
      </c>
      <c r="D26" s="165" t="s">
        <v>1285</v>
      </c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</row>
    <row r="27">
      <c r="A27" s="171" t="s">
        <v>1307</v>
      </c>
      <c r="B27" s="168">
        <v>2673.0</v>
      </c>
      <c r="C27" s="157" t="s">
        <v>1280</v>
      </c>
      <c r="D27" s="165" t="s">
        <v>1285</v>
      </c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</row>
    <row r="28" hidden="1">
      <c r="A28" s="155" t="s">
        <v>1308</v>
      </c>
      <c r="B28" s="163">
        <v>1112.0</v>
      </c>
      <c r="C28" s="166" t="s">
        <v>1309</v>
      </c>
      <c r="D28" s="165" t="s">
        <v>1285</v>
      </c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</row>
    <row r="29" hidden="1">
      <c r="A29" s="159" t="s">
        <v>1310</v>
      </c>
      <c r="B29" s="160">
        <v>930.0</v>
      </c>
      <c r="C29" s="157" t="s">
        <v>1280</v>
      </c>
      <c r="D29" s="165" t="s">
        <v>1285</v>
      </c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</row>
    <row r="30" hidden="1">
      <c r="A30" s="169" t="s">
        <v>1311</v>
      </c>
      <c r="B30" s="170">
        <v>3114.0</v>
      </c>
      <c r="C30" s="157" t="s">
        <v>1280</v>
      </c>
      <c r="D30" s="158" t="s">
        <v>1082</v>
      </c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</row>
    <row r="31" hidden="1">
      <c r="A31" s="159" t="s">
        <v>1312</v>
      </c>
      <c r="B31" s="160">
        <v>2251.0</v>
      </c>
      <c r="C31" s="157" t="s">
        <v>1280</v>
      </c>
      <c r="D31" s="165" t="s">
        <v>1285</v>
      </c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</row>
    <row r="32" hidden="1">
      <c r="A32" s="155" t="s">
        <v>1313</v>
      </c>
      <c r="B32" s="163">
        <v>1923.0</v>
      </c>
      <c r="C32" s="166" t="s">
        <v>1314</v>
      </c>
      <c r="D32" s="165" t="s">
        <v>1285</v>
      </c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</row>
    <row r="33" hidden="1">
      <c r="A33" s="167" t="s">
        <v>1315</v>
      </c>
      <c r="B33" s="168">
        <v>2891.0</v>
      </c>
      <c r="C33" s="161" t="s">
        <v>1315</v>
      </c>
      <c r="D33" s="165" t="s">
        <v>1285</v>
      </c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</row>
    <row r="34" hidden="1">
      <c r="A34" s="169" t="s">
        <v>1316</v>
      </c>
      <c r="B34" s="170">
        <v>2954.0</v>
      </c>
      <c r="C34" s="166" t="s">
        <v>1316</v>
      </c>
      <c r="D34" s="165" t="s">
        <v>1285</v>
      </c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</row>
    <row r="35" hidden="1">
      <c r="A35" s="167" t="s">
        <v>1317</v>
      </c>
      <c r="B35" s="168">
        <v>2883.0</v>
      </c>
      <c r="C35" s="161" t="s">
        <v>1318</v>
      </c>
      <c r="D35" s="162" t="s">
        <v>1054</v>
      </c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</row>
    <row r="36" hidden="1">
      <c r="A36" s="169" t="s">
        <v>881</v>
      </c>
      <c r="B36" s="170">
        <v>740.0</v>
      </c>
      <c r="C36" s="157" t="s">
        <v>1280</v>
      </c>
      <c r="D36" s="158" t="s">
        <v>881</v>
      </c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</row>
    <row r="37" hidden="1">
      <c r="A37" s="167" t="s">
        <v>1084</v>
      </c>
      <c r="B37" s="168">
        <v>3131.0</v>
      </c>
      <c r="C37" s="157" t="s">
        <v>1280</v>
      </c>
      <c r="D37" s="162" t="s">
        <v>1084</v>
      </c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</row>
    <row r="38" hidden="1">
      <c r="A38" s="169" t="s">
        <v>1319</v>
      </c>
      <c r="B38" s="170">
        <v>1640.0</v>
      </c>
      <c r="C38" s="166" t="s">
        <v>1320</v>
      </c>
      <c r="D38" s="165" t="s">
        <v>1285</v>
      </c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</row>
    <row r="39" hidden="1">
      <c r="A39" s="167" t="s">
        <v>1321</v>
      </c>
      <c r="B39" s="168">
        <v>1579.0</v>
      </c>
      <c r="C39" s="161" t="s">
        <v>1260</v>
      </c>
      <c r="D39" s="165" t="s">
        <v>1285</v>
      </c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</row>
    <row r="40" hidden="1">
      <c r="A40" s="169" t="s">
        <v>1322</v>
      </c>
      <c r="B40" s="170">
        <v>2014.0</v>
      </c>
      <c r="C40" s="166" t="s">
        <v>1323</v>
      </c>
      <c r="D40" s="165" t="s">
        <v>1285</v>
      </c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</row>
    <row r="41" hidden="1">
      <c r="A41" s="167" t="s">
        <v>1324</v>
      </c>
      <c r="B41" s="168">
        <v>1116.0</v>
      </c>
      <c r="C41" s="161" t="s">
        <v>1325</v>
      </c>
      <c r="D41" s="165" t="s">
        <v>1285</v>
      </c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</row>
    <row r="42" hidden="1">
      <c r="A42" s="169" t="s">
        <v>1326</v>
      </c>
      <c r="B42" s="170">
        <v>2447.0</v>
      </c>
      <c r="C42" s="166" t="s">
        <v>1327</v>
      </c>
      <c r="D42" s="165" t="s">
        <v>1285</v>
      </c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</row>
    <row r="43" hidden="1">
      <c r="A43" s="167" t="s">
        <v>1328</v>
      </c>
      <c r="B43" s="168">
        <v>2449.0</v>
      </c>
      <c r="C43" s="161" t="s">
        <v>1329</v>
      </c>
      <c r="D43" s="165" t="s">
        <v>1285</v>
      </c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</row>
    <row r="44" hidden="1">
      <c r="A44" s="169" t="s">
        <v>1330</v>
      </c>
      <c r="B44" s="170">
        <v>2450.0</v>
      </c>
      <c r="C44" s="166" t="s">
        <v>1331</v>
      </c>
      <c r="D44" s="165" t="s">
        <v>1285</v>
      </c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</row>
    <row r="45" hidden="1">
      <c r="A45" s="167" t="s">
        <v>1332</v>
      </c>
      <c r="B45" s="168">
        <v>1931.0</v>
      </c>
      <c r="C45" s="161" t="s">
        <v>1333</v>
      </c>
      <c r="D45" s="162" t="s">
        <v>948</v>
      </c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</row>
    <row r="46" hidden="1">
      <c r="A46" s="155" t="s">
        <v>1334</v>
      </c>
      <c r="B46" s="163">
        <v>2177.0</v>
      </c>
      <c r="C46" s="166" t="s">
        <v>1334</v>
      </c>
      <c r="D46" s="158" t="s">
        <v>981</v>
      </c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</row>
    <row r="47" hidden="1">
      <c r="A47" s="167" t="s">
        <v>1335</v>
      </c>
      <c r="B47" s="168">
        <v>2458.0</v>
      </c>
      <c r="C47" s="161" t="s">
        <v>1335</v>
      </c>
      <c r="D47" s="165" t="s">
        <v>1285</v>
      </c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</row>
    <row r="48" hidden="1">
      <c r="A48" s="169" t="s">
        <v>1336</v>
      </c>
      <c r="B48" s="170">
        <v>2457.0</v>
      </c>
      <c r="C48" s="166" t="s">
        <v>1336</v>
      </c>
      <c r="D48" s="158" t="s">
        <v>1007</v>
      </c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</row>
    <row r="49" hidden="1">
      <c r="A49" s="167" t="s">
        <v>1337</v>
      </c>
      <c r="B49" s="168">
        <v>754.0</v>
      </c>
      <c r="C49" s="161" t="s">
        <v>1338</v>
      </c>
      <c r="D49" s="162" t="s">
        <v>883</v>
      </c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</row>
    <row r="50" hidden="1">
      <c r="A50" s="169" t="s">
        <v>1339</v>
      </c>
      <c r="B50" s="170">
        <v>2776.0</v>
      </c>
      <c r="C50" s="166" t="s">
        <v>1340</v>
      </c>
      <c r="D50" s="158" t="s">
        <v>1040</v>
      </c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</row>
    <row r="51" hidden="1">
      <c r="A51" s="159" t="s">
        <v>1341</v>
      </c>
      <c r="B51" s="160">
        <v>2777.0</v>
      </c>
      <c r="C51" s="161" t="s">
        <v>1342</v>
      </c>
      <c r="D51" s="165" t="s">
        <v>1285</v>
      </c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</row>
    <row r="52" hidden="1">
      <c r="A52" s="155" t="s">
        <v>1343</v>
      </c>
      <c r="B52" s="163">
        <v>1644.0</v>
      </c>
      <c r="C52" s="166" t="s">
        <v>1344</v>
      </c>
      <c r="D52" s="158" t="s">
        <v>918</v>
      </c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</row>
    <row r="53">
      <c r="A53" s="172" t="s">
        <v>1345</v>
      </c>
      <c r="B53" s="160">
        <v>877.0</v>
      </c>
      <c r="C53" s="157" t="s">
        <v>1280</v>
      </c>
      <c r="D53" s="165" t="s">
        <v>1285</v>
      </c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</row>
    <row r="54" hidden="1">
      <c r="A54" s="155" t="s">
        <v>1346</v>
      </c>
      <c r="B54" s="163">
        <v>560.0</v>
      </c>
      <c r="C54" s="166" t="s">
        <v>1347</v>
      </c>
      <c r="D54" s="165" t="s">
        <v>1285</v>
      </c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</row>
    <row r="55" hidden="1">
      <c r="A55" s="159" t="s">
        <v>1348</v>
      </c>
      <c r="B55" s="160">
        <v>1645.0</v>
      </c>
      <c r="C55" s="161" t="s">
        <v>1349</v>
      </c>
      <c r="D55" s="162" t="s">
        <v>920</v>
      </c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</row>
    <row r="56" hidden="1">
      <c r="A56" s="155" t="s">
        <v>1350</v>
      </c>
      <c r="B56" s="163">
        <v>2463.0</v>
      </c>
      <c r="C56" s="166" t="s">
        <v>1351</v>
      </c>
      <c r="D56" s="165" t="s">
        <v>1285</v>
      </c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</row>
    <row r="57" hidden="1">
      <c r="A57" s="167" t="s">
        <v>1352</v>
      </c>
      <c r="B57" s="168">
        <v>3150.0</v>
      </c>
      <c r="C57" s="161" t="s">
        <v>1353</v>
      </c>
      <c r="D57" s="165" t="s">
        <v>1285</v>
      </c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</row>
    <row r="58" hidden="1">
      <c r="A58" s="169" t="s">
        <v>1354</v>
      </c>
      <c r="B58" s="170">
        <v>1984.0</v>
      </c>
      <c r="C58" s="166" t="s">
        <v>1355</v>
      </c>
      <c r="D58" s="165" t="s">
        <v>1285</v>
      </c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</row>
    <row r="59" hidden="1">
      <c r="A59" s="167" t="s">
        <v>1356</v>
      </c>
      <c r="B59" s="168">
        <v>2275.0</v>
      </c>
      <c r="C59" s="161" t="s">
        <v>1357</v>
      </c>
      <c r="D59" s="162" t="s">
        <v>987</v>
      </c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</row>
    <row r="60" hidden="1">
      <c r="A60" s="169" t="s">
        <v>1358</v>
      </c>
      <c r="B60" s="170">
        <v>2785.0</v>
      </c>
      <c r="C60" s="166" t="s">
        <v>1359</v>
      </c>
      <c r="D60" s="158" t="s">
        <v>1042</v>
      </c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</row>
    <row r="61" hidden="1">
      <c r="A61" s="167" t="s">
        <v>1045</v>
      </c>
      <c r="B61" s="168">
        <v>2786.0</v>
      </c>
      <c r="C61" s="157" t="s">
        <v>1280</v>
      </c>
      <c r="D61" s="162" t="s">
        <v>1045</v>
      </c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</row>
    <row r="62" hidden="1">
      <c r="A62" s="169" t="s">
        <v>1360</v>
      </c>
      <c r="B62" s="170">
        <v>2636.0</v>
      </c>
      <c r="C62" s="166" t="s">
        <v>1361</v>
      </c>
      <c r="D62" s="165" t="s">
        <v>1285</v>
      </c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</row>
    <row r="63" hidden="1">
      <c r="A63" s="167" t="s">
        <v>1362</v>
      </c>
      <c r="B63" s="168">
        <v>766.0</v>
      </c>
      <c r="C63" s="161" t="s">
        <v>1363</v>
      </c>
      <c r="D63" s="165" t="s">
        <v>1285</v>
      </c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</row>
    <row r="64" hidden="1">
      <c r="A64" s="169" t="s">
        <v>1364</v>
      </c>
      <c r="B64" s="170">
        <v>2977.0</v>
      </c>
      <c r="C64" s="157" t="s">
        <v>1280</v>
      </c>
      <c r="D64" s="158" t="s">
        <v>1066</v>
      </c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</row>
    <row r="65" hidden="1">
      <c r="A65" s="167" t="s">
        <v>1365</v>
      </c>
      <c r="B65" s="168">
        <v>2473.0</v>
      </c>
      <c r="C65" s="161" t="s">
        <v>1366</v>
      </c>
      <c r="D65" s="165" t="s">
        <v>1285</v>
      </c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</row>
    <row r="66" hidden="1">
      <c r="A66" s="169" t="s">
        <v>1367</v>
      </c>
      <c r="B66" s="170">
        <v>769.0</v>
      </c>
      <c r="C66" s="166" t="s">
        <v>1368</v>
      </c>
      <c r="D66" s="158" t="s">
        <v>887</v>
      </c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</row>
    <row r="67" hidden="1">
      <c r="A67" s="167" t="s">
        <v>1369</v>
      </c>
      <c r="B67" s="168">
        <v>494.0</v>
      </c>
      <c r="C67" s="161" t="s">
        <v>1370</v>
      </c>
      <c r="D67" s="165" t="s">
        <v>1285</v>
      </c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</row>
    <row r="68" hidden="1">
      <c r="A68" s="155" t="s">
        <v>1371</v>
      </c>
      <c r="B68" s="163">
        <v>2795.0</v>
      </c>
      <c r="C68" s="166" t="s">
        <v>1371</v>
      </c>
      <c r="D68" s="165" t="s">
        <v>1285</v>
      </c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</row>
    <row r="69" hidden="1">
      <c r="A69" s="159" t="s">
        <v>1372</v>
      </c>
      <c r="B69" s="160">
        <v>2793.0</v>
      </c>
      <c r="C69" s="161" t="s">
        <v>1373</v>
      </c>
      <c r="D69" s="165" t="s">
        <v>1285</v>
      </c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</row>
    <row r="70" hidden="1">
      <c r="A70" s="169" t="s">
        <v>1374</v>
      </c>
      <c r="B70" s="170">
        <v>2184.0</v>
      </c>
      <c r="C70" s="166" t="s">
        <v>1375</v>
      </c>
      <c r="D70" s="165" t="s">
        <v>1285</v>
      </c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</row>
    <row r="71" hidden="1">
      <c r="A71" s="159" t="s">
        <v>1376</v>
      </c>
      <c r="B71" s="160">
        <v>1850.0</v>
      </c>
      <c r="C71" s="161" t="s">
        <v>1377</v>
      </c>
      <c r="D71" s="165" t="s">
        <v>1285</v>
      </c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</row>
    <row r="72" hidden="1">
      <c r="A72" s="169" t="s">
        <v>1378</v>
      </c>
      <c r="B72" s="170">
        <v>909.0</v>
      </c>
      <c r="C72" s="166" t="s">
        <v>1379</v>
      </c>
      <c r="D72" s="158" t="s">
        <v>891</v>
      </c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</row>
    <row r="73" hidden="1">
      <c r="A73" s="159" t="s">
        <v>1380</v>
      </c>
      <c r="B73" s="160">
        <v>576.0</v>
      </c>
      <c r="C73" s="161" t="s">
        <v>1381</v>
      </c>
      <c r="D73" s="162" t="s">
        <v>1110</v>
      </c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</row>
    <row r="74" hidden="1">
      <c r="A74" s="155" t="s">
        <v>1382</v>
      </c>
      <c r="B74" s="163">
        <v>2479.0</v>
      </c>
      <c r="C74" s="166" t="s">
        <v>1383</v>
      </c>
      <c r="D74" s="158" t="s">
        <v>1011</v>
      </c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</row>
    <row r="75" hidden="1">
      <c r="A75" s="159" t="s">
        <v>1384</v>
      </c>
      <c r="B75" s="160">
        <v>1410.0</v>
      </c>
      <c r="C75" s="161" t="s">
        <v>1385</v>
      </c>
      <c r="D75" s="165" t="s">
        <v>1285</v>
      </c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</row>
    <row r="76" hidden="1">
      <c r="A76" s="155" t="s">
        <v>930</v>
      </c>
      <c r="B76" s="163">
        <v>1683.0</v>
      </c>
      <c r="C76" s="157" t="s">
        <v>1280</v>
      </c>
      <c r="D76" s="158" t="s">
        <v>930</v>
      </c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</row>
    <row r="77" hidden="1">
      <c r="A77" s="167" t="s">
        <v>1386</v>
      </c>
      <c r="B77" s="168">
        <v>1326.0</v>
      </c>
      <c r="C77" s="161" t="s">
        <v>1387</v>
      </c>
      <c r="D77" s="165" t="s">
        <v>1285</v>
      </c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</row>
    <row r="78" hidden="1">
      <c r="A78" s="169" t="s">
        <v>1388</v>
      </c>
      <c r="B78" s="170">
        <v>2289.0</v>
      </c>
      <c r="C78" s="166" t="s">
        <v>1389</v>
      </c>
      <c r="D78" s="165" t="s">
        <v>1285</v>
      </c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</row>
    <row r="79" hidden="1">
      <c r="A79" s="159" t="s">
        <v>1104</v>
      </c>
      <c r="B79" s="160">
        <v>2753.0</v>
      </c>
      <c r="C79" s="157" t="s">
        <v>1280</v>
      </c>
      <c r="D79" s="162" t="s">
        <v>1104</v>
      </c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</row>
    <row r="80" hidden="1">
      <c r="A80" s="169" t="s">
        <v>1390</v>
      </c>
      <c r="B80" s="170">
        <v>1969.0</v>
      </c>
      <c r="C80" s="166" t="s">
        <v>1391</v>
      </c>
      <c r="D80" s="165" t="s">
        <v>1285</v>
      </c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</row>
    <row r="81" hidden="1">
      <c r="A81" s="159" t="s">
        <v>1392</v>
      </c>
      <c r="B81" s="160">
        <v>925.0</v>
      </c>
      <c r="C81" s="161" t="s">
        <v>1263</v>
      </c>
      <c r="D81" s="165" t="s">
        <v>1285</v>
      </c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</row>
    <row r="82" hidden="1">
      <c r="A82" s="155" t="s">
        <v>1393</v>
      </c>
      <c r="B82" s="163">
        <v>1536.0</v>
      </c>
      <c r="C82" s="166" t="s">
        <v>1264</v>
      </c>
      <c r="D82" s="158" t="s">
        <v>911</v>
      </c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</row>
    <row r="83" hidden="1">
      <c r="A83" s="159" t="s">
        <v>1017</v>
      </c>
      <c r="B83" s="160">
        <v>2488.0</v>
      </c>
      <c r="C83" s="157" t="s">
        <v>1280</v>
      </c>
      <c r="D83" s="162" t="s">
        <v>1017</v>
      </c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</row>
    <row r="84">
      <c r="A84" s="171" t="s">
        <v>1394</v>
      </c>
      <c r="B84" s="163">
        <v>1784.0</v>
      </c>
      <c r="C84" s="157" t="s">
        <v>1280</v>
      </c>
      <c r="D84" s="165" t="s">
        <v>1285</v>
      </c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</row>
    <row r="85" hidden="1">
      <c r="A85" s="159" t="s">
        <v>1395</v>
      </c>
      <c r="B85" s="160">
        <v>1873.0</v>
      </c>
      <c r="C85" s="161" t="s">
        <v>1396</v>
      </c>
      <c r="D85" s="162" t="s">
        <v>943</v>
      </c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</row>
    <row r="86" hidden="1">
      <c r="A86" s="155" t="s">
        <v>1397</v>
      </c>
      <c r="B86" s="163">
        <v>1989.0</v>
      </c>
      <c r="C86" s="166" t="s">
        <v>1398</v>
      </c>
      <c r="D86" s="158" t="s">
        <v>958</v>
      </c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</row>
    <row r="87" hidden="1">
      <c r="A87" s="159" t="s">
        <v>1399</v>
      </c>
      <c r="B87" s="160">
        <v>2213.0</v>
      </c>
      <c r="C87" s="157" t="s">
        <v>1280</v>
      </c>
      <c r="D87" s="165" t="s">
        <v>1285</v>
      </c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</row>
    <row r="88" hidden="1">
      <c r="A88" s="155" t="s">
        <v>1100</v>
      </c>
      <c r="B88" s="163">
        <v>932.0</v>
      </c>
      <c r="C88" s="157" t="s">
        <v>1280</v>
      </c>
      <c r="D88" s="165" t="s">
        <v>1285</v>
      </c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</row>
    <row r="89" hidden="1">
      <c r="A89" s="159" t="s">
        <v>1069</v>
      </c>
      <c r="B89" s="160">
        <v>3008.0</v>
      </c>
      <c r="C89" s="157" t="s">
        <v>1280</v>
      </c>
      <c r="D89" s="162" t="s">
        <v>1069</v>
      </c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</row>
    <row r="90" hidden="1">
      <c r="A90" s="169" t="s">
        <v>1400</v>
      </c>
      <c r="B90" s="170">
        <v>1591.0</v>
      </c>
      <c r="C90" s="166" t="s">
        <v>1401</v>
      </c>
      <c r="D90" s="165" t="s">
        <v>1285</v>
      </c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</row>
    <row r="91" hidden="1">
      <c r="A91" s="167" t="s">
        <v>1402</v>
      </c>
      <c r="B91" s="168">
        <v>1657.0</v>
      </c>
      <c r="C91" s="161" t="s">
        <v>1265</v>
      </c>
      <c r="D91" s="162" t="s">
        <v>922</v>
      </c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</row>
    <row r="92" hidden="1">
      <c r="A92" s="155" t="s">
        <v>1403</v>
      </c>
      <c r="B92" s="163">
        <v>941.0</v>
      </c>
      <c r="C92" s="166" t="s">
        <v>1404</v>
      </c>
      <c r="D92" s="158" t="s">
        <v>1102</v>
      </c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</row>
    <row r="93" hidden="1">
      <c r="A93" s="159" t="s">
        <v>1023</v>
      </c>
      <c r="B93" s="160">
        <v>2660.0</v>
      </c>
      <c r="C93" s="157" t="s">
        <v>1280</v>
      </c>
      <c r="D93" s="162" t="s">
        <v>1023</v>
      </c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</row>
    <row r="94" hidden="1">
      <c r="A94" s="155" t="s">
        <v>1405</v>
      </c>
      <c r="B94" s="173">
        <v>2499.0</v>
      </c>
      <c r="C94" s="166" t="s">
        <v>1406</v>
      </c>
      <c r="D94" s="165" t="s">
        <v>1285</v>
      </c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</row>
    <row r="95" hidden="1">
      <c r="A95" s="159" t="s">
        <v>1407</v>
      </c>
      <c r="B95" s="164">
        <v>3185.0</v>
      </c>
      <c r="C95" s="161" t="s">
        <v>1408</v>
      </c>
      <c r="D95" s="162" t="s">
        <v>1087</v>
      </c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</row>
    <row r="96" hidden="1">
      <c r="A96" s="155" t="s">
        <v>1409</v>
      </c>
      <c r="B96" s="173">
        <v>2500.0</v>
      </c>
      <c r="C96" s="166" t="s">
        <v>1410</v>
      </c>
      <c r="D96" s="158" t="s">
        <v>1019</v>
      </c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</row>
    <row r="97" hidden="1">
      <c r="A97" s="159" t="s">
        <v>1411</v>
      </c>
      <c r="B97" s="164">
        <v>1944.0</v>
      </c>
      <c r="C97" s="161" t="s">
        <v>1412</v>
      </c>
      <c r="D97" s="165" t="s">
        <v>1285</v>
      </c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</row>
    <row r="98" hidden="1">
      <c r="A98" s="155" t="s">
        <v>1413</v>
      </c>
      <c r="B98" s="173">
        <v>3018.0</v>
      </c>
      <c r="C98" s="166" t="s">
        <v>1414</v>
      </c>
      <c r="D98" s="158" t="s">
        <v>1073</v>
      </c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</row>
    <row r="99" hidden="1">
      <c r="A99" s="159" t="s">
        <v>1415</v>
      </c>
      <c r="B99" s="164">
        <v>2136.0</v>
      </c>
      <c r="C99" s="157" t="s">
        <v>1280</v>
      </c>
      <c r="D99" s="162" t="s">
        <v>972</v>
      </c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</row>
    <row r="100" hidden="1">
      <c r="A100" s="169" t="s">
        <v>1416</v>
      </c>
      <c r="B100" s="173">
        <v>376.0</v>
      </c>
      <c r="C100" s="166" t="s">
        <v>1417</v>
      </c>
      <c r="D100" s="165" t="s">
        <v>1285</v>
      </c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</row>
    <row r="101" hidden="1">
      <c r="A101" s="167" t="s">
        <v>938</v>
      </c>
      <c r="B101" s="168">
        <v>1768.0</v>
      </c>
      <c r="C101" s="157" t="s">
        <v>1280</v>
      </c>
      <c r="D101" s="162" t="s">
        <v>938</v>
      </c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</row>
    <row r="102" hidden="1">
      <c r="A102" s="169" t="s">
        <v>1418</v>
      </c>
      <c r="B102" s="170">
        <v>3192.0</v>
      </c>
      <c r="C102" s="157" t="s">
        <v>1280</v>
      </c>
      <c r="D102" s="158" t="s">
        <v>1091</v>
      </c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</row>
    <row r="103" hidden="1">
      <c r="A103" s="167" t="s">
        <v>1419</v>
      </c>
      <c r="B103" s="168">
        <v>1978.0</v>
      </c>
      <c r="C103" s="161" t="s">
        <v>1420</v>
      </c>
      <c r="D103" s="162" t="s">
        <v>955</v>
      </c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</row>
    <row r="104" hidden="1">
      <c r="A104" s="169" t="s">
        <v>1421</v>
      </c>
      <c r="B104" s="170">
        <v>2323.0</v>
      </c>
      <c r="C104" s="166" t="s">
        <v>1422</v>
      </c>
      <c r="D104" s="158" t="s">
        <v>990</v>
      </c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</row>
    <row r="105" hidden="1">
      <c r="A105" s="167" t="s">
        <v>975</v>
      </c>
      <c r="B105" s="168">
        <v>2137.0</v>
      </c>
      <c r="C105" s="157" t="s">
        <v>1280</v>
      </c>
      <c r="D105" s="162" t="s">
        <v>975</v>
      </c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</row>
    <row r="106" hidden="1">
      <c r="A106" s="155" t="s">
        <v>1423</v>
      </c>
      <c r="B106" s="163">
        <v>2324.0</v>
      </c>
      <c r="C106" s="166" t="s">
        <v>1424</v>
      </c>
      <c r="D106" s="165" t="s">
        <v>1285</v>
      </c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</row>
    <row r="107" hidden="1">
      <c r="A107" s="159" t="s">
        <v>1425</v>
      </c>
      <c r="B107" s="160">
        <v>527.0</v>
      </c>
      <c r="C107" s="161" t="s">
        <v>1426</v>
      </c>
      <c r="D107" s="165" t="s">
        <v>1285</v>
      </c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</row>
    <row r="108">
      <c r="A108" s="171" t="s">
        <v>1427</v>
      </c>
      <c r="B108" s="163">
        <v>1949.0</v>
      </c>
      <c r="C108" s="157" t="s">
        <v>1280</v>
      </c>
      <c r="D108" s="165" t="s">
        <v>1285</v>
      </c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</row>
    <row r="109" hidden="1">
      <c r="A109" s="159" t="s">
        <v>1428</v>
      </c>
      <c r="B109" s="160">
        <v>1739.0</v>
      </c>
      <c r="C109" s="161" t="s">
        <v>1429</v>
      </c>
      <c r="D109" s="165" t="s">
        <v>1285</v>
      </c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</row>
    <row r="110" hidden="1">
      <c r="A110" s="155" t="s">
        <v>1430</v>
      </c>
      <c r="B110" s="163">
        <v>3199.0</v>
      </c>
      <c r="C110" s="166" t="s">
        <v>1431</v>
      </c>
      <c r="D110" s="158" t="s">
        <v>1093</v>
      </c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</row>
    <row r="111" hidden="1">
      <c r="A111" s="159" t="s">
        <v>1432</v>
      </c>
      <c r="B111" s="160">
        <v>1543.0</v>
      </c>
      <c r="C111" s="161" t="s">
        <v>1433</v>
      </c>
      <c r="D111" s="165" t="s">
        <v>1285</v>
      </c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</row>
    <row r="112" hidden="1">
      <c r="A112" s="169" t="s">
        <v>1434</v>
      </c>
      <c r="B112" s="170">
        <v>1124.0</v>
      </c>
      <c r="C112" s="166" t="s">
        <v>1435</v>
      </c>
      <c r="D112" s="165" t="s">
        <v>1285</v>
      </c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</row>
    <row r="113" hidden="1">
      <c r="A113" s="167" t="s">
        <v>1436</v>
      </c>
      <c r="B113" s="168">
        <v>2830.0</v>
      </c>
      <c r="C113" s="161" t="s">
        <v>1437</v>
      </c>
      <c r="D113" s="165" t="s">
        <v>1285</v>
      </c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</row>
    <row r="114" hidden="1">
      <c r="A114" s="169" t="s">
        <v>1438</v>
      </c>
      <c r="B114" s="170">
        <v>2333.0</v>
      </c>
      <c r="C114" s="166" t="s">
        <v>1438</v>
      </c>
      <c r="D114" s="158" t="s">
        <v>993</v>
      </c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</row>
    <row r="115">
      <c r="A115" s="171" t="s">
        <v>1439</v>
      </c>
      <c r="B115" s="168">
        <v>2334.0</v>
      </c>
      <c r="C115" s="157" t="s">
        <v>1280</v>
      </c>
      <c r="D115" s="165" t="s">
        <v>1285</v>
      </c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</row>
    <row r="116" hidden="1">
      <c r="A116" s="169" t="s">
        <v>1440</v>
      </c>
      <c r="B116" s="170">
        <v>1862.0</v>
      </c>
      <c r="C116" s="166" t="s">
        <v>1441</v>
      </c>
      <c r="D116" s="165" t="s">
        <v>1285</v>
      </c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</row>
    <row r="117" hidden="1">
      <c r="A117" s="159" t="s">
        <v>1442</v>
      </c>
      <c r="B117" s="160">
        <v>1953.0</v>
      </c>
      <c r="C117" s="161" t="s">
        <v>1443</v>
      </c>
      <c r="D117" s="162" t="s">
        <v>950</v>
      </c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</row>
    <row r="118" hidden="1">
      <c r="A118" s="155" t="s">
        <v>1444</v>
      </c>
      <c r="B118" s="163">
        <v>996.0</v>
      </c>
      <c r="C118" s="166" t="s">
        <v>1267</v>
      </c>
      <c r="D118" s="158" t="s">
        <v>896</v>
      </c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</row>
    <row r="119" hidden="1">
      <c r="A119" s="159" t="s">
        <v>1445</v>
      </c>
      <c r="B119" s="160">
        <v>2680.0</v>
      </c>
      <c r="C119" s="161" t="s">
        <v>1446</v>
      </c>
      <c r="D119" s="165" t="s">
        <v>1285</v>
      </c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</row>
    <row r="120" hidden="1">
      <c r="A120" s="155" t="s">
        <v>1447</v>
      </c>
      <c r="B120" s="163">
        <v>1597.0</v>
      </c>
      <c r="C120" s="157" t="s">
        <v>1280</v>
      </c>
      <c r="D120" s="158" t="s">
        <v>915</v>
      </c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</row>
    <row r="121" hidden="1">
      <c r="A121" s="167" t="s">
        <v>1448</v>
      </c>
      <c r="B121" s="168">
        <v>1970.0</v>
      </c>
      <c r="C121" s="161" t="s">
        <v>1449</v>
      </c>
      <c r="D121" s="162" t="s">
        <v>953</v>
      </c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</row>
    <row r="122" hidden="1">
      <c r="A122" s="169" t="s">
        <v>1450</v>
      </c>
      <c r="B122" s="170">
        <v>2340.0</v>
      </c>
      <c r="C122" s="166" t="s">
        <v>1451</v>
      </c>
      <c r="D122" s="158" t="s">
        <v>996</v>
      </c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</row>
    <row r="123" hidden="1">
      <c r="A123" s="167" t="s">
        <v>1452</v>
      </c>
      <c r="B123" s="168">
        <v>3033.0</v>
      </c>
      <c r="C123" s="161" t="s">
        <v>1453</v>
      </c>
      <c r="D123" s="165" t="s">
        <v>1285</v>
      </c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</row>
    <row r="124" hidden="1">
      <c r="A124" s="169" t="s">
        <v>1454</v>
      </c>
      <c r="B124" s="170">
        <v>1004.0</v>
      </c>
      <c r="C124" s="166" t="s">
        <v>1455</v>
      </c>
      <c r="D124" s="165" t="s">
        <v>1285</v>
      </c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</row>
    <row r="125" hidden="1">
      <c r="A125" s="167" t="s">
        <v>1456</v>
      </c>
      <c r="B125" s="168">
        <v>180.0</v>
      </c>
      <c r="C125" s="161" t="s">
        <v>1268</v>
      </c>
      <c r="D125" s="162" t="s">
        <v>863</v>
      </c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</row>
    <row r="126" hidden="1">
      <c r="A126" s="169" t="s">
        <v>1457</v>
      </c>
      <c r="B126" s="170">
        <v>1917.0</v>
      </c>
      <c r="C126" s="166" t="s">
        <v>1458</v>
      </c>
      <c r="D126" s="165" t="s">
        <v>1285</v>
      </c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</row>
    <row r="127" hidden="1">
      <c r="A127" s="159" t="s">
        <v>1075</v>
      </c>
      <c r="B127" s="160">
        <v>3037.0</v>
      </c>
      <c r="C127" s="157" t="s">
        <v>1280</v>
      </c>
      <c r="D127" s="162" t="s">
        <v>1075</v>
      </c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</row>
    <row r="128" hidden="1">
      <c r="A128" s="155" t="s">
        <v>1026</v>
      </c>
      <c r="B128" s="163">
        <v>2698.0</v>
      </c>
      <c r="C128" s="157" t="s">
        <v>1280</v>
      </c>
      <c r="D128" s="158" t="s">
        <v>1026</v>
      </c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</row>
    <row r="129" hidden="1">
      <c r="A129" s="159" t="s">
        <v>1459</v>
      </c>
      <c r="B129" s="160">
        <v>3213.0</v>
      </c>
      <c r="C129" s="157" t="s">
        <v>1280</v>
      </c>
      <c r="D129" s="162" t="s">
        <v>1096</v>
      </c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</row>
    <row r="130" hidden="1">
      <c r="A130" s="169" t="s">
        <v>1460</v>
      </c>
      <c r="B130" s="170">
        <v>543.0</v>
      </c>
      <c r="C130" s="166" t="s">
        <v>1461</v>
      </c>
      <c r="D130" s="158" t="s">
        <v>879</v>
      </c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</row>
    <row r="131">
      <c r="A131" s="172" t="s">
        <v>1462</v>
      </c>
      <c r="B131" s="160">
        <v>1022.0</v>
      </c>
      <c r="C131" s="157" t="s">
        <v>1280</v>
      </c>
      <c r="D131" s="165" t="s">
        <v>1285</v>
      </c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</row>
    <row r="132" hidden="1">
      <c r="A132" s="155" t="s">
        <v>1463</v>
      </c>
      <c r="B132" s="163">
        <v>1023.0</v>
      </c>
      <c r="C132" s="166" t="s">
        <v>1464</v>
      </c>
      <c r="D132" s="158" t="s">
        <v>900</v>
      </c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</row>
    <row r="133" hidden="1">
      <c r="A133" s="159" t="s">
        <v>1465</v>
      </c>
      <c r="B133" s="160">
        <v>526.0</v>
      </c>
      <c r="C133" s="157" t="s">
        <v>1280</v>
      </c>
      <c r="D133" s="162" t="s">
        <v>876</v>
      </c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</row>
    <row r="134" hidden="1">
      <c r="A134" s="169" t="s">
        <v>1466</v>
      </c>
      <c r="B134" s="170">
        <v>2355.0</v>
      </c>
      <c r="C134" s="157" t="s">
        <v>1280</v>
      </c>
      <c r="D134" s="158" t="s">
        <v>999</v>
      </c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</row>
    <row r="135" hidden="1">
      <c r="A135" s="167" t="s">
        <v>1467</v>
      </c>
      <c r="B135" s="168">
        <v>1776.0</v>
      </c>
      <c r="C135" s="161" t="s">
        <v>1468</v>
      </c>
      <c r="D135" s="165" t="s">
        <v>1285</v>
      </c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</row>
    <row r="136" hidden="1">
      <c r="A136" s="169" t="s">
        <v>1469</v>
      </c>
      <c r="B136" s="170">
        <v>2001.0</v>
      </c>
      <c r="C136" s="166" t="s">
        <v>1470</v>
      </c>
      <c r="D136" s="165" t="s">
        <v>1285</v>
      </c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</row>
    <row r="137" hidden="1">
      <c r="A137" s="167" t="s">
        <v>1471</v>
      </c>
      <c r="B137" s="168">
        <v>1234.0</v>
      </c>
      <c r="C137" s="161" t="s">
        <v>1270</v>
      </c>
      <c r="D137" s="162" t="s">
        <v>909</v>
      </c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</row>
    <row r="138" hidden="1">
      <c r="A138" s="169" t="s">
        <v>1472</v>
      </c>
      <c r="B138" s="170">
        <v>2157.0</v>
      </c>
      <c r="C138" s="166" t="s">
        <v>1473</v>
      </c>
      <c r="D138" s="165" t="s">
        <v>1285</v>
      </c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</row>
    <row r="139" hidden="1">
      <c r="A139" s="167" t="s">
        <v>1474</v>
      </c>
      <c r="B139" s="168">
        <v>2856.0</v>
      </c>
      <c r="C139" s="161" t="s">
        <v>1475</v>
      </c>
      <c r="D139" s="165" t="s">
        <v>1285</v>
      </c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</row>
    <row r="140" hidden="1">
      <c r="A140" s="169" t="s">
        <v>1476</v>
      </c>
      <c r="B140" s="170">
        <v>1674.0</v>
      </c>
      <c r="C140" s="166" t="s">
        <v>1477</v>
      </c>
      <c r="D140" s="165" t="s">
        <v>1285</v>
      </c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</row>
    <row r="141" hidden="1">
      <c r="A141" s="159" t="s">
        <v>1274</v>
      </c>
      <c r="B141" s="160">
        <v>413.0</v>
      </c>
      <c r="C141" s="161" t="s">
        <v>1274</v>
      </c>
      <c r="D141" s="162" t="s">
        <v>870</v>
      </c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</row>
    <row r="142" hidden="1">
      <c r="A142" s="155" t="s">
        <v>1478</v>
      </c>
      <c r="B142" s="163">
        <v>1665.0</v>
      </c>
      <c r="C142" s="166" t="s">
        <v>1479</v>
      </c>
      <c r="D142" s="158" t="s">
        <v>924</v>
      </c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</row>
    <row r="143" hidden="1">
      <c r="A143" s="159" t="s">
        <v>1480</v>
      </c>
      <c r="B143" s="160">
        <v>2713.0</v>
      </c>
      <c r="C143" s="161" t="s">
        <v>1481</v>
      </c>
      <c r="D143" s="165" t="s">
        <v>1285</v>
      </c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</row>
    <row r="144" hidden="1">
      <c r="A144" s="155" t="s">
        <v>1482</v>
      </c>
      <c r="B144" s="163">
        <v>1746.0</v>
      </c>
      <c r="C144" s="166" t="s">
        <v>1483</v>
      </c>
      <c r="D144" s="165" t="s">
        <v>1285</v>
      </c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</row>
    <row r="145" hidden="1">
      <c r="A145" s="159" t="s">
        <v>1484</v>
      </c>
      <c r="B145" s="160">
        <v>1777.0</v>
      </c>
      <c r="C145" s="161" t="s">
        <v>1484</v>
      </c>
      <c r="D145" s="162" t="s">
        <v>941</v>
      </c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</row>
    <row r="146" hidden="1">
      <c r="A146" s="155" t="s">
        <v>1485</v>
      </c>
      <c r="B146" s="163">
        <v>1142.0</v>
      </c>
      <c r="C146" s="166" t="s">
        <v>1486</v>
      </c>
      <c r="D146" s="158" t="s">
        <v>906</v>
      </c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</row>
    <row r="147" hidden="1">
      <c r="A147" s="159" t="s">
        <v>1487</v>
      </c>
      <c r="B147" s="160">
        <v>1736.0</v>
      </c>
      <c r="C147" s="161" t="s">
        <v>1271</v>
      </c>
      <c r="D147" s="162" t="s">
        <v>932</v>
      </c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</row>
    <row r="148" hidden="1">
      <c r="A148" s="169" t="s">
        <v>1488</v>
      </c>
      <c r="B148" s="170">
        <v>2376.0</v>
      </c>
      <c r="C148" s="166" t="s">
        <v>1488</v>
      </c>
      <c r="D148" s="165" t="s">
        <v>1285</v>
      </c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</row>
    <row r="149" hidden="1">
      <c r="A149" s="167" t="s">
        <v>1489</v>
      </c>
      <c r="B149" s="168">
        <v>1065.0</v>
      </c>
      <c r="C149" s="161" t="s">
        <v>1490</v>
      </c>
      <c r="D149" s="162" t="s">
        <v>904</v>
      </c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</row>
    <row r="150" hidden="1">
      <c r="A150" s="169" t="s">
        <v>1491</v>
      </c>
      <c r="B150" s="170">
        <v>2379.0</v>
      </c>
      <c r="C150" s="166" t="s">
        <v>1492</v>
      </c>
      <c r="D150" s="158" t="s">
        <v>1003</v>
      </c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</row>
    <row r="151" hidden="1">
      <c r="A151" s="167" t="s">
        <v>1493</v>
      </c>
      <c r="B151" s="168">
        <v>3240.0</v>
      </c>
      <c r="C151" s="161" t="s">
        <v>1494</v>
      </c>
      <c r="D151" s="162" t="s">
        <v>1098</v>
      </c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</row>
    <row r="152">
      <c r="A152" s="172" t="s">
        <v>1495</v>
      </c>
      <c r="B152" s="170">
        <v>2525.0</v>
      </c>
      <c r="C152" s="157" t="s">
        <v>1280</v>
      </c>
      <c r="D152" s="165" t="s">
        <v>1285</v>
      </c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</row>
    <row r="153" hidden="1">
      <c r="A153" s="167" t="s">
        <v>1496</v>
      </c>
      <c r="B153" s="168">
        <v>803.0</v>
      </c>
      <c r="C153" s="161" t="s">
        <v>1276</v>
      </c>
      <c r="D153" s="165" t="s">
        <v>1285</v>
      </c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</row>
    <row r="154" hidden="1">
      <c r="A154" s="169" t="s">
        <v>1497</v>
      </c>
      <c r="B154" s="170">
        <v>2043.0</v>
      </c>
      <c r="C154" s="166" t="s">
        <v>1497</v>
      </c>
      <c r="D154" s="158" t="s">
        <v>963</v>
      </c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</row>
    <row r="155" hidden="1">
      <c r="A155" s="159" t="s">
        <v>1498</v>
      </c>
      <c r="B155" s="160">
        <v>3242.0</v>
      </c>
      <c r="C155" s="161" t="s">
        <v>1499</v>
      </c>
      <c r="D155" s="165" t="s">
        <v>1285</v>
      </c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</row>
    <row r="156">
      <c r="A156" s="172" t="s">
        <v>1500</v>
      </c>
      <c r="B156" s="170">
        <v>2788.0</v>
      </c>
      <c r="C156" s="157" t="s">
        <v>1280</v>
      </c>
      <c r="D156" s="165" t="s">
        <v>1285</v>
      </c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</row>
    <row r="157">
      <c r="A157" s="174" t="s">
        <v>1501</v>
      </c>
      <c r="B157" s="175">
        <v>3090.0</v>
      </c>
      <c r="C157" s="157" t="s">
        <v>1280</v>
      </c>
      <c r="D157" s="165" t="s">
        <v>1285</v>
      </c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</row>
    <row r="158">
      <c r="A158" s="174" t="s">
        <v>1502</v>
      </c>
      <c r="B158" s="176">
        <v>2731.0</v>
      </c>
      <c r="C158" s="157" t="s">
        <v>1280</v>
      </c>
      <c r="D158" s="165" t="s">
        <v>1285</v>
      </c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</row>
    <row r="159" hidden="1">
      <c r="A159" s="159" t="s">
        <v>1503</v>
      </c>
      <c r="B159" s="175">
        <v>1665.0</v>
      </c>
      <c r="C159" s="161" t="s">
        <v>1479</v>
      </c>
      <c r="D159" s="162" t="s">
        <v>924</v>
      </c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</row>
    <row r="160">
      <c r="A160" s="174" t="s">
        <v>1504</v>
      </c>
      <c r="B160" s="176">
        <v>2885.0</v>
      </c>
      <c r="C160" s="157" t="s">
        <v>1280</v>
      </c>
      <c r="D160" s="165" t="s">
        <v>1285</v>
      </c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</row>
    <row r="161">
      <c r="A161" s="174" t="s">
        <v>1505</v>
      </c>
      <c r="B161" s="175">
        <v>2836.0</v>
      </c>
      <c r="C161" s="157" t="s">
        <v>1280</v>
      </c>
      <c r="D161" s="165" t="s">
        <v>1285</v>
      </c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</row>
    <row r="162" hidden="1">
      <c r="A162" s="155" t="s">
        <v>1506</v>
      </c>
      <c r="B162" s="176">
        <v>114.0</v>
      </c>
      <c r="C162" s="166" t="s">
        <v>1507</v>
      </c>
      <c r="D162" s="165" t="s">
        <v>1285</v>
      </c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</row>
    <row r="163">
      <c r="A163" s="174" t="s">
        <v>1508</v>
      </c>
      <c r="B163" s="175">
        <v>2391.0</v>
      </c>
      <c r="C163" s="157" t="s">
        <v>1280</v>
      </c>
      <c r="D163" s="165" t="s">
        <v>1285</v>
      </c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</row>
    <row r="164">
      <c r="A164" s="174" t="s">
        <v>1509</v>
      </c>
      <c r="B164" s="176">
        <v>2409.0</v>
      </c>
      <c r="C164" s="157" t="s">
        <v>1280</v>
      </c>
      <c r="D164" s="165" t="s">
        <v>1285</v>
      </c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</row>
    <row r="165">
      <c r="A165" s="174" t="s">
        <v>1510</v>
      </c>
      <c r="B165" s="175">
        <v>2993.0</v>
      </c>
      <c r="C165" s="157" t="s">
        <v>1280</v>
      </c>
      <c r="D165" s="165" t="s">
        <v>1285</v>
      </c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</row>
    <row r="166" hidden="1">
      <c r="A166" s="155" t="s">
        <v>1511</v>
      </c>
      <c r="B166" s="176">
        <v>3008.0</v>
      </c>
      <c r="C166" s="157" t="s">
        <v>1280</v>
      </c>
      <c r="D166" s="158" t="s">
        <v>1069</v>
      </c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</row>
    <row r="167">
      <c r="A167" s="174" t="s">
        <v>1512</v>
      </c>
      <c r="B167" s="175">
        <v>3121.0</v>
      </c>
      <c r="C167" s="157" t="s">
        <v>1280</v>
      </c>
      <c r="D167" s="165" t="s">
        <v>1285</v>
      </c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</row>
    <row r="168">
      <c r="A168" s="174" t="s">
        <v>1513</v>
      </c>
      <c r="B168" s="176">
        <v>1871.0</v>
      </c>
      <c r="C168" s="157" t="s">
        <v>1280</v>
      </c>
      <c r="D168" s="165" t="s">
        <v>1285</v>
      </c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</row>
    <row r="169">
      <c r="A169" s="174" t="s">
        <v>1514</v>
      </c>
      <c r="B169" s="175">
        <v>3058.0</v>
      </c>
      <c r="C169" s="157" t="s">
        <v>1280</v>
      </c>
      <c r="D169" s="165" t="s">
        <v>1285</v>
      </c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</row>
    <row r="170">
      <c r="A170" s="174" t="s">
        <v>1515</v>
      </c>
      <c r="B170" s="176">
        <v>2978.0</v>
      </c>
      <c r="C170" s="157" t="s">
        <v>1280</v>
      </c>
      <c r="D170" s="165" t="s">
        <v>1285</v>
      </c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</row>
    <row r="171">
      <c r="A171" s="174" t="s">
        <v>1516</v>
      </c>
      <c r="B171" s="175">
        <v>2494.0</v>
      </c>
      <c r="C171" s="157" t="s">
        <v>1280</v>
      </c>
      <c r="D171" s="165" t="s">
        <v>1285</v>
      </c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</row>
    <row r="172">
      <c r="A172" s="174" t="s">
        <v>1517</v>
      </c>
      <c r="B172" s="176">
        <v>2913.0</v>
      </c>
      <c r="C172" s="157" t="s">
        <v>1280</v>
      </c>
      <c r="D172" s="165" t="s">
        <v>1285</v>
      </c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</row>
    <row r="173">
      <c r="A173" s="174" t="s">
        <v>1518</v>
      </c>
      <c r="B173" s="175">
        <v>2605.0</v>
      </c>
      <c r="C173" s="157" t="s">
        <v>1280</v>
      </c>
      <c r="D173" s="165" t="s">
        <v>1285</v>
      </c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</row>
    <row r="174">
      <c r="A174" s="174" t="s">
        <v>1519</v>
      </c>
      <c r="B174" s="176">
        <v>1884.0</v>
      </c>
      <c r="C174" s="157" t="s">
        <v>1280</v>
      </c>
      <c r="D174" s="165" t="s">
        <v>1285</v>
      </c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</row>
    <row r="175">
      <c r="A175" s="174" t="s">
        <v>1520</v>
      </c>
      <c r="B175" s="175">
        <v>1947.0</v>
      </c>
      <c r="C175" s="157" t="s">
        <v>1280</v>
      </c>
      <c r="D175" s="165" t="s">
        <v>1285</v>
      </c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</row>
    <row r="176">
      <c r="A176" s="174" t="s">
        <v>1521</v>
      </c>
      <c r="B176" s="176">
        <v>1698.0</v>
      </c>
      <c r="C176" s="157" t="s">
        <v>1280</v>
      </c>
      <c r="D176" s="165" t="s">
        <v>1285</v>
      </c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</row>
    <row r="177" hidden="1">
      <c r="A177" s="159" t="s">
        <v>1522</v>
      </c>
      <c r="B177" s="175">
        <v>2379.0</v>
      </c>
      <c r="C177" s="161" t="s">
        <v>1492</v>
      </c>
      <c r="D177" s="162" t="s">
        <v>1003</v>
      </c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</row>
    <row r="178">
      <c r="A178" s="174" t="s">
        <v>1523</v>
      </c>
      <c r="B178" s="177"/>
      <c r="C178" s="157" t="s">
        <v>1280</v>
      </c>
      <c r="D178" s="165" t="s">
        <v>1285</v>
      </c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</row>
    <row r="179">
      <c r="A179" s="174" t="s">
        <v>1524</v>
      </c>
      <c r="B179" s="175">
        <v>2322.0</v>
      </c>
      <c r="C179" s="157" t="s">
        <v>1280</v>
      </c>
      <c r="D179" s="165" t="s">
        <v>1285</v>
      </c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</row>
    <row r="180">
      <c r="A180" s="174" t="s">
        <v>1525</v>
      </c>
      <c r="B180" s="176">
        <v>2681.0</v>
      </c>
      <c r="C180" s="157" t="s">
        <v>1280</v>
      </c>
      <c r="D180" s="165" t="s">
        <v>1285</v>
      </c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</row>
    <row r="181">
      <c r="A181" s="174" t="s">
        <v>1526</v>
      </c>
      <c r="B181" s="175">
        <v>2682.0</v>
      </c>
      <c r="C181" s="157" t="s">
        <v>1280</v>
      </c>
      <c r="D181" s="165" t="s">
        <v>1285</v>
      </c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</row>
    <row r="182">
      <c r="A182" s="174" t="s">
        <v>1527</v>
      </c>
      <c r="B182" s="176">
        <v>2428.0</v>
      </c>
      <c r="C182" s="157" t="s">
        <v>1280</v>
      </c>
      <c r="D182" s="165" t="s">
        <v>1285</v>
      </c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</row>
    <row r="183">
      <c r="A183" s="174" t="s">
        <v>1528</v>
      </c>
      <c r="B183" s="175">
        <v>2436.0</v>
      </c>
      <c r="C183" s="157" t="s">
        <v>1280</v>
      </c>
      <c r="D183" s="165" t="s">
        <v>1285</v>
      </c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</row>
    <row r="184">
      <c r="A184" s="178" t="s">
        <v>1529</v>
      </c>
      <c r="B184" s="179">
        <v>2800.0</v>
      </c>
      <c r="C184" s="180" t="s">
        <v>1280</v>
      </c>
      <c r="D184" s="181" t="s">
        <v>1285</v>
      </c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</row>
    <row r="185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</row>
    <row r="186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</row>
    <row r="187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</row>
    <row r="188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</row>
    <row r="189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</row>
    <row r="190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</row>
    <row r="19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</row>
    <row r="192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</row>
    <row r="193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</row>
    <row r="194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</row>
    <row r="19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</row>
    <row r="196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</row>
    <row r="197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</row>
    <row r="198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</row>
    <row r="199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</row>
    <row r="200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</row>
    <row r="20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</row>
    <row r="202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</row>
    <row r="203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</row>
    <row r="204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</row>
    <row r="205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</row>
    <row r="206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</row>
    <row r="207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</row>
    <row r="208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</row>
    <row r="209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</row>
    <row r="210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</row>
    <row r="21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</row>
    <row r="212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</row>
    <row r="213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</row>
    <row r="214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</row>
    <row r="215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</row>
    <row r="216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</row>
    <row r="217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</row>
    <row r="218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</row>
    <row r="219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</row>
    <row r="220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</row>
    <row r="22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</row>
    <row r="222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</row>
    <row r="223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</row>
    <row r="224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</row>
    <row r="22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</row>
    <row r="226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</row>
    <row r="227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</row>
    <row r="228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</row>
    <row r="229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</row>
    <row r="230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</row>
    <row r="23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</row>
    <row r="23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</row>
    <row r="233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</row>
    <row r="234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</row>
    <row r="23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</row>
    <row r="236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</row>
    <row r="237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</row>
    <row r="238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</row>
    <row r="239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</row>
    <row r="240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</row>
    <row r="24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</row>
    <row r="24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</row>
    <row r="243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</row>
    <row r="244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</row>
    <row r="24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</row>
    <row r="246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</row>
    <row r="247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</row>
    <row r="248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</row>
    <row r="249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</row>
    <row r="250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</row>
    <row r="25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</row>
    <row r="25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</row>
    <row r="253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</row>
    <row r="254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</row>
    <row r="25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</row>
    <row r="256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</row>
    <row r="257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</row>
    <row r="258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</row>
    <row r="259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</row>
    <row r="260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</row>
    <row r="26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</row>
    <row r="26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</row>
    <row r="263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</row>
    <row r="264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</row>
    <row r="26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</row>
    <row r="266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</row>
    <row r="267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</row>
    <row r="268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</row>
    <row r="269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</row>
    <row r="270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</row>
    <row r="27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</row>
    <row r="27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</row>
    <row r="273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</row>
    <row r="274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</row>
    <row r="27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</row>
    <row r="276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</row>
    <row r="277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</row>
    <row r="278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</row>
    <row r="279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</row>
    <row r="280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</row>
    <row r="28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</row>
    <row r="28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</row>
    <row r="283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</row>
    <row r="284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</row>
    <row r="28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</row>
    <row r="286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</row>
    <row r="287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</row>
    <row r="288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</row>
    <row r="289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</row>
    <row r="290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</row>
    <row r="29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</row>
    <row r="29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</row>
    <row r="293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</row>
    <row r="294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</row>
    <row r="29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</row>
    <row r="296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</row>
    <row r="297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</row>
    <row r="298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</row>
    <row r="299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</row>
    <row r="300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</row>
    <row r="30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</row>
    <row r="302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</row>
    <row r="303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</row>
    <row r="304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</row>
    <row r="30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</row>
    <row r="306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</row>
    <row r="307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</row>
    <row r="308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</row>
    <row r="309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</row>
    <row r="310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</row>
    <row r="31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</row>
    <row r="312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</row>
    <row r="313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</row>
    <row r="314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</row>
    <row r="31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</row>
    <row r="316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</row>
    <row r="317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</row>
    <row r="318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</row>
    <row r="319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</row>
    <row r="320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</row>
    <row r="32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</row>
    <row r="322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</row>
    <row r="323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</row>
    <row r="324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</row>
    <row r="32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</row>
    <row r="326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</row>
    <row r="327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</row>
    <row r="328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</row>
    <row r="329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</row>
    <row r="330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</row>
    <row r="33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</row>
    <row r="332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</row>
    <row r="333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</row>
    <row r="334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</row>
    <row r="33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</row>
    <row r="336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</row>
    <row r="337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</row>
    <row r="338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</row>
    <row r="339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</row>
    <row r="340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</row>
    <row r="34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</row>
    <row r="342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</row>
    <row r="343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</row>
    <row r="344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</row>
    <row r="34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</row>
    <row r="346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</row>
    <row r="347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</row>
    <row r="348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</row>
    <row r="349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</row>
    <row r="350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</row>
    <row r="35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</row>
    <row r="352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</row>
    <row r="353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</row>
    <row r="354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</row>
    <row r="35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</row>
    <row r="356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</row>
    <row r="357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</row>
    <row r="358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</row>
    <row r="359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</row>
    <row r="360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</row>
    <row r="36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</row>
    <row r="362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</row>
    <row r="363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</row>
    <row r="364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</row>
    <row r="36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</row>
    <row r="366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</row>
    <row r="367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</row>
    <row r="368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</row>
    <row r="369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</row>
    <row r="370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</row>
    <row r="37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</row>
    <row r="372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</row>
    <row r="373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</row>
    <row r="374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</row>
    <row r="37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</row>
    <row r="376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</row>
    <row r="377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</row>
    <row r="378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</row>
    <row r="379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</row>
    <row r="380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</row>
    <row r="38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</row>
    <row r="382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</row>
    <row r="383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</row>
    <row r="384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</row>
    <row r="38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</row>
    <row r="386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</row>
    <row r="387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</row>
    <row r="388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</row>
    <row r="389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</row>
    <row r="390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</row>
    <row r="39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</row>
    <row r="392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</row>
    <row r="393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</row>
    <row r="394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</row>
    <row r="39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</row>
    <row r="396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</row>
    <row r="397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</row>
    <row r="398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</row>
    <row r="399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</row>
    <row r="400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</row>
    <row r="40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</row>
    <row r="402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</row>
    <row r="403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</row>
    <row r="404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</row>
    <row r="40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</row>
    <row r="406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</row>
    <row r="407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</row>
    <row r="408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</row>
    <row r="409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</row>
    <row r="410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</row>
    <row r="41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</row>
    <row r="412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</row>
    <row r="413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</row>
    <row r="414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</row>
    <row r="41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</row>
    <row r="416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</row>
    <row r="417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</row>
    <row r="418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</row>
    <row r="419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</row>
    <row r="420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</row>
    <row r="42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</row>
    <row r="422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</row>
    <row r="423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</row>
    <row r="424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</row>
    <row r="42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</row>
    <row r="426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</row>
    <row r="427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</row>
    <row r="428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</row>
    <row r="429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</row>
    <row r="430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</row>
    <row r="43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</row>
    <row r="432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</row>
    <row r="433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</row>
    <row r="434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</row>
    <row r="43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</row>
    <row r="436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</row>
    <row r="437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</row>
    <row r="438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</row>
    <row r="439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</row>
    <row r="440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</row>
    <row r="44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</row>
    <row r="442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</row>
    <row r="443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</row>
    <row r="444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</row>
    <row r="44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</row>
    <row r="446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</row>
    <row r="447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</row>
    <row r="448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</row>
    <row r="449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</row>
    <row r="450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</row>
    <row r="45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</row>
    <row r="452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</row>
    <row r="453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</row>
    <row r="454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</row>
    <row r="45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</row>
    <row r="456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</row>
    <row r="457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</row>
    <row r="458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</row>
    <row r="459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</row>
    <row r="460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</row>
    <row r="46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</row>
    <row r="462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</row>
    <row r="463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</row>
    <row r="464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</row>
    <row r="46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</row>
    <row r="466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</row>
    <row r="467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</row>
    <row r="468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</row>
    <row r="469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</row>
    <row r="470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</row>
    <row r="47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</row>
    <row r="472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</row>
    <row r="473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</row>
    <row r="474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</row>
    <row r="47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</row>
    <row r="476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</row>
    <row r="477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</row>
    <row r="478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</row>
    <row r="479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</row>
    <row r="480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</row>
    <row r="48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</row>
    <row r="482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</row>
    <row r="483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</row>
    <row r="484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</row>
    <row r="48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</row>
    <row r="486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</row>
    <row r="487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</row>
    <row r="488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</row>
    <row r="489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</row>
    <row r="490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</row>
    <row r="49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</row>
    <row r="492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</row>
    <row r="493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</row>
    <row r="494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</row>
    <row r="49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</row>
    <row r="496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</row>
    <row r="497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</row>
    <row r="498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</row>
    <row r="499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</row>
    <row r="500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</row>
    <row r="50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</row>
    <row r="502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</row>
    <row r="503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</row>
    <row r="504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</row>
    <row r="50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</row>
    <row r="506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</row>
    <row r="507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</row>
    <row r="508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</row>
    <row r="509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</row>
    <row r="510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</row>
    <row r="51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</row>
    <row r="512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</row>
    <row r="513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</row>
    <row r="514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</row>
    <row r="51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</row>
    <row r="516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</row>
    <row r="517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</row>
    <row r="518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</row>
    <row r="519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</row>
    <row r="520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</row>
    <row r="52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</row>
    <row r="522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</row>
    <row r="523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</row>
    <row r="524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</row>
    <row r="52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</row>
    <row r="526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</row>
    <row r="527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</row>
    <row r="528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</row>
    <row r="529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</row>
    <row r="530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</row>
    <row r="53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</row>
    <row r="532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</row>
    <row r="533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</row>
    <row r="534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</row>
    <row r="53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</row>
    <row r="536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</row>
    <row r="537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</row>
    <row r="538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</row>
    <row r="539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</row>
    <row r="540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</row>
    <row r="54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</row>
    <row r="542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</row>
    <row r="543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</row>
    <row r="544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</row>
    <row r="54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</row>
    <row r="546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</row>
    <row r="547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</row>
    <row r="548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</row>
    <row r="549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</row>
    <row r="550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</row>
    <row r="55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</row>
    <row r="552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</row>
    <row r="553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</row>
    <row r="554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</row>
    <row r="55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</row>
    <row r="556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</row>
    <row r="557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</row>
    <row r="558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</row>
    <row r="559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</row>
    <row r="560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</row>
    <row r="56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</row>
    <row r="562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</row>
    <row r="563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</row>
    <row r="564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</row>
    <row r="56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</row>
    <row r="566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</row>
    <row r="567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</row>
    <row r="568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</row>
    <row r="569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</row>
    <row r="570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</row>
    <row r="57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</row>
    <row r="572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</row>
    <row r="573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</row>
    <row r="574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</row>
    <row r="57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</row>
    <row r="576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</row>
    <row r="577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</row>
    <row r="578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</row>
    <row r="579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</row>
    <row r="580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</row>
    <row r="58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</row>
    <row r="582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</row>
    <row r="583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</row>
    <row r="584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</row>
    <row r="58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</row>
    <row r="586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</row>
    <row r="587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</row>
    <row r="588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</row>
    <row r="589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</row>
    <row r="590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</row>
    <row r="59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</row>
    <row r="592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</row>
    <row r="593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</row>
    <row r="594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</row>
    <row r="59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</row>
    <row r="596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</row>
    <row r="597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</row>
    <row r="598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</row>
    <row r="599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</row>
    <row r="600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</row>
    <row r="60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</row>
    <row r="602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</row>
    <row r="603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</row>
    <row r="604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</row>
    <row r="60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</row>
    <row r="606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</row>
    <row r="607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</row>
    <row r="608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</row>
    <row r="609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</row>
    <row r="610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</row>
    <row r="61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</row>
    <row r="612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</row>
    <row r="613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</row>
    <row r="614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</row>
    <row r="61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</row>
    <row r="616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</row>
    <row r="617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</row>
    <row r="618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</row>
    <row r="619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</row>
    <row r="620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</row>
    <row r="62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</row>
    <row r="622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</row>
    <row r="623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</row>
    <row r="624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</row>
    <row r="62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</row>
    <row r="626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</row>
    <row r="627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</row>
    <row r="628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</row>
    <row r="629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</row>
    <row r="630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</row>
    <row r="63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</row>
    <row r="632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</row>
    <row r="633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</row>
    <row r="634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</row>
    <row r="63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</row>
    <row r="636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</row>
    <row r="637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</row>
    <row r="638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</row>
    <row r="639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</row>
    <row r="640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</row>
    <row r="64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</row>
    <row r="642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</row>
    <row r="643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</row>
    <row r="644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</row>
    <row r="64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</row>
    <row r="646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</row>
    <row r="647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</row>
    <row r="648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</row>
    <row r="649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</row>
    <row r="650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</row>
    <row r="65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</row>
    <row r="652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</row>
    <row r="653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</row>
    <row r="654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</row>
    <row r="65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</row>
    <row r="656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</row>
    <row r="657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</row>
    <row r="658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</row>
    <row r="659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</row>
    <row r="660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</row>
    <row r="66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</row>
    <row r="662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</row>
    <row r="663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</row>
    <row r="664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</row>
    <row r="66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</row>
    <row r="666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</row>
    <row r="667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</row>
    <row r="668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</row>
    <row r="669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</row>
    <row r="670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</row>
    <row r="67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</row>
    <row r="672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</row>
    <row r="673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</row>
    <row r="674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</row>
    <row r="67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</row>
    <row r="676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</row>
    <row r="677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</row>
    <row r="678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</row>
    <row r="679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</row>
    <row r="680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</row>
    <row r="68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</row>
    <row r="682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</row>
    <row r="683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</row>
    <row r="684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</row>
    <row r="68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</row>
    <row r="686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</row>
    <row r="687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</row>
    <row r="688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</row>
    <row r="689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</row>
    <row r="690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</row>
    <row r="69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</row>
    <row r="692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</row>
    <row r="693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</row>
    <row r="694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</row>
    <row r="69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</row>
    <row r="696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</row>
    <row r="697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</row>
    <row r="698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</row>
    <row r="699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</row>
    <row r="700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</row>
    <row r="70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</row>
    <row r="702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</row>
    <row r="703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</row>
    <row r="704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</row>
    <row r="70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</row>
    <row r="706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</row>
    <row r="707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</row>
    <row r="708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</row>
    <row r="709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</row>
    <row r="710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</row>
    <row r="71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</row>
    <row r="712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</row>
    <row r="713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</row>
    <row r="714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</row>
    <row r="71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</row>
    <row r="716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</row>
    <row r="717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</row>
    <row r="718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</row>
    <row r="719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</row>
    <row r="720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</row>
    <row r="72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</row>
    <row r="722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</row>
    <row r="723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</row>
    <row r="724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</row>
    <row r="72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</row>
    <row r="726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</row>
    <row r="727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</row>
    <row r="728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</row>
    <row r="729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</row>
    <row r="730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</row>
    <row r="73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</row>
    <row r="732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</row>
    <row r="733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</row>
    <row r="734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</row>
    <row r="73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</row>
    <row r="736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</row>
    <row r="737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</row>
    <row r="738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</row>
    <row r="739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</row>
    <row r="740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</row>
    <row r="74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</row>
    <row r="742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</row>
    <row r="743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</row>
    <row r="744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</row>
    <row r="74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</row>
    <row r="746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</row>
    <row r="747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</row>
    <row r="748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</row>
    <row r="749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</row>
    <row r="750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</row>
    <row r="75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</row>
    <row r="752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</row>
    <row r="753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</row>
    <row r="754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</row>
    <row r="75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</row>
    <row r="756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</row>
    <row r="757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</row>
    <row r="758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</row>
    <row r="759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</row>
    <row r="760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</row>
    <row r="76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</row>
    <row r="762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</row>
    <row r="763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</row>
    <row r="764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</row>
    <row r="76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</row>
    <row r="766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</row>
    <row r="767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</row>
    <row r="768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</row>
    <row r="769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</row>
    <row r="770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</row>
    <row r="77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</row>
    <row r="772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</row>
    <row r="773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</row>
    <row r="774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</row>
    <row r="77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</row>
    <row r="776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</row>
    <row r="777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</row>
    <row r="778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</row>
    <row r="779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</row>
    <row r="780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</row>
    <row r="78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</row>
    <row r="782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</row>
    <row r="783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</row>
    <row r="784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</row>
    <row r="78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</row>
    <row r="786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</row>
    <row r="787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</row>
    <row r="788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</row>
    <row r="789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</row>
    <row r="790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</row>
    <row r="79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</row>
    <row r="792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</row>
    <row r="793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</row>
    <row r="794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</row>
    <row r="79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</row>
    <row r="796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</row>
    <row r="797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</row>
    <row r="798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</row>
    <row r="799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</row>
    <row r="800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</row>
    <row r="80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</row>
    <row r="802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</row>
    <row r="803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</row>
    <row r="804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</row>
    <row r="80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</row>
    <row r="806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</row>
    <row r="807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</row>
    <row r="808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</row>
    <row r="809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</row>
    <row r="810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</row>
    <row r="81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</row>
    <row r="812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</row>
    <row r="813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</row>
    <row r="814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</row>
    <row r="81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</row>
    <row r="816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</row>
    <row r="817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</row>
    <row r="818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</row>
    <row r="819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</row>
    <row r="820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</row>
    <row r="82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</row>
    <row r="822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</row>
    <row r="823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</row>
    <row r="824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</row>
    <row r="82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</row>
    <row r="826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</row>
    <row r="827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</row>
    <row r="828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</row>
    <row r="829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</row>
    <row r="830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</row>
    <row r="83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</row>
    <row r="832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</row>
    <row r="833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</row>
    <row r="834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</row>
    <row r="83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</row>
    <row r="836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</row>
    <row r="837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</row>
    <row r="838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</row>
    <row r="839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</row>
    <row r="840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</row>
    <row r="84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</row>
    <row r="842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</row>
    <row r="843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</row>
    <row r="844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</row>
    <row r="84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</row>
    <row r="846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</row>
    <row r="847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</row>
    <row r="848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</row>
    <row r="849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</row>
    <row r="850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</row>
    <row r="85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</row>
    <row r="852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</row>
    <row r="853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</row>
    <row r="854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</row>
    <row r="85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</row>
    <row r="856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</row>
    <row r="857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</row>
    <row r="858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</row>
    <row r="859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</row>
    <row r="860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</row>
    <row r="86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</row>
    <row r="862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</row>
    <row r="863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</row>
    <row r="864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</row>
    <row r="86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</row>
    <row r="866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</row>
    <row r="867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</row>
    <row r="868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</row>
    <row r="869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</row>
    <row r="870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</row>
    <row r="87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</row>
    <row r="872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</row>
    <row r="873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</row>
    <row r="874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</row>
    <row r="87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</row>
    <row r="876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</row>
    <row r="877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</row>
    <row r="878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</row>
    <row r="879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</row>
    <row r="880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</row>
    <row r="88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</row>
    <row r="882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</row>
    <row r="883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</row>
    <row r="884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</row>
    <row r="88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</row>
    <row r="886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</row>
    <row r="887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</row>
    <row r="888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</row>
    <row r="889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</row>
    <row r="890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</row>
    <row r="89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</row>
    <row r="892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</row>
    <row r="893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</row>
    <row r="894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</row>
    <row r="89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</row>
    <row r="896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</row>
    <row r="897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</row>
    <row r="898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</row>
    <row r="899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</row>
    <row r="900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</row>
    <row r="90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</row>
    <row r="902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</row>
    <row r="903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</row>
    <row r="904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</row>
    <row r="90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</row>
    <row r="906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</row>
    <row r="907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</row>
    <row r="908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</row>
    <row r="909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</row>
    <row r="910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</row>
    <row r="91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</row>
    <row r="912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</row>
    <row r="913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</row>
    <row r="914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</row>
    <row r="91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</row>
    <row r="916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</row>
    <row r="917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</row>
    <row r="918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</row>
    <row r="919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</row>
    <row r="920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</row>
    <row r="92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</row>
    <row r="922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</row>
    <row r="923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</row>
    <row r="924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</row>
    <row r="92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</row>
    <row r="926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</row>
    <row r="927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</row>
    <row r="928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</row>
    <row r="929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</row>
  </sheetData>
  <conditionalFormatting sqref="C1:C1000">
    <cfRule type="containsText" dxfId="10" priority="1" operator="containsText" text="no esta en el padron">
      <formula>NOT(ISERROR(SEARCH(("no esta en el padron"),(C1))))</formula>
    </cfRule>
  </conditionalFormatting>
  <conditionalFormatting sqref="D1:D1000">
    <cfRule type="containsText" dxfId="10" priority="2" operator="containsText" text="no esta tabla hijos a cargo">
      <formula>NOT(ISERROR(SEARCH(("no esta tabla hijos a cargo"),(D1))))</formula>
    </cfRule>
  </conditionalFormatting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14"/>
    <col customWidth="1" min="2" max="2" width="17.43"/>
    <col customWidth="1" min="3" max="4" width="35.14"/>
    <col customWidth="1" min="5" max="5" width="33.14"/>
    <col customWidth="1" min="6" max="6" width="37.57"/>
    <col customWidth="1" min="7" max="7" width="31.43"/>
    <col customWidth="1" min="8" max="8" width="17.0"/>
    <col customWidth="1" min="9" max="9" width="22.57"/>
  </cols>
  <sheetData>
    <row r="1">
      <c r="A1" s="182" t="s">
        <v>1530</v>
      </c>
      <c r="B1" s="183" t="s">
        <v>1531</v>
      </c>
      <c r="C1" s="153" t="s">
        <v>1532</v>
      </c>
      <c r="D1" s="184" t="s">
        <v>668</v>
      </c>
      <c r="E1" s="153" t="s">
        <v>1533</v>
      </c>
      <c r="F1" s="153" t="s">
        <v>1534</v>
      </c>
      <c r="G1" s="154" t="s">
        <v>1535</v>
      </c>
      <c r="H1" s="120"/>
      <c r="I1" s="120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  <c r="CQ1" s="61"/>
      <c r="CR1" s="61"/>
      <c r="CS1" s="61"/>
      <c r="CT1" s="61"/>
      <c r="CU1" s="61"/>
      <c r="CV1" s="61"/>
      <c r="CW1" s="61"/>
      <c r="CX1" s="61"/>
      <c r="CY1" s="61"/>
      <c r="CZ1" s="61"/>
      <c r="DA1" s="61"/>
      <c r="DB1" s="61"/>
      <c r="DC1" s="61"/>
      <c r="DD1" s="61"/>
      <c r="DE1" s="61"/>
      <c r="DF1" s="61"/>
      <c r="DG1" s="61"/>
      <c r="DH1" s="61"/>
      <c r="DI1" s="61"/>
      <c r="DJ1" s="61"/>
      <c r="DK1" s="61"/>
      <c r="DL1" s="61"/>
      <c r="DM1" s="61"/>
      <c r="DN1" s="61"/>
      <c r="DO1" s="61"/>
      <c r="DP1" s="61"/>
      <c r="DQ1" s="61"/>
      <c r="DR1" s="61"/>
      <c r="DS1" s="61"/>
      <c r="DT1" s="61"/>
      <c r="DU1" s="61"/>
      <c r="DV1" s="61"/>
      <c r="DW1" s="61"/>
      <c r="DX1" s="61"/>
      <c r="DY1" s="61"/>
      <c r="DZ1" s="61"/>
      <c r="EA1" s="61"/>
      <c r="EB1" s="61"/>
      <c r="EC1" s="61"/>
      <c r="ED1" s="61"/>
      <c r="EE1" s="61"/>
      <c r="EF1" s="61"/>
      <c r="EG1" s="61"/>
      <c r="EH1" s="61"/>
      <c r="EI1" s="61"/>
      <c r="EJ1" s="61"/>
      <c r="EK1" s="61"/>
      <c r="EL1" s="61"/>
      <c r="EM1" s="61"/>
      <c r="EN1" s="61"/>
      <c r="EO1" s="61"/>
      <c r="EP1" s="61"/>
      <c r="EQ1" s="61"/>
      <c r="ER1" s="61"/>
      <c r="ES1" s="61"/>
      <c r="ET1" s="61"/>
      <c r="EU1" s="61"/>
      <c r="EV1" s="61"/>
      <c r="EW1" s="61"/>
      <c r="EX1" s="61"/>
      <c r="EY1" s="61"/>
      <c r="EZ1" s="61"/>
      <c r="FA1" s="61"/>
      <c r="FB1" s="61"/>
      <c r="FC1" s="61"/>
      <c r="FD1" s="61"/>
      <c r="FE1" s="61"/>
      <c r="FF1" s="61"/>
      <c r="FG1" s="61"/>
      <c r="FH1" s="61"/>
      <c r="FI1" s="61"/>
      <c r="FJ1" s="61"/>
      <c r="FK1" s="61"/>
      <c r="FL1" s="61"/>
      <c r="FM1" s="61"/>
      <c r="FN1" s="61"/>
      <c r="FO1" s="61"/>
      <c r="FP1" s="61"/>
      <c r="FQ1" s="61"/>
      <c r="FR1" s="61"/>
      <c r="FS1" s="61"/>
      <c r="FT1" s="61"/>
      <c r="FU1" s="61"/>
      <c r="FV1" s="61"/>
      <c r="FW1" s="61"/>
      <c r="FX1" s="61"/>
      <c r="FY1" s="61"/>
      <c r="FZ1" s="61"/>
      <c r="GA1" s="61"/>
      <c r="GB1" s="61"/>
      <c r="GC1" s="61"/>
      <c r="GD1" s="61"/>
      <c r="GE1" s="61"/>
      <c r="GF1" s="61"/>
      <c r="GG1" s="61"/>
      <c r="GH1" s="61"/>
      <c r="GI1" s="61"/>
      <c r="GJ1" s="61"/>
      <c r="GK1" s="61"/>
      <c r="GL1" s="61"/>
      <c r="GM1" s="61"/>
      <c r="GN1" s="61"/>
      <c r="GO1" s="61"/>
      <c r="GP1" s="61"/>
      <c r="GQ1" s="61"/>
      <c r="GR1" s="61"/>
      <c r="GS1" s="61"/>
      <c r="GT1" s="61"/>
      <c r="GU1" s="61"/>
      <c r="GV1" s="61"/>
      <c r="GW1" s="61"/>
      <c r="GX1" s="61"/>
      <c r="GY1" s="61"/>
      <c r="GZ1" s="61"/>
      <c r="HA1" s="61"/>
      <c r="HB1" s="61"/>
      <c r="HC1" s="61"/>
      <c r="HD1" s="61"/>
      <c r="HE1" s="61"/>
      <c r="HF1" s="61"/>
      <c r="HG1" s="61"/>
      <c r="HH1" s="61"/>
      <c r="HI1" s="61"/>
      <c r="HJ1" s="61"/>
      <c r="HK1" s="61"/>
      <c r="HL1" s="61"/>
      <c r="HM1" s="61"/>
      <c r="HN1" s="61"/>
      <c r="HO1" s="61"/>
      <c r="HP1" s="61"/>
      <c r="HQ1" s="61"/>
      <c r="HR1" s="61"/>
      <c r="HS1" s="61"/>
      <c r="HT1" s="61"/>
      <c r="HU1" s="61"/>
      <c r="HV1" s="61"/>
      <c r="HW1" s="61"/>
      <c r="HX1" s="61"/>
      <c r="HY1" s="61"/>
      <c r="HZ1" s="61"/>
      <c r="IA1" s="61"/>
      <c r="IB1" s="61"/>
      <c r="IC1" s="61"/>
      <c r="ID1" s="61"/>
      <c r="IE1" s="61"/>
      <c r="IF1" s="61"/>
      <c r="IG1" s="61"/>
      <c r="IH1" s="61"/>
      <c r="II1" s="61"/>
      <c r="IJ1" s="61"/>
      <c r="IK1" s="61"/>
      <c r="IL1" s="61"/>
      <c r="IM1" s="61"/>
      <c r="IN1" s="61"/>
      <c r="IO1" s="61"/>
      <c r="IP1" s="61"/>
      <c r="IQ1" s="61"/>
      <c r="IR1" s="61"/>
      <c r="IS1" s="61"/>
      <c r="IT1" s="61"/>
      <c r="IU1" s="61"/>
      <c r="IV1" s="61"/>
      <c r="IW1" s="61"/>
      <c r="IX1" s="61"/>
      <c r="IY1" s="61"/>
      <c r="IZ1" s="61"/>
      <c r="JA1" s="61"/>
      <c r="JB1" s="61"/>
      <c r="JC1" s="61"/>
      <c r="JD1" s="61"/>
      <c r="JE1" s="61"/>
      <c r="JF1" s="61"/>
      <c r="JG1" s="61"/>
      <c r="JH1" s="61"/>
      <c r="JI1" s="61"/>
      <c r="JJ1" s="61"/>
      <c r="JK1" s="61"/>
      <c r="JL1" s="61"/>
      <c r="JM1" s="61"/>
      <c r="JN1" s="61"/>
      <c r="JO1" s="61"/>
      <c r="JP1" s="61"/>
      <c r="JQ1" s="61"/>
      <c r="JR1" s="61"/>
      <c r="JS1" s="61"/>
      <c r="JT1" s="61"/>
      <c r="JU1" s="61"/>
      <c r="JV1" s="61"/>
      <c r="JW1" s="61"/>
      <c r="JX1" s="61"/>
      <c r="JY1" s="61"/>
      <c r="JZ1" s="61"/>
      <c r="KA1" s="61"/>
      <c r="KB1" s="61"/>
      <c r="KC1" s="61"/>
      <c r="KD1" s="61"/>
      <c r="KE1" s="61"/>
      <c r="KF1" s="61"/>
      <c r="KG1" s="61"/>
      <c r="KH1" s="61"/>
      <c r="KI1" s="61"/>
      <c r="KJ1" s="61"/>
      <c r="KK1" s="61"/>
      <c r="KL1" s="61"/>
      <c r="KM1" s="61"/>
      <c r="KN1" s="61"/>
      <c r="KO1" s="61"/>
      <c r="KP1" s="61"/>
      <c r="KQ1" s="61"/>
      <c r="KR1" s="61"/>
      <c r="KS1" s="61"/>
      <c r="KT1" s="61"/>
      <c r="KU1" s="61"/>
      <c r="KV1" s="61"/>
      <c r="KW1" s="61"/>
      <c r="KX1" s="61"/>
      <c r="KY1" s="61"/>
      <c r="KZ1" s="61"/>
      <c r="LA1" s="61"/>
      <c r="LB1" s="61"/>
      <c r="LC1" s="61"/>
      <c r="LD1" s="61"/>
      <c r="LE1" s="61"/>
      <c r="LF1" s="61"/>
      <c r="LG1" s="61"/>
      <c r="LH1" s="61"/>
      <c r="LI1" s="61"/>
      <c r="LJ1" s="61"/>
      <c r="LK1" s="61"/>
      <c r="LL1" s="61"/>
      <c r="LM1" s="61"/>
      <c r="LN1" s="61"/>
      <c r="LO1" s="61"/>
      <c r="LP1" s="61"/>
      <c r="LQ1" s="61"/>
      <c r="LR1" s="61"/>
      <c r="LS1" s="61"/>
      <c r="LT1" s="61"/>
      <c r="LU1" s="61"/>
      <c r="LV1" s="61"/>
      <c r="LW1" s="61"/>
      <c r="LX1" s="61"/>
      <c r="LY1" s="61"/>
      <c r="LZ1" s="61"/>
      <c r="MA1" s="61"/>
      <c r="MB1" s="61"/>
      <c r="MC1" s="61"/>
      <c r="MD1" s="61"/>
      <c r="ME1" s="61"/>
      <c r="MF1" s="61"/>
      <c r="MG1" s="61"/>
      <c r="MH1" s="61"/>
      <c r="MI1" s="61"/>
      <c r="MJ1" s="61"/>
      <c r="MK1" s="61"/>
      <c r="ML1" s="61"/>
      <c r="MM1" s="61"/>
      <c r="MN1" s="61"/>
      <c r="MO1" s="61"/>
      <c r="MP1" s="61"/>
      <c r="MQ1" s="61"/>
      <c r="MR1" s="61"/>
      <c r="MS1" s="61"/>
      <c r="MT1" s="61"/>
      <c r="MU1" s="61"/>
      <c r="MV1" s="61"/>
      <c r="MW1" s="61"/>
      <c r="MX1" s="61"/>
      <c r="MY1" s="61"/>
      <c r="MZ1" s="61"/>
      <c r="NA1" s="61"/>
      <c r="NB1" s="61"/>
      <c r="NC1" s="61"/>
      <c r="ND1" s="61"/>
      <c r="NE1" s="61"/>
      <c r="NF1" s="61"/>
      <c r="NG1" s="61"/>
      <c r="NH1" s="61"/>
      <c r="NI1" s="61"/>
      <c r="NJ1" s="61"/>
      <c r="NK1" s="61"/>
      <c r="NL1" s="61"/>
      <c r="NM1" s="61"/>
      <c r="NN1" s="61"/>
      <c r="NO1" s="61"/>
      <c r="NP1" s="61"/>
      <c r="NQ1" s="61"/>
      <c r="NR1" s="61"/>
      <c r="NS1" s="61"/>
      <c r="NT1" s="61"/>
      <c r="NU1" s="61"/>
      <c r="NV1" s="61"/>
      <c r="NW1" s="61"/>
      <c r="NX1" s="61"/>
      <c r="NY1" s="61"/>
      <c r="NZ1" s="61"/>
      <c r="OA1" s="61"/>
      <c r="OB1" s="61"/>
      <c r="OC1" s="61"/>
      <c r="OD1" s="61"/>
      <c r="OE1" s="61"/>
      <c r="OF1" s="61"/>
      <c r="OG1" s="61"/>
      <c r="OH1" s="61"/>
      <c r="OI1" s="61"/>
      <c r="OJ1" s="61"/>
      <c r="OK1" s="61"/>
      <c r="OL1" s="61"/>
      <c r="OM1" s="61"/>
      <c r="ON1" s="61"/>
      <c r="OO1" s="61"/>
      <c r="OP1" s="61"/>
      <c r="OQ1" s="61"/>
      <c r="OR1" s="61"/>
      <c r="OS1" s="61"/>
      <c r="OT1" s="61"/>
      <c r="OU1" s="61"/>
      <c r="OV1" s="61"/>
      <c r="OW1" s="61"/>
      <c r="OX1" s="61"/>
      <c r="OY1" s="61"/>
      <c r="OZ1" s="61"/>
      <c r="PA1" s="61"/>
      <c r="PB1" s="61"/>
      <c r="PC1" s="61"/>
      <c r="PD1" s="61"/>
      <c r="PE1" s="61"/>
      <c r="PF1" s="61"/>
      <c r="PG1" s="61"/>
      <c r="PH1" s="61"/>
      <c r="PI1" s="61"/>
      <c r="PJ1" s="61"/>
      <c r="PK1" s="61"/>
      <c r="PL1" s="61"/>
      <c r="PM1" s="61"/>
      <c r="PN1" s="61"/>
      <c r="PO1" s="61"/>
      <c r="PP1" s="61"/>
      <c r="PQ1" s="61"/>
      <c r="PR1" s="61"/>
      <c r="PS1" s="61"/>
      <c r="PT1" s="61"/>
      <c r="PU1" s="61"/>
      <c r="PV1" s="61"/>
      <c r="PW1" s="61"/>
      <c r="PX1" s="61"/>
      <c r="PY1" s="61"/>
      <c r="PZ1" s="61"/>
      <c r="QA1" s="61"/>
      <c r="QB1" s="61"/>
      <c r="QC1" s="61"/>
      <c r="QD1" s="61"/>
      <c r="QE1" s="61"/>
      <c r="QF1" s="61"/>
      <c r="QG1" s="61"/>
      <c r="QH1" s="61"/>
      <c r="QI1" s="61"/>
      <c r="QJ1" s="61"/>
      <c r="QK1" s="61"/>
      <c r="QL1" s="61"/>
      <c r="QM1" s="61"/>
      <c r="QN1" s="61"/>
      <c r="QO1" s="61"/>
      <c r="QP1" s="61"/>
      <c r="QQ1" s="61"/>
      <c r="QR1" s="61"/>
      <c r="QS1" s="61"/>
      <c r="QT1" s="61"/>
      <c r="QU1" s="61"/>
      <c r="QV1" s="61"/>
      <c r="QW1" s="61"/>
      <c r="QX1" s="61"/>
      <c r="QY1" s="61"/>
      <c r="QZ1" s="61"/>
      <c r="RA1" s="61"/>
      <c r="RB1" s="61"/>
      <c r="RC1" s="61"/>
      <c r="RD1" s="61"/>
      <c r="RE1" s="61"/>
      <c r="RF1" s="61"/>
      <c r="RG1" s="61"/>
      <c r="RH1" s="61"/>
      <c r="RI1" s="61"/>
      <c r="RJ1" s="61"/>
      <c r="RK1" s="61"/>
      <c r="RL1" s="61"/>
      <c r="RM1" s="61"/>
      <c r="RN1" s="61"/>
      <c r="RO1" s="61"/>
      <c r="RP1" s="61"/>
      <c r="RQ1" s="61"/>
      <c r="RR1" s="61"/>
      <c r="RS1" s="61"/>
      <c r="RT1" s="61"/>
      <c r="RU1" s="61"/>
      <c r="RV1" s="61"/>
      <c r="RW1" s="61"/>
      <c r="RX1" s="61"/>
      <c r="RY1" s="61"/>
      <c r="RZ1" s="61"/>
      <c r="SA1" s="61"/>
      <c r="SB1" s="61"/>
      <c r="SC1" s="61"/>
      <c r="SD1" s="61"/>
      <c r="SE1" s="61"/>
      <c r="SF1" s="61"/>
      <c r="SG1" s="61"/>
      <c r="SH1" s="61"/>
      <c r="SI1" s="61"/>
      <c r="SJ1" s="61"/>
      <c r="SK1" s="61"/>
      <c r="SL1" s="61"/>
      <c r="SM1" s="61"/>
      <c r="SN1" s="61"/>
      <c r="SO1" s="61"/>
      <c r="SP1" s="61"/>
      <c r="SQ1" s="61"/>
      <c r="SR1" s="61"/>
      <c r="SS1" s="61"/>
      <c r="ST1" s="61"/>
      <c r="SU1" s="61"/>
      <c r="SV1" s="61"/>
      <c r="SW1" s="61"/>
      <c r="SX1" s="61"/>
      <c r="SY1" s="61"/>
      <c r="SZ1" s="61"/>
      <c r="TA1" s="61"/>
      <c r="TB1" s="61"/>
      <c r="TC1" s="61"/>
      <c r="TD1" s="61"/>
      <c r="TE1" s="61"/>
      <c r="TF1" s="61"/>
      <c r="TG1" s="61"/>
      <c r="TH1" s="61"/>
      <c r="TI1" s="61"/>
      <c r="TJ1" s="61"/>
      <c r="TK1" s="61"/>
      <c r="TL1" s="61"/>
      <c r="TM1" s="61"/>
      <c r="TN1" s="61"/>
      <c r="TO1" s="61"/>
      <c r="TP1" s="61"/>
      <c r="TQ1" s="61"/>
      <c r="TR1" s="61"/>
      <c r="TS1" s="61"/>
      <c r="TT1" s="61"/>
      <c r="TU1" s="61"/>
      <c r="TV1" s="61"/>
      <c r="TW1" s="61"/>
      <c r="TX1" s="61"/>
      <c r="TY1" s="61"/>
      <c r="TZ1" s="61"/>
      <c r="UA1" s="61"/>
      <c r="UB1" s="61"/>
      <c r="UC1" s="61"/>
      <c r="UD1" s="61"/>
      <c r="UE1" s="61"/>
      <c r="UF1" s="61"/>
      <c r="UG1" s="61"/>
      <c r="UH1" s="61"/>
      <c r="UI1" s="61"/>
      <c r="UJ1" s="61"/>
      <c r="UK1" s="61"/>
      <c r="UL1" s="61"/>
      <c r="UM1" s="61"/>
      <c r="UN1" s="61"/>
      <c r="UO1" s="61"/>
      <c r="UP1" s="61"/>
      <c r="UQ1" s="61"/>
      <c r="UR1" s="61"/>
      <c r="US1" s="61"/>
      <c r="UT1" s="61"/>
      <c r="UU1" s="61"/>
      <c r="UV1" s="61"/>
      <c r="UW1" s="61"/>
      <c r="UX1" s="61"/>
      <c r="UY1" s="61"/>
      <c r="UZ1" s="61"/>
      <c r="VA1" s="61"/>
      <c r="VB1" s="61"/>
      <c r="VC1" s="61"/>
      <c r="VD1" s="61"/>
      <c r="VE1" s="61"/>
      <c r="VF1" s="61"/>
      <c r="VG1" s="61"/>
      <c r="VH1" s="61"/>
      <c r="VI1" s="61"/>
      <c r="VJ1" s="61"/>
      <c r="VK1" s="61"/>
      <c r="VL1" s="61"/>
      <c r="VM1" s="61"/>
      <c r="VN1" s="61"/>
      <c r="VO1" s="61"/>
      <c r="VP1" s="61"/>
      <c r="VQ1" s="61"/>
      <c r="VR1" s="61"/>
      <c r="VS1" s="61"/>
      <c r="VT1" s="61"/>
      <c r="VU1" s="61"/>
      <c r="VV1" s="61"/>
      <c r="VW1" s="61"/>
      <c r="VX1" s="61"/>
      <c r="VY1" s="61"/>
    </row>
    <row r="2" hidden="1">
      <c r="A2" s="185">
        <v>1.123163394E9</v>
      </c>
      <c r="B2" s="7" t="str">
        <f t="shared" ref="B2:B306" si="1">XLOOKUP(A2,G:G,H:H,"1",0,1)</f>
        <v>1</v>
      </c>
      <c r="C2" s="166" t="s">
        <v>1404</v>
      </c>
      <c r="D2" s="186"/>
      <c r="E2" s="186" t="s">
        <v>1102</v>
      </c>
      <c r="F2" s="166">
        <v>941.0</v>
      </c>
      <c r="G2" s="187"/>
      <c r="H2" s="120"/>
      <c r="I2" s="120"/>
    </row>
    <row r="3" hidden="1">
      <c r="A3" s="188">
        <v>1.163774215E9</v>
      </c>
      <c r="B3" s="14" t="str">
        <f t="shared" si="1"/>
        <v/>
      </c>
      <c r="C3" s="157" t="s">
        <v>1147</v>
      </c>
      <c r="D3" s="189" t="s">
        <v>1147</v>
      </c>
      <c r="E3" s="189" t="s">
        <v>1147</v>
      </c>
      <c r="F3" s="157" t="s">
        <v>1147</v>
      </c>
      <c r="G3" s="190">
        <v>1.163774215E9</v>
      </c>
      <c r="H3" s="120"/>
      <c r="I3" s="120"/>
    </row>
    <row r="4" hidden="1">
      <c r="A4" s="188">
        <v>1.16752305E9</v>
      </c>
      <c r="B4" s="7" t="str">
        <f t="shared" si="1"/>
        <v/>
      </c>
      <c r="C4" s="157" t="s">
        <v>1147</v>
      </c>
      <c r="D4" s="189" t="s">
        <v>1147</v>
      </c>
      <c r="E4" s="189" t="s">
        <v>1147</v>
      </c>
      <c r="F4" s="157" t="s">
        <v>1147</v>
      </c>
      <c r="G4" s="187">
        <v>1.16752305E9</v>
      </c>
      <c r="H4" s="120"/>
      <c r="I4" s="120"/>
    </row>
    <row r="5" hidden="1">
      <c r="A5" s="188">
        <v>1.127234134E9</v>
      </c>
      <c r="B5" s="14" t="str">
        <f t="shared" si="1"/>
        <v/>
      </c>
      <c r="C5" s="157" t="s">
        <v>1147</v>
      </c>
      <c r="D5" s="189" t="s">
        <v>1147</v>
      </c>
      <c r="E5" s="189" t="s">
        <v>1147</v>
      </c>
      <c r="F5" s="157" t="s">
        <v>1147</v>
      </c>
      <c r="G5" s="162">
        <v>1.127234134E9</v>
      </c>
    </row>
    <row r="6" hidden="1">
      <c r="A6" s="185">
        <v>1.126573366E9</v>
      </c>
      <c r="B6" s="7" t="str">
        <f t="shared" si="1"/>
        <v>1</v>
      </c>
      <c r="C6" s="166" t="s">
        <v>1443</v>
      </c>
      <c r="D6" s="186">
        <v>1953.0</v>
      </c>
      <c r="E6" s="186" t="s">
        <v>950</v>
      </c>
      <c r="F6" s="166">
        <v>1953.0</v>
      </c>
      <c r="G6" s="158"/>
    </row>
    <row r="7" hidden="1">
      <c r="A7" s="191">
        <v>1.168079311E9</v>
      </c>
      <c r="B7" s="14" t="str">
        <f t="shared" si="1"/>
        <v>1</v>
      </c>
      <c r="C7" s="14" t="s">
        <v>1536</v>
      </c>
      <c r="D7" s="14">
        <v>3167.0</v>
      </c>
      <c r="E7" s="189" t="s">
        <v>1147</v>
      </c>
      <c r="F7" s="157" t="s">
        <v>1147</v>
      </c>
      <c r="G7" s="162"/>
    </row>
    <row r="8" hidden="1">
      <c r="A8" s="192">
        <v>1.150540579E9</v>
      </c>
      <c r="B8" s="7" t="str">
        <f t="shared" si="1"/>
        <v>1</v>
      </c>
      <c r="C8" s="157" t="s">
        <v>1147</v>
      </c>
      <c r="D8" s="189" t="s">
        <v>1147</v>
      </c>
      <c r="E8" s="186" t="s">
        <v>1075</v>
      </c>
      <c r="F8" s="166">
        <v>3037.0</v>
      </c>
      <c r="G8" s="158"/>
    </row>
    <row r="9" hidden="1">
      <c r="A9" s="191">
        <v>1.125061863E9</v>
      </c>
      <c r="B9" s="14" t="str">
        <f t="shared" si="1"/>
        <v>1</v>
      </c>
      <c r="C9" s="161" t="s">
        <v>1366</v>
      </c>
      <c r="D9" s="193">
        <v>2473.0</v>
      </c>
      <c r="E9" s="189" t="s">
        <v>1147</v>
      </c>
      <c r="F9" s="157" t="s">
        <v>1147</v>
      </c>
      <c r="G9" s="162"/>
    </row>
    <row r="10" hidden="1">
      <c r="A10" s="192">
        <v>1.150272511E9</v>
      </c>
      <c r="B10" s="7" t="str">
        <f t="shared" si="1"/>
        <v>1</v>
      </c>
      <c r="C10" s="157" t="s">
        <v>1147</v>
      </c>
      <c r="D10" s="189" t="s">
        <v>1147</v>
      </c>
      <c r="E10" s="186" t="s">
        <v>1026</v>
      </c>
      <c r="F10" s="166">
        <v>2698.0</v>
      </c>
      <c r="G10" s="158"/>
    </row>
    <row r="11" hidden="1">
      <c r="A11" s="191">
        <v>1.166221098E9</v>
      </c>
      <c r="B11" s="14" t="str">
        <f t="shared" si="1"/>
        <v>1</v>
      </c>
      <c r="C11" s="157" t="s">
        <v>1147</v>
      </c>
      <c r="D11" s="189" t="s">
        <v>1147</v>
      </c>
      <c r="E11" s="189" t="s">
        <v>1147</v>
      </c>
      <c r="F11" s="157" t="s">
        <v>1147</v>
      </c>
      <c r="G11" s="162"/>
    </row>
    <row r="12" hidden="1">
      <c r="A12" s="185">
        <v>1.12467612E9</v>
      </c>
      <c r="B12" s="7" t="str">
        <f t="shared" si="1"/>
        <v>1</v>
      </c>
      <c r="C12" s="157" t="s">
        <v>1147</v>
      </c>
      <c r="D12" s="189" t="s">
        <v>1147</v>
      </c>
      <c r="E12" s="189" t="s">
        <v>1147</v>
      </c>
      <c r="F12" s="157" t="s">
        <v>1147</v>
      </c>
      <c r="G12" s="158"/>
    </row>
    <row r="13" hidden="1">
      <c r="A13" s="191">
        <v>1.150059942E9</v>
      </c>
      <c r="B13" s="14" t="str">
        <f t="shared" si="1"/>
        <v>1</v>
      </c>
      <c r="C13" s="157" t="s">
        <v>1147</v>
      </c>
      <c r="D13" s="189" t="s">
        <v>1147</v>
      </c>
      <c r="E13" s="189" t="s">
        <v>1147</v>
      </c>
      <c r="F13" s="157" t="s">
        <v>1147</v>
      </c>
      <c r="G13" s="162"/>
    </row>
    <row r="14" hidden="1">
      <c r="A14" s="192">
        <v>3.856098267E9</v>
      </c>
      <c r="B14" s="7" t="str">
        <f t="shared" si="1"/>
        <v>1</v>
      </c>
      <c r="C14" s="157" t="s">
        <v>1147</v>
      </c>
      <c r="D14" s="189" t="s">
        <v>1147</v>
      </c>
      <c r="E14" s="186" t="s">
        <v>1030</v>
      </c>
      <c r="F14" s="166">
        <v>2738.0</v>
      </c>
      <c r="G14" s="158"/>
    </row>
    <row r="15" hidden="1">
      <c r="A15" s="188">
        <v>1.154166856E9</v>
      </c>
      <c r="B15" s="14" t="str">
        <f t="shared" si="1"/>
        <v>1</v>
      </c>
      <c r="C15" s="157" t="s">
        <v>1147</v>
      </c>
      <c r="D15" s="189" t="s">
        <v>1147</v>
      </c>
      <c r="E15" s="189" t="s">
        <v>1147</v>
      </c>
      <c r="F15" s="157" t="s">
        <v>1147</v>
      </c>
      <c r="G15" s="162"/>
    </row>
    <row r="16" hidden="1">
      <c r="A16" s="185">
        <v>1.1265383E9</v>
      </c>
      <c r="B16" s="7" t="str">
        <f t="shared" si="1"/>
        <v>1</v>
      </c>
      <c r="C16" s="166" t="s">
        <v>1537</v>
      </c>
      <c r="D16" s="186">
        <v>232.0</v>
      </c>
      <c r="E16" s="186" t="s">
        <v>1100</v>
      </c>
      <c r="F16" s="166">
        <v>938.0</v>
      </c>
      <c r="G16" s="158"/>
    </row>
    <row r="17" hidden="1">
      <c r="A17" s="188">
        <v>1.128735242E9</v>
      </c>
      <c r="B17" s="14" t="str">
        <f t="shared" si="1"/>
        <v>1</v>
      </c>
      <c r="C17" s="157" t="s">
        <v>1147</v>
      </c>
      <c r="D17" s="189" t="s">
        <v>1147</v>
      </c>
      <c r="E17" s="189" t="s">
        <v>1147</v>
      </c>
      <c r="F17" s="157" t="s">
        <v>1147</v>
      </c>
      <c r="G17" s="162"/>
    </row>
    <row r="18" hidden="1">
      <c r="A18" s="188">
        <v>1.161711196E9</v>
      </c>
      <c r="B18" s="7" t="str">
        <f t="shared" si="1"/>
        <v>1</v>
      </c>
      <c r="C18" s="157" t="s">
        <v>1147</v>
      </c>
      <c r="D18" s="189" t="s">
        <v>1147</v>
      </c>
      <c r="E18" s="189" t="s">
        <v>1147</v>
      </c>
      <c r="F18" s="157" t="s">
        <v>1147</v>
      </c>
      <c r="G18" s="158"/>
    </row>
    <row r="19" hidden="1">
      <c r="A19" s="188">
        <v>1.151027307E9</v>
      </c>
      <c r="B19" s="14" t="str">
        <f t="shared" si="1"/>
        <v>1</v>
      </c>
      <c r="C19" s="157" t="s">
        <v>1147</v>
      </c>
      <c r="D19" s="189" t="s">
        <v>1147</v>
      </c>
      <c r="E19" s="189" t="s">
        <v>1147</v>
      </c>
      <c r="F19" s="157" t="s">
        <v>1147</v>
      </c>
      <c r="G19" s="162"/>
    </row>
    <row r="20" hidden="1">
      <c r="A20" s="188">
        <v>1.155765491E9</v>
      </c>
      <c r="B20" s="7" t="str">
        <f t="shared" si="1"/>
        <v>1</v>
      </c>
      <c r="C20" s="157" t="s">
        <v>1147</v>
      </c>
      <c r="D20" s="189" t="s">
        <v>1147</v>
      </c>
      <c r="E20" s="189" t="s">
        <v>1147</v>
      </c>
      <c r="F20" s="157" t="s">
        <v>1147</v>
      </c>
      <c r="G20" s="158"/>
    </row>
    <row r="21" hidden="1">
      <c r="A21" s="188">
        <v>1.136332503E9</v>
      </c>
      <c r="B21" s="14" t="str">
        <f t="shared" si="1"/>
        <v>1</v>
      </c>
      <c r="C21" s="157" t="s">
        <v>1147</v>
      </c>
      <c r="D21" s="189" t="s">
        <v>1147</v>
      </c>
      <c r="E21" s="189" t="s">
        <v>1147</v>
      </c>
      <c r="F21" s="157" t="s">
        <v>1147</v>
      </c>
      <c r="G21" s="162"/>
    </row>
    <row r="22" hidden="1">
      <c r="A22" s="188">
        <v>1.165588059E9</v>
      </c>
      <c r="B22" s="7" t="str">
        <f t="shared" si="1"/>
        <v>1</v>
      </c>
      <c r="C22" s="157" t="s">
        <v>1147</v>
      </c>
      <c r="D22" s="189" t="s">
        <v>1147</v>
      </c>
      <c r="E22" s="189" t="s">
        <v>1147</v>
      </c>
      <c r="F22" s="157" t="s">
        <v>1147</v>
      </c>
      <c r="G22" s="158"/>
    </row>
    <row r="23" hidden="1">
      <c r="A23" s="191">
        <v>1.156602116E9</v>
      </c>
      <c r="B23" s="14" t="str">
        <f t="shared" si="1"/>
        <v>1</v>
      </c>
      <c r="C23" s="157" t="s">
        <v>1147</v>
      </c>
      <c r="D23" s="189" t="s">
        <v>1147</v>
      </c>
      <c r="E23" s="193" t="s">
        <v>961</v>
      </c>
      <c r="F23" s="161">
        <v>2005.0</v>
      </c>
      <c r="G23" s="162"/>
    </row>
    <row r="24" hidden="1">
      <c r="A24" s="185">
        <v>1.161475869E9</v>
      </c>
      <c r="B24" s="7" t="str">
        <f t="shared" si="1"/>
        <v>1</v>
      </c>
      <c r="C24" s="157" t="s">
        <v>1147</v>
      </c>
      <c r="D24" s="189" t="s">
        <v>1147</v>
      </c>
      <c r="E24" s="186" t="s">
        <v>1011</v>
      </c>
      <c r="F24" s="166">
        <v>2479.0</v>
      </c>
      <c r="G24" s="158"/>
    </row>
    <row r="25" hidden="1">
      <c r="A25" s="191">
        <v>1.166665806E9</v>
      </c>
      <c r="B25" s="14" t="str">
        <f t="shared" si="1"/>
        <v>1</v>
      </c>
      <c r="C25" s="161" t="s">
        <v>1264</v>
      </c>
      <c r="D25" s="193">
        <v>1536.0</v>
      </c>
      <c r="E25" s="193" t="s">
        <v>911</v>
      </c>
      <c r="F25" s="161">
        <v>1536.0</v>
      </c>
      <c r="G25" s="162"/>
    </row>
    <row r="26" hidden="1">
      <c r="A26" s="188">
        <v>1.134395152E9</v>
      </c>
      <c r="B26" s="7" t="str">
        <f t="shared" si="1"/>
        <v>1</v>
      </c>
      <c r="C26" s="157" t="s">
        <v>1147</v>
      </c>
      <c r="D26" s="189" t="s">
        <v>1147</v>
      </c>
      <c r="E26" s="189" t="s">
        <v>1147</v>
      </c>
      <c r="F26" s="157" t="s">
        <v>1147</v>
      </c>
      <c r="G26" s="158"/>
    </row>
    <row r="27" hidden="1">
      <c r="A27" s="191">
        <v>1.158241004E9</v>
      </c>
      <c r="B27" s="14" t="str">
        <f t="shared" si="1"/>
        <v>1</v>
      </c>
      <c r="C27" s="157" t="s">
        <v>1147</v>
      </c>
      <c r="D27" s="189" t="s">
        <v>1147</v>
      </c>
      <c r="E27" s="193" t="s">
        <v>1014</v>
      </c>
      <c r="F27" s="161">
        <v>2487.0</v>
      </c>
      <c r="G27" s="162"/>
    </row>
    <row r="28" hidden="1">
      <c r="A28" s="185">
        <v>1.124302371E9</v>
      </c>
      <c r="B28" s="7" t="str">
        <f t="shared" si="1"/>
        <v>1</v>
      </c>
      <c r="C28" s="157" t="s">
        <v>1147</v>
      </c>
      <c r="D28" s="189" t="s">
        <v>1147</v>
      </c>
      <c r="E28" s="186" t="s">
        <v>881</v>
      </c>
      <c r="F28" s="166">
        <v>740.0</v>
      </c>
      <c r="G28" s="158"/>
    </row>
    <row r="29" hidden="1">
      <c r="A29" s="191">
        <v>1.165851734E9</v>
      </c>
      <c r="B29" s="14" t="str">
        <f t="shared" si="1"/>
        <v>1</v>
      </c>
      <c r="C29" s="161" t="s">
        <v>1538</v>
      </c>
      <c r="D29" s="193"/>
      <c r="E29" s="189" t="s">
        <v>1147</v>
      </c>
      <c r="F29" s="157" t="s">
        <v>1147</v>
      </c>
      <c r="G29" s="162"/>
    </row>
    <row r="30" hidden="1">
      <c r="A30" s="185">
        <v>1.139308395E9</v>
      </c>
      <c r="B30" s="7" t="str">
        <f t="shared" si="1"/>
        <v>1</v>
      </c>
      <c r="C30" s="157" t="s">
        <v>1147</v>
      </c>
      <c r="D30" s="189" t="s">
        <v>1147</v>
      </c>
      <c r="E30" s="189" t="s">
        <v>1147</v>
      </c>
      <c r="F30" s="157" t="s">
        <v>1147</v>
      </c>
      <c r="G30" s="158"/>
    </row>
    <row r="31" hidden="1">
      <c r="A31" s="191">
        <v>2.255620898E9</v>
      </c>
      <c r="B31" s="14" t="str">
        <f t="shared" si="1"/>
        <v>1</v>
      </c>
      <c r="C31" s="157" t="s">
        <v>1147</v>
      </c>
      <c r="D31" s="189" t="s">
        <v>1147</v>
      </c>
      <c r="E31" s="193" t="s">
        <v>1032</v>
      </c>
      <c r="F31" s="161">
        <v>2741.0</v>
      </c>
      <c r="G31" s="162"/>
    </row>
    <row r="32" hidden="1">
      <c r="A32" s="185">
        <v>1.161619314E9</v>
      </c>
      <c r="B32" s="7" t="str">
        <f t="shared" si="1"/>
        <v>1</v>
      </c>
      <c r="C32" s="166" t="s">
        <v>1539</v>
      </c>
      <c r="D32" s="186"/>
      <c r="E32" s="189" t="s">
        <v>1147</v>
      </c>
      <c r="F32" s="157" t="s">
        <v>1147</v>
      </c>
      <c r="G32" s="158"/>
    </row>
    <row r="33" hidden="1">
      <c r="A33" s="191">
        <v>1.14406997E9</v>
      </c>
      <c r="B33" s="14" t="str">
        <f t="shared" si="1"/>
        <v>1</v>
      </c>
      <c r="C33" s="157" t="s">
        <v>1147</v>
      </c>
      <c r="D33" s="189" t="s">
        <v>1147</v>
      </c>
      <c r="E33" s="193" t="s">
        <v>1104</v>
      </c>
      <c r="F33" s="161">
        <v>2753.0</v>
      </c>
      <c r="G33" s="162"/>
    </row>
    <row r="34" hidden="1">
      <c r="A34" s="188">
        <v>1.125078637E9</v>
      </c>
      <c r="B34" s="7" t="str">
        <f t="shared" si="1"/>
        <v>1</v>
      </c>
      <c r="C34" s="157" t="s">
        <v>1147</v>
      </c>
      <c r="D34" s="189" t="s">
        <v>1147</v>
      </c>
      <c r="E34" s="189" t="s">
        <v>1147</v>
      </c>
      <c r="F34" s="157" t="s">
        <v>1147</v>
      </c>
      <c r="G34" s="158"/>
    </row>
    <row r="35" hidden="1">
      <c r="A35" s="191">
        <v>1.122973101E9</v>
      </c>
      <c r="B35" s="14" t="str">
        <f t="shared" si="1"/>
        <v>1</v>
      </c>
      <c r="C35" s="157" t="s">
        <v>1147</v>
      </c>
      <c r="D35" s="189" t="s">
        <v>1147</v>
      </c>
      <c r="E35" s="193" t="s">
        <v>938</v>
      </c>
      <c r="F35" s="161">
        <v>1768.0</v>
      </c>
      <c r="G35" s="162"/>
    </row>
    <row r="36" hidden="1">
      <c r="A36" s="185">
        <v>1.128666648E9</v>
      </c>
      <c r="B36" s="7" t="str">
        <f t="shared" si="1"/>
        <v>1</v>
      </c>
      <c r="C36" s="166" t="s">
        <v>1338</v>
      </c>
      <c r="D36" s="186">
        <v>754.0</v>
      </c>
      <c r="E36" s="186" t="s">
        <v>883</v>
      </c>
      <c r="F36" s="166">
        <v>754.0</v>
      </c>
      <c r="G36" s="158"/>
    </row>
    <row r="37" hidden="1">
      <c r="A37" s="188">
        <v>1.155048462E9</v>
      </c>
      <c r="B37" s="14" t="str">
        <f t="shared" si="1"/>
        <v>1</v>
      </c>
      <c r="C37" s="157" t="s">
        <v>1147</v>
      </c>
      <c r="D37" s="189" t="s">
        <v>1147</v>
      </c>
      <c r="E37" s="189" t="s">
        <v>1147</v>
      </c>
      <c r="F37" s="157" t="s">
        <v>1147</v>
      </c>
      <c r="G37" s="162"/>
    </row>
    <row r="38" hidden="1">
      <c r="A38" s="188">
        <v>1.170580789E9</v>
      </c>
      <c r="B38" s="7" t="str">
        <f t="shared" si="1"/>
        <v>1</v>
      </c>
      <c r="C38" s="157" t="s">
        <v>1147</v>
      </c>
      <c r="D38" s="189" t="s">
        <v>1147</v>
      </c>
      <c r="E38" s="189" t="s">
        <v>1147</v>
      </c>
      <c r="F38" s="157" t="s">
        <v>1147</v>
      </c>
      <c r="G38" s="158"/>
    </row>
    <row r="39" hidden="1">
      <c r="A39" s="188">
        <v>3.364523518E9</v>
      </c>
      <c r="B39" s="14" t="str">
        <f t="shared" si="1"/>
        <v>1</v>
      </c>
      <c r="C39" s="157" t="s">
        <v>1147</v>
      </c>
      <c r="D39" s="189" t="s">
        <v>1147</v>
      </c>
      <c r="E39" s="189" t="s">
        <v>1147</v>
      </c>
      <c r="F39" s="157" t="s">
        <v>1147</v>
      </c>
      <c r="G39" s="162"/>
    </row>
    <row r="40" hidden="1">
      <c r="A40" s="188">
        <v>1.130422362E9</v>
      </c>
      <c r="B40" s="7" t="str">
        <f t="shared" si="1"/>
        <v>1</v>
      </c>
      <c r="C40" s="157" t="s">
        <v>1147</v>
      </c>
      <c r="D40" s="189" t="s">
        <v>1147</v>
      </c>
      <c r="E40" s="189" t="s">
        <v>1147</v>
      </c>
      <c r="F40" s="157" t="s">
        <v>1147</v>
      </c>
      <c r="G40" s="158"/>
    </row>
    <row r="41" hidden="1">
      <c r="A41" s="188">
        <v>3.888674454E9</v>
      </c>
      <c r="B41" s="14" t="str">
        <f t="shared" si="1"/>
        <v>1</v>
      </c>
      <c r="C41" s="157" t="s">
        <v>1147</v>
      </c>
      <c r="D41" s="189" t="s">
        <v>1147</v>
      </c>
      <c r="E41" s="189" t="s">
        <v>1147</v>
      </c>
      <c r="F41" s="157" t="s">
        <v>1147</v>
      </c>
      <c r="G41" s="162"/>
    </row>
    <row r="42" hidden="1">
      <c r="A42" s="188">
        <v>1.124729723E9</v>
      </c>
      <c r="B42" s="7" t="str">
        <f t="shared" si="1"/>
        <v>1</v>
      </c>
      <c r="C42" s="157" t="s">
        <v>1147</v>
      </c>
      <c r="D42" s="189" t="s">
        <v>1147</v>
      </c>
      <c r="E42" s="189" t="s">
        <v>1147</v>
      </c>
      <c r="F42" s="157" t="s">
        <v>1147</v>
      </c>
      <c r="G42" s="158"/>
    </row>
    <row r="43" hidden="1">
      <c r="A43" s="191">
        <v>1.157802702E9</v>
      </c>
      <c r="B43" s="14" t="str">
        <f t="shared" si="1"/>
        <v>1</v>
      </c>
      <c r="C43" s="161" t="s">
        <v>1420</v>
      </c>
      <c r="D43" s="193">
        <v>1978.0</v>
      </c>
      <c r="E43" s="189" t="s">
        <v>1147</v>
      </c>
      <c r="F43" s="157" t="s">
        <v>1147</v>
      </c>
      <c r="G43" s="162"/>
    </row>
    <row r="44" hidden="1">
      <c r="A44" s="188">
        <v>1.133833531E9</v>
      </c>
      <c r="B44" s="7" t="str">
        <f t="shared" si="1"/>
        <v>1</v>
      </c>
      <c r="C44" s="157" t="s">
        <v>1147</v>
      </c>
      <c r="D44" s="189" t="s">
        <v>1147</v>
      </c>
      <c r="E44" s="189" t="s">
        <v>1147</v>
      </c>
      <c r="F44" s="157" t="s">
        <v>1147</v>
      </c>
      <c r="G44" s="158"/>
    </row>
    <row r="45" hidden="1">
      <c r="A45" s="188">
        <v>1.168842817E9</v>
      </c>
      <c r="B45" s="14" t="str">
        <f t="shared" si="1"/>
        <v>1</v>
      </c>
      <c r="C45" s="157" t="s">
        <v>1147</v>
      </c>
      <c r="D45" s="189" t="s">
        <v>1147</v>
      </c>
      <c r="E45" s="189" t="s">
        <v>1147</v>
      </c>
      <c r="F45" s="157" t="s">
        <v>1147</v>
      </c>
      <c r="G45" s="162"/>
    </row>
    <row r="46" hidden="1">
      <c r="A46" s="188">
        <v>1.123567199E9</v>
      </c>
      <c r="B46" s="7" t="str">
        <f t="shared" si="1"/>
        <v>1</v>
      </c>
      <c r="C46" s="157" t="s">
        <v>1147</v>
      </c>
      <c r="D46" s="189" t="s">
        <v>1147</v>
      </c>
      <c r="E46" s="189" t="s">
        <v>1147</v>
      </c>
      <c r="F46" s="157" t="s">
        <v>1147</v>
      </c>
      <c r="G46" s="158"/>
    </row>
    <row r="47" hidden="1">
      <c r="A47" s="191">
        <v>1.125526045E9</v>
      </c>
      <c r="B47" s="14" t="str">
        <f t="shared" si="1"/>
        <v>1</v>
      </c>
      <c r="C47" s="161" t="s">
        <v>1315</v>
      </c>
      <c r="D47" s="193">
        <v>2891.0</v>
      </c>
      <c r="E47" s="189" t="s">
        <v>1147</v>
      </c>
      <c r="F47" s="157" t="s">
        <v>1147</v>
      </c>
      <c r="G47" s="162"/>
    </row>
    <row r="48" hidden="1">
      <c r="A48" s="188">
        <v>1.167028705E9</v>
      </c>
      <c r="B48" s="7" t="str">
        <f t="shared" si="1"/>
        <v>1</v>
      </c>
      <c r="C48" s="157" t="s">
        <v>1147</v>
      </c>
      <c r="D48" s="189" t="s">
        <v>1147</v>
      </c>
      <c r="E48" s="189" t="s">
        <v>1147</v>
      </c>
      <c r="F48" s="157" t="s">
        <v>1147</v>
      </c>
      <c r="G48" s="158"/>
    </row>
    <row r="49" hidden="1">
      <c r="A49" s="188">
        <v>1.126217143E9</v>
      </c>
      <c r="B49" s="14" t="str">
        <f t="shared" si="1"/>
        <v>1</v>
      </c>
      <c r="C49" s="157" t="s">
        <v>1147</v>
      </c>
      <c r="D49" s="189" t="s">
        <v>1147</v>
      </c>
      <c r="E49" s="189" t="s">
        <v>1147</v>
      </c>
      <c r="F49" s="157" t="s">
        <v>1147</v>
      </c>
      <c r="G49" s="162"/>
    </row>
    <row r="50" hidden="1">
      <c r="A50" s="188">
        <v>1.169176566E9</v>
      </c>
      <c r="B50" s="7" t="str">
        <f t="shared" si="1"/>
        <v>1</v>
      </c>
      <c r="C50" s="157" t="s">
        <v>1147</v>
      </c>
      <c r="D50" s="189" t="s">
        <v>1147</v>
      </c>
      <c r="E50" s="189" t="s">
        <v>1147</v>
      </c>
      <c r="F50" s="157" t="s">
        <v>1147</v>
      </c>
      <c r="G50" s="158"/>
    </row>
    <row r="51" hidden="1">
      <c r="A51" s="191">
        <v>1.162059625E9</v>
      </c>
      <c r="B51" s="14" t="str">
        <f t="shared" si="1"/>
        <v>1</v>
      </c>
      <c r="C51" s="161" t="s">
        <v>1540</v>
      </c>
      <c r="D51" s="193">
        <v>1957.0</v>
      </c>
      <c r="E51" s="189" t="s">
        <v>1147</v>
      </c>
      <c r="F51" s="157" t="s">
        <v>1147</v>
      </c>
      <c r="G51" s="162"/>
    </row>
    <row r="52" hidden="1">
      <c r="A52" s="188">
        <v>1.131179622E9</v>
      </c>
      <c r="B52" s="7" t="str">
        <f t="shared" si="1"/>
        <v>1</v>
      </c>
      <c r="C52" s="157" t="s">
        <v>1147</v>
      </c>
      <c r="D52" s="189" t="s">
        <v>1147</v>
      </c>
      <c r="E52" s="189" t="s">
        <v>1147</v>
      </c>
      <c r="F52" s="157" t="s">
        <v>1147</v>
      </c>
      <c r="G52" s="158"/>
    </row>
    <row r="53" hidden="1">
      <c r="A53" s="191">
        <v>1.134039809E9</v>
      </c>
      <c r="B53" s="14" t="str">
        <f t="shared" si="1"/>
        <v>1</v>
      </c>
      <c r="C53" s="161" t="s">
        <v>1273</v>
      </c>
      <c r="D53" s="193">
        <v>450.0</v>
      </c>
      <c r="E53" s="189" t="s">
        <v>1147</v>
      </c>
      <c r="F53" s="157" t="s">
        <v>1147</v>
      </c>
      <c r="G53" s="162"/>
    </row>
    <row r="54" hidden="1">
      <c r="A54" s="188">
        <v>1.139126799E9</v>
      </c>
      <c r="B54" s="7" t="str">
        <f t="shared" si="1"/>
        <v>1</v>
      </c>
      <c r="C54" s="157" t="s">
        <v>1147</v>
      </c>
      <c r="D54" s="189" t="s">
        <v>1147</v>
      </c>
      <c r="E54" s="189" t="s">
        <v>1147</v>
      </c>
      <c r="F54" s="157" t="s">
        <v>1147</v>
      </c>
      <c r="G54" s="158"/>
    </row>
    <row r="55" hidden="1">
      <c r="A55" s="191">
        <v>1.1381749E9</v>
      </c>
      <c r="B55" s="14" t="str">
        <f t="shared" si="1"/>
        <v>1</v>
      </c>
      <c r="C55" s="161" t="s">
        <v>1377</v>
      </c>
      <c r="D55" s="193">
        <v>1850.0</v>
      </c>
      <c r="E55" s="189" t="s">
        <v>1147</v>
      </c>
      <c r="F55" s="157" t="s">
        <v>1147</v>
      </c>
      <c r="G55" s="162"/>
    </row>
    <row r="56" hidden="1">
      <c r="A56" s="188">
        <v>1.137772867E9</v>
      </c>
      <c r="B56" s="7" t="str">
        <f t="shared" si="1"/>
        <v>1</v>
      </c>
      <c r="C56" s="157" t="s">
        <v>1147</v>
      </c>
      <c r="D56" s="189" t="s">
        <v>1147</v>
      </c>
      <c r="E56" s="189" t="s">
        <v>1147</v>
      </c>
      <c r="F56" s="157" t="s">
        <v>1147</v>
      </c>
      <c r="G56" s="158"/>
    </row>
    <row r="57" hidden="1">
      <c r="A57" s="191">
        <v>1.126744764E9</v>
      </c>
      <c r="B57" s="14" t="str">
        <f t="shared" si="1"/>
        <v>1</v>
      </c>
      <c r="C57" s="157" t="s">
        <v>1147</v>
      </c>
      <c r="D57" s="189" t="s">
        <v>1147</v>
      </c>
      <c r="E57" s="193" t="s">
        <v>1047</v>
      </c>
      <c r="F57" s="161">
        <v>2849.0</v>
      </c>
      <c r="G57" s="162"/>
    </row>
    <row r="58" hidden="1">
      <c r="A58" s="188">
        <v>1.155951274E9</v>
      </c>
      <c r="B58" s="7" t="str">
        <f t="shared" si="1"/>
        <v>1</v>
      </c>
      <c r="C58" s="157" t="s">
        <v>1147</v>
      </c>
      <c r="D58" s="189" t="s">
        <v>1147</v>
      </c>
      <c r="E58" s="189" t="s">
        <v>1147</v>
      </c>
      <c r="F58" s="157" t="s">
        <v>1147</v>
      </c>
      <c r="G58" s="158"/>
    </row>
    <row r="59" hidden="1">
      <c r="A59" s="191">
        <v>1.150235407E9</v>
      </c>
      <c r="B59" s="14" t="str">
        <f t="shared" si="1"/>
        <v>1</v>
      </c>
      <c r="C59" s="157" t="s">
        <v>1147</v>
      </c>
      <c r="D59" s="189" t="s">
        <v>1147</v>
      </c>
      <c r="E59" s="193" t="s">
        <v>1042</v>
      </c>
      <c r="F59" s="161">
        <v>2785.0</v>
      </c>
      <c r="G59" s="162"/>
    </row>
    <row r="60" hidden="1">
      <c r="A60" s="185">
        <v>1.128788904E9</v>
      </c>
      <c r="B60" s="7" t="str">
        <f t="shared" si="1"/>
        <v>1</v>
      </c>
      <c r="C60" s="166" t="s">
        <v>1282</v>
      </c>
      <c r="D60" s="186">
        <v>2166.0</v>
      </c>
      <c r="E60" s="186" t="s">
        <v>979</v>
      </c>
      <c r="F60" s="166">
        <v>2166.0</v>
      </c>
      <c r="G60" s="158"/>
    </row>
    <row r="61" hidden="1">
      <c r="A61" s="191">
        <v>1.165018528E9</v>
      </c>
      <c r="B61" s="14" t="str">
        <f t="shared" si="1"/>
        <v>1</v>
      </c>
      <c r="C61" s="157" t="s">
        <v>1147</v>
      </c>
      <c r="D61" s="189" t="s">
        <v>1147</v>
      </c>
      <c r="E61" s="193" t="s">
        <v>975</v>
      </c>
      <c r="F61" s="161">
        <v>2137.0</v>
      </c>
      <c r="G61" s="162"/>
    </row>
    <row r="62" hidden="1">
      <c r="A62" s="188">
        <v>1.160388596E9</v>
      </c>
      <c r="B62" s="7" t="str">
        <f t="shared" si="1"/>
        <v>1</v>
      </c>
      <c r="C62" s="157" t="s">
        <v>1147</v>
      </c>
      <c r="D62" s="189" t="s">
        <v>1147</v>
      </c>
      <c r="E62" s="189" t="s">
        <v>1147</v>
      </c>
      <c r="F62" s="157" t="s">
        <v>1147</v>
      </c>
      <c r="G62" s="158"/>
    </row>
    <row r="63" hidden="1">
      <c r="A63" s="191">
        <v>1.126691233E9</v>
      </c>
      <c r="B63" s="14" t="str">
        <f t="shared" si="1"/>
        <v>1</v>
      </c>
      <c r="C63" s="161" t="s">
        <v>1344</v>
      </c>
      <c r="D63" s="193">
        <v>1644.0</v>
      </c>
      <c r="E63" s="189" t="s">
        <v>1147</v>
      </c>
      <c r="F63" s="157" t="s">
        <v>1147</v>
      </c>
      <c r="G63" s="162"/>
    </row>
    <row r="64" hidden="1">
      <c r="A64" s="188">
        <v>1.168863734E9</v>
      </c>
      <c r="B64" s="7" t="str">
        <f t="shared" si="1"/>
        <v>1</v>
      </c>
      <c r="C64" s="157" t="s">
        <v>1147</v>
      </c>
      <c r="D64" s="189" t="s">
        <v>1147</v>
      </c>
      <c r="E64" s="189" t="s">
        <v>1147</v>
      </c>
      <c r="F64" s="157" t="s">
        <v>1147</v>
      </c>
      <c r="G64" s="158"/>
    </row>
    <row r="65" hidden="1">
      <c r="A65" s="188">
        <v>1.136655216E9</v>
      </c>
      <c r="B65" s="14" t="str">
        <f t="shared" si="1"/>
        <v>1</v>
      </c>
      <c r="C65" s="157" t="s">
        <v>1147</v>
      </c>
      <c r="D65" s="189" t="s">
        <v>1147</v>
      </c>
      <c r="E65" s="189" t="s">
        <v>1147</v>
      </c>
      <c r="F65" s="157" t="s">
        <v>1147</v>
      </c>
      <c r="G65" s="162"/>
    </row>
    <row r="66" hidden="1">
      <c r="A66" s="188">
        <v>1.151116343E9</v>
      </c>
      <c r="B66" s="7" t="str">
        <f t="shared" si="1"/>
        <v>1</v>
      </c>
      <c r="C66" s="157" t="s">
        <v>1147</v>
      </c>
      <c r="D66" s="189" t="s">
        <v>1147</v>
      </c>
      <c r="E66" s="189" t="s">
        <v>1147</v>
      </c>
      <c r="F66" s="157" t="s">
        <v>1147</v>
      </c>
      <c r="G66" s="158"/>
    </row>
    <row r="67" hidden="1">
      <c r="A67" s="188">
        <v>1.1708144E9</v>
      </c>
      <c r="B67" s="14" t="str">
        <f t="shared" si="1"/>
        <v>1</v>
      </c>
      <c r="C67" s="157" t="s">
        <v>1147</v>
      </c>
      <c r="D67" s="189" t="s">
        <v>1147</v>
      </c>
      <c r="E67" s="189" t="s">
        <v>1147</v>
      </c>
      <c r="F67" s="157" t="s">
        <v>1147</v>
      </c>
      <c r="G67" s="162"/>
    </row>
    <row r="68" hidden="1">
      <c r="A68" s="188">
        <v>1.168248732E9</v>
      </c>
      <c r="B68" s="7" t="str">
        <f t="shared" si="1"/>
        <v>1</v>
      </c>
      <c r="C68" s="157" t="s">
        <v>1147</v>
      </c>
      <c r="D68" s="189" t="s">
        <v>1147</v>
      </c>
      <c r="E68" s="189" t="s">
        <v>1147</v>
      </c>
      <c r="F68" s="157" t="s">
        <v>1147</v>
      </c>
      <c r="G68" s="158"/>
    </row>
    <row r="69" hidden="1">
      <c r="A69" s="188">
        <v>1.149144788E9</v>
      </c>
      <c r="B69" s="14" t="str">
        <f t="shared" si="1"/>
        <v>1</v>
      </c>
      <c r="C69" s="157" t="s">
        <v>1147</v>
      </c>
      <c r="D69" s="189" t="s">
        <v>1147</v>
      </c>
      <c r="E69" s="189" t="s">
        <v>1147</v>
      </c>
      <c r="F69" s="157" t="s">
        <v>1147</v>
      </c>
      <c r="G69" s="162"/>
    </row>
    <row r="70" hidden="1">
      <c r="A70" s="188">
        <v>1.156140759E9</v>
      </c>
      <c r="B70" s="7" t="str">
        <f t="shared" si="1"/>
        <v>1</v>
      </c>
      <c r="C70" s="157" t="s">
        <v>1147</v>
      </c>
      <c r="D70" s="189" t="s">
        <v>1147</v>
      </c>
      <c r="E70" s="189" t="s">
        <v>1147</v>
      </c>
      <c r="F70" s="157" t="s">
        <v>1147</v>
      </c>
      <c r="G70" s="158"/>
    </row>
    <row r="71" hidden="1">
      <c r="A71" s="188">
        <v>1.138205959E9</v>
      </c>
      <c r="B71" s="14" t="str">
        <f t="shared" si="1"/>
        <v>1</v>
      </c>
      <c r="C71" s="157" t="s">
        <v>1147</v>
      </c>
      <c r="D71" s="189" t="s">
        <v>1147</v>
      </c>
      <c r="E71" s="189" t="s">
        <v>1147</v>
      </c>
      <c r="F71" s="157" t="s">
        <v>1147</v>
      </c>
      <c r="G71" s="162"/>
    </row>
    <row r="72" hidden="1">
      <c r="A72" s="188">
        <v>1.124077352E9</v>
      </c>
      <c r="B72" s="7" t="str">
        <f t="shared" si="1"/>
        <v>1</v>
      </c>
      <c r="C72" s="157" t="s">
        <v>1147</v>
      </c>
      <c r="D72" s="189" t="s">
        <v>1147</v>
      </c>
      <c r="E72" s="189" t="s">
        <v>1147</v>
      </c>
      <c r="F72" s="157" t="s">
        <v>1147</v>
      </c>
      <c r="G72" s="158"/>
    </row>
    <row r="73" hidden="1">
      <c r="A73" s="188">
        <v>1.140963528E9</v>
      </c>
      <c r="B73" s="14" t="str">
        <f t="shared" si="1"/>
        <v>1</v>
      </c>
      <c r="C73" s="157" t="s">
        <v>1147</v>
      </c>
      <c r="D73" s="189" t="s">
        <v>1147</v>
      </c>
      <c r="E73" s="189" t="s">
        <v>1147</v>
      </c>
      <c r="F73" s="157" t="s">
        <v>1147</v>
      </c>
      <c r="G73" s="162"/>
    </row>
    <row r="74" hidden="1">
      <c r="A74" s="185">
        <v>1.127487823E9</v>
      </c>
      <c r="B74" s="7" t="str">
        <f t="shared" si="1"/>
        <v>1</v>
      </c>
      <c r="C74" s="166" t="s">
        <v>1453</v>
      </c>
      <c r="D74" s="186">
        <v>3033.0</v>
      </c>
      <c r="E74" s="189" t="s">
        <v>1147</v>
      </c>
      <c r="F74" s="157" t="s">
        <v>1147</v>
      </c>
      <c r="G74" s="158"/>
    </row>
    <row r="75" hidden="1">
      <c r="A75" s="188">
        <v>1.152203337E9</v>
      </c>
      <c r="B75" s="14" t="str">
        <f t="shared" si="1"/>
        <v>1</v>
      </c>
      <c r="C75" s="157" t="s">
        <v>1147</v>
      </c>
      <c r="D75" s="189" t="s">
        <v>1147</v>
      </c>
      <c r="E75" s="189" t="s">
        <v>1147</v>
      </c>
      <c r="F75" s="157" t="s">
        <v>1147</v>
      </c>
      <c r="G75" s="162"/>
    </row>
    <row r="76" hidden="1">
      <c r="A76" s="188">
        <v>1.135806495E9</v>
      </c>
      <c r="B76" s="7" t="str">
        <f t="shared" si="1"/>
        <v>1</v>
      </c>
      <c r="C76" s="157" t="s">
        <v>1147</v>
      </c>
      <c r="D76" s="189" t="s">
        <v>1147</v>
      </c>
      <c r="E76" s="189" t="s">
        <v>1147</v>
      </c>
      <c r="F76" s="157" t="s">
        <v>1147</v>
      </c>
      <c r="G76" s="158"/>
    </row>
    <row r="77" hidden="1">
      <c r="A77" s="191">
        <v>1.171661108E9</v>
      </c>
      <c r="B77" s="14" t="str">
        <f t="shared" si="1"/>
        <v>1</v>
      </c>
      <c r="C77" s="161" t="s">
        <v>1477</v>
      </c>
      <c r="D77" s="193">
        <v>1674.0</v>
      </c>
      <c r="E77" s="189" t="s">
        <v>1147</v>
      </c>
      <c r="F77" s="157" t="s">
        <v>1147</v>
      </c>
      <c r="G77" s="162"/>
    </row>
    <row r="78" hidden="1">
      <c r="A78" s="185">
        <v>1.136311327E9</v>
      </c>
      <c r="B78" s="7" t="str">
        <f t="shared" si="1"/>
        <v>1</v>
      </c>
      <c r="C78" s="157" t="s">
        <v>1147</v>
      </c>
      <c r="D78" s="189" t="s">
        <v>1147</v>
      </c>
      <c r="E78" s="186" t="s">
        <v>1098</v>
      </c>
      <c r="F78" s="166">
        <v>3240.0</v>
      </c>
      <c r="G78" s="158"/>
    </row>
    <row r="79" hidden="1">
      <c r="A79" s="188">
        <v>1.144078886E9</v>
      </c>
      <c r="B79" s="14" t="str">
        <f t="shared" si="1"/>
        <v>1</v>
      </c>
      <c r="C79" s="157" t="s">
        <v>1147</v>
      </c>
      <c r="D79" s="189" t="s">
        <v>1147</v>
      </c>
      <c r="E79" s="189" t="s">
        <v>1147</v>
      </c>
      <c r="F79" s="157" t="s">
        <v>1147</v>
      </c>
      <c r="G79" s="162"/>
    </row>
    <row r="80" hidden="1">
      <c r="A80" s="188">
        <v>1.123840443E9</v>
      </c>
      <c r="B80" s="7" t="str">
        <f t="shared" si="1"/>
        <v>1</v>
      </c>
      <c r="C80" s="157" t="s">
        <v>1147</v>
      </c>
      <c r="D80" s="189" t="s">
        <v>1147</v>
      </c>
      <c r="E80" s="189" t="s">
        <v>1147</v>
      </c>
      <c r="F80" s="157" t="s">
        <v>1147</v>
      </c>
      <c r="G80" s="158"/>
    </row>
    <row r="81" hidden="1">
      <c r="A81" s="188">
        <v>1.138238839E9</v>
      </c>
      <c r="B81" s="14" t="str">
        <f t="shared" si="1"/>
        <v>1</v>
      </c>
      <c r="C81" s="157" t="s">
        <v>1147</v>
      </c>
      <c r="D81" s="189" t="s">
        <v>1147</v>
      </c>
      <c r="E81" s="189" t="s">
        <v>1147</v>
      </c>
      <c r="F81" s="157" t="s">
        <v>1147</v>
      </c>
      <c r="G81" s="162"/>
    </row>
    <row r="82" hidden="1">
      <c r="A82" s="188">
        <v>1.165491429E9</v>
      </c>
      <c r="B82" s="7" t="str">
        <f t="shared" si="1"/>
        <v>1</v>
      </c>
      <c r="C82" s="157" t="s">
        <v>1147</v>
      </c>
      <c r="D82" s="189" t="s">
        <v>1147</v>
      </c>
      <c r="E82" s="189" t="s">
        <v>1147</v>
      </c>
      <c r="F82" s="157" t="s">
        <v>1147</v>
      </c>
      <c r="G82" s="158"/>
    </row>
    <row r="83" hidden="1">
      <c r="A83" s="191">
        <v>1.141697938E9</v>
      </c>
      <c r="B83" s="14" t="str">
        <f t="shared" si="1"/>
        <v>1</v>
      </c>
      <c r="C83" s="161" t="s">
        <v>1333</v>
      </c>
      <c r="D83" s="193">
        <v>1931.0</v>
      </c>
      <c r="E83" s="193" t="s">
        <v>948</v>
      </c>
      <c r="F83" s="161">
        <v>1931.0</v>
      </c>
      <c r="G83" s="162"/>
    </row>
    <row r="84" hidden="1">
      <c r="A84" s="185">
        <v>1.161566965E9</v>
      </c>
      <c r="B84" s="7" t="str">
        <f t="shared" si="1"/>
        <v>1</v>
      </c>
      <c r="C84" s="166" t="s">
        <v>1541</v>
      </c>
      <c r="D84" s="186"/>
      <c r="E84" s="189" t="s">
        <v>1147</v>
      </c>
      <c r="F84" s="157" t="s">
        <v>1147</v>
      </c>
      <c r="G84" s="158"/>
    </row>
    <row r="85" hidden="1">
      <c r="A85" s="191">
        <v>1.164500022E9</v>
      </c>
      <c r="B85" s="14" t="str">
        <f t="shared" si="1"/>
        <v>1</v>
      </c>
      <c r="C85" s="157" t="s">
        <v>1147</v>
      </c>
      <c r="D85" s="189" t="s">
        <v>1147</v>
      </c>
      <c r="E85" s="189" t="s">
        <v>1147</v>
      </c>
      <c r="F85" s="157" t="s">
        <v>1147</v>
      </c>
      <c r="G85" s="162"/>
    </row>
    <row r="86" hidden="1">
      <c r="A86" s="185">
        <v>1.131986676E9</v>
      </c>
      <c r="B86" s="7" t="str">
        <f t="shared" si="1"/>
        <v>1</v>
      </c>
      <c r="C86" s="157" t="s">
        <v>1147</v>
      </c>
      <c r="D86" s="189" t="s">
        <v>1147</v>
      </c>
      <c r="E86" s="186" t="s">
        <v>1003</v>
      </c>
      <c r="F86" s="166">
        <v>2379.0</v>
      </c>
      <c r="G86" s="158"/>
    </row>
    <row r="87" hidden="1">
      <c r="A87" s="191">
        <v>1.164594789E9</v>
      </c>
      <c r="B87" s="14" t="str">
        <f t="shared" si="1"/>
        <v>1</v>
      </c>
      <c r="C87" s="157" t="s">
        <v>1147</v>
      </c>
      <c r="D87" s="189" t="s">
        <v>1147</v>
      </c>
      <c r="E87" s="189" t="s">
        <v>1147</v>
      </c>
      <c r="F87" s="157" t="s">
        <v>1147</v>
      </c>
      <c r="G87" s="162"/>
    </row>
    <row r="88" hidden="1">
      <c r="A88" s="185">
        <v>1.161898428E9</v>
      </c>
      <c r="B88" s="7" t="str">
        <f t="shared" si="1"/>
        <v>1</v>
      </c>
      <c r="C88" s="157" t="s">
        <v>1147</v>
      </c>
      <c r="D88" s="189" t="s">
        <v>1147</v>
      </c>
      <c r="E88" s="189" t="s">
        <v>1147</v>
      </c>
      <c r="F88" s="157" t="s">
        <v>1147</v>
      </c>
      <c r="G88" s="158"/>
    </row>
    <row r="89" hidden="1">
      <c r="A89" s="191">
        <v>1.169071195E9</v>
      </c>
      <c r="B89" s="14" t="str">
        <f t="shared" si="1"/>
        <v>1</v>
      </c>
      <c r="C89" s="161" t="s">
        <v>1335</v>
      </c>
      <c r="D89" s="193">
        <v>2458.0</v>
      </c>
      <c r="E89" s="189" t="s">
        <v>1147</v>
      </c>
      <c r="F89" s="157" t="s">
        <v>1147</v>
      </c>
      <c r="G89" s="162"/>
    </row>
    <row r="90" hidden="1">
      <c r="A90" s="185">
        <v>1.122633161E9</v>
      </c>
      <c r="B90" s="7" t="str">
        <f t="shared" si="1"/>
        <v>1</v>
      </c>
      <c r="C90" s="157" t="s">
        <v>1147</v>
      </c>
      <c r="D90" s="189" t="s">
        <v>1147</v>
      </c>
      <c r="E90" s="186" t="s">
        <v>999</v>
      </c>
      <c r="F90" s="166">
        <v>2355.0</v>
      </c>
      <c r="G90" s="158"/>
    </row>
    <row r="91" hidden="1">
      <c r="A91" s="191">
        <v>1.154983632E9</v>
      </c>
      <c r="B91" s="14" t="str">
        <f t="shared" si="1"/>
        <v>1</v>
      </c>
      <c r="C91" s="161" t="s">
        <v>1355</v>
      </c>
      <c r="D91" s="193">
        <v>1984.0</v>
      </c>
      <c r="E91" s="189" t="s">
        <v>1147</v>
      </c>
      <c r="F91" s="157" t="s">
        <v>1147</v>
      </c>
      <c r="G91" s="162"/>
    </row>
    <row r="92" hidden="1">
      <c r="A92" s="185">
        <v>1.153205634E9</v>
      </c>
      <c r="B92" s="7" t="str">
        <f t="shared" si="1"/>
        <v>1</v>
      </c>
      <c r="C92" s="166" t="s">
        <v>1542</v>
      </c>
      <c r="D92" s="186"/>
      <c r="E92" s="186" t="s">
        <v>1028</v>
      </c>
      <c r="F92" s="166">
        <v>2737.0</v>
      </c>
      <c r="G92" s="158"/>
    </row>
    <row r="93" hidden="1">
      <c r="A93" s="191">
        <v>1.138279435E9</v>
      </c>
      <c r="B93" s="14" t="str">
        <f t="shared" si="1"/>
        <v>1</v>
      </c>
      <c r="C93" s="157" t="s">
        <v>1147</v>
      </c>
      <c r="D93" s="189" t="s">
        <v>1147</v>
      </c>
      <c r="E93" s="193" t="s">
        <v>1023</v>
      </c>
      <c r="F93" s="161">
        <v>2660.0</v>
      </c>
      <c r="G93" s="162"/>
    </row>
    <row r="94" hidden="1">
      <c r="A94" s="188">
        <v>1.14085533E9</v>
      </c>
      <c r="B94" s="7" t="str">
        <f t="shared" si="1"/>
        <v>1</v>
      </c>
      <c r="C94" s="157" t="s">
        <v>1147</v>
      </c>
      <c r="D94" s="189" t="s">
        <v>1147</v>
      </c>
      <c r="E94" s="189" t="s">
        <v>1147</v>
      </c>
      <c r="F94" s="157" t="s">
        <v>1147</v>
      </c>
      <c r="G94" s="158"/>
    </row>
    <row r="95" hidden="1">
      <c r="A95" s="191">
        <v>1.127445232E9</v>
      </c>
      <c r="B95" s="14" t="str">
        <f t="shared" si="1"/>
        <v>1</v>
      </c>
      <c r="C95" s="161" t="s">
        <v>1300</v>
      </c>
      <c r="D95" s="193">
        <v>2746.0</v>
      </c>
      <c r="E95" s="193" t="s">
        <v>1036</v>
      </c>
      <c r="F95" s="161">
        <v>2746.0</v>
      </c>
      <c r="G95" s="162"/>
    </row>
    <row r="96" hidden="1">
      <c r="A96" s="188">
        <v>1.124551493E9</v>
      </c>
      <c r="B96" s="7" t="str">
        <f t="shared" si="1"/>
        <v>1</v>
      </c>
      <c r="C96" s="157" t="s">
        <v>1147</v>
      </c>
      <c r="D96" s="189" t="s">
        <v>1147</v>
      </c>
      <c r="E96" s="189" t="s">
        <v>1147</v>
      </c>
      <c r="F96" s="157" t="s">
        <v>1147</v>
      </c>
      <c r="G96" s="158"/>
    </row>
    <row r="97" hidden="1">
      <c r="A97" s="191">
        <v>1.127276399E9</v>
      </c>
      <c r="B97" s="14" t="str">
        <f t="shared" si="1"/>
        <v>1</v>
      </c>
      <c r="C97" s="161" t="s">
        <v>1468</v>
      </c>
      <c r="D97" s="193">
        <v>1776.0</v>
      </c>
      <c r="E97" s="189" t="s">
        <v>1147</v>
      </c>
      <c r="F97" s="157" t="s">
        <v>1147</v>
      </c>
      <c r="G97" s="162"/>
    </row>
    <row r="98" hidden="1">
      <c r="A98" s="185">
        <v>1.131269652E9</v>
      </c>
      <c r="B98" s="7" t="str">
        <f t="shared" si="1"/>
        <v>1</v>
      </c>
      <c r="C98" s="166" t="s">
        <v>1431</v>
      </c>
      <c r="D98" s="186">
        <v>3199.0</v>
      </c>
      <c r="E98" s="186" t="s">
        <v>1093</v>
      </c>
      <c r="F98" s="166">
        <v>3199.0</v>
      </c>
      <c r="G98" s="158"/>
    </row>
    <row r="99" hidden="1">
      <c r="A99" s="192">
        <v>1.12719178E9</v>
      </c>
      <c r="B99" s="14" t="str">
        <f t="shared" si="1"/>
        <v>1</v>
      </c>
      <c r="C99" s="157" t="s">
        <v>1147</v>
      </c>
      <c r="D99" s="189" t="s">
        <v>1147</v>
      </c>
      <c r="E99" s="193" t="s">
        <v>1059</v>
      </c>
      <c r="F99" s="161">
        <v>2914.0</v>
      </c>
      <c r="G99" s="162"/>
    </row>
    <row r="100" hidden="1">
      <c r="A100" s="188">
        <v>1.161387543E9</v>
      </c>
      <c r="B100" s="7" t="str">
        <f t="shared" si="1"/>
        <v>1</v>
      </c>
      <c r="C100" s="157" t="s">
        <v>1147</v>
      </c>
      <c r="D100" s="189" t="s">
        <v>1147</v>
      </c>
      <c r="E100" s="189" t="s">
        <v>1147</v>
      </c>
      <c r="F100" s="157" t="s">
        <v>1147</v>
      </c>
      <c r="G100" s="158"/>
    </row>
    <row r="101" hidden="1">
      <c r="A101" s="188">
        <v>1.12280964E9</v>
      </c>
      <c r="B101" s="14" t="str">
        <f t="shared" si="1"/>
        <v>1</v>
      </c>
      <c r="C101" s="157" t="s">
        <v>1147</v>
      </c>
      <c r="D101" s="189" t="s">
        <v>1147</v>
      </c>
      <c r="E101" s="189" t="s">
        <v>1147</v>
      </c>
      <c r="F101" s="157" t="s">
        <v>1147</v>
      </c>
      <c r="G101" s="162"/>
    </row>
    <row r="102" hidden="1">
      <c r="A102" s="188">
        <v>1.157412628E9</v>
      </c>
      <c r="B102" s="7" t="str">
        <f t="shared" si="1"/>
        <v>1</v>
      </c>
      <c r="C102" s="157" t="s">
        <v>1147</v>
      </c>
      <c r="D102" s="189" t="s">
        <v>1147</v>
      </c>
      <c r="E102" s="189" t="s">
        <v>1147</v>
      </c>
      <c r="F102" s="157" t="s">
        <v>1147</v>
      </c>
      <c r="G102" s="158"/>
    </row>
    <row r="103" hidden="1">
      <c r="A103" s="191">
        <v>1.134858925E9</v>
      </c>
      <c r="B103" s="14" t="str">
        <f t="shared" si="1"/>
        <v>1</v>
      </c>
      <c r="C103" s="161" t="s">
        <v>1314</v>
      </c>
      <c r="D103" s="193">
        <v>1923.0</v>
      </c>
      <c r="E103" s="189" t="s">
        <v>1147</v>
      </c>
      <c r="F103" s="157" t="s">
        <v>1147</v>
      </c>
      <c r="G103" s="162"/>
    </row>
    <row r="104" hidden="1">
      <c r="A104" s="185">
        <v>1.162777192E9</v>
      </c>
      <c r="B104" s="7" t="str">
        <f t="shared" si="1"/>
        <v>1</v>
      </c>
      <c r="C104" s="166" t="s">
        <v>1271</v>
      </c>
      <c r="D104" s="186">
        <v>1736.0</v>
      </c>
      <c r="E104" s="186" t="s">
        <v>932</v>
      </c>
      <c r="F104" s="166">
        <v>1736.0</v>
      </c>
      <c r="G104" s="158"/>
    </row>
    <row r="105" hidden="1">
      <c r="A105" s="191">
        <v>1.131236961E9</v>
      </c>
      <c r="B105" s="14" t="str">
        <f t="shared" si="1"/>
        <v>1</v>
      </c>
      <c r="C105" s="161" t="s">
        <v>1299</v>
      </c>
      <c r="D105" s="193">
        <v>2406.0</v>
      </c>
      <c r="E105" s="189" t="s">
        <v>1147</v>
      </c>
      <c r="F105" s="157" t="s">
        <v>1147</v>
      </c>
      <c r="G105" s="162"/>
    </row>
    <row r="106" hidden="1">
      <c r="A106" s="188">
        <v>1.140399276E9</v>
      </c>
      <c r="B106" s="7" t="str">
        <f t="shared" si="1"/>
        <v>1</v>
      </c>
      <c r="C106" s="157" t="s">
        <v>1147</v>
      </c>
      <c r="D106" s="189" t="s">
        <v>1147</v>
      </c>
      <c r="E106" s="189" t="s">
        <v>1147</v>
      </c>
      <c r="F106" s="157" t="s">
        <v>1147</v>
      </c>
      <c r="G106" s="158"/>
    </row>
    <row r="107" hidden="1">
      <c r="A107" s="191">
        <v>1.125475896E9</v>
      </c>
      <c r="B107" s="14" t="str">
        <f t="shared" si="1"/>
        <v>1</v>
      </c>
      <c r="C107" s="161" t="s">
        <v>1349</v>
      </c>
      <c r="D107" s="193">
        <v>1645.0</v>
      </c>
      <c r="E107" s="193" t="s">
        <v>920</v>
      </c>
      <c r="F107" s="161">
        <v>1645.0</v>
      </c>
      <c r="G107" s="162"/>
    </row>
    <row r="108" hidden="1">
      <c r="A108" s="185">
        <v>1.130677874E9</v>
      </c>
      <c r="B108" s="7" t="str">
        <f t="shared" si="1"/>
        <v>1</v>
      </c>
      <c r="C108" s="166" t="s">
        <v>1543</v>
      </c>
      <c r="D108" s="186">
        <v>2657.0</v>
      </c>
      <c r="E108" s="189" t="s">
        <v>1147</v>
      </c>
      <c r="F108" s="157" t="s">
        <v>1147</v>
      </c>
      <c r="G108" s="158"/>
    </row>
    <row r="109" hidden="1">
      <c r="A109" s="188">
        <v>1.131105685E9</v>
      </c>
      <c r="B109" s="14" t="str">
        <f t="shared" si="1"/>
        <v>1</v>
      </c>
      <c r="C109" s="157" t="s">
        <v>1147</v>
      </c>
      <c r="D109" s="189" t="s">
        <v>1147</v>
      </c>
      <c r="E109" s="189" t="s">
        <v>1147</v>
      </c>
      <c r="F109" s="157" t="s">
        <v>1147</v>
      </c>
      <c r="G109" s="162"/>
    </row>
    <row r="110" hidden="1">
      <c r="A110" s="185">
        <v>1.164555605E9</v>
      </c>
      <c r="B110" s="7" t="str">
        <f t="shared" si="1"/>
        <v>1</v>
      </c>
      <c r="C110" s="157" t="s">
        <v>1147</v>
      </c>
      <c r="D110" s="189" t="s">
        <v>1147</v>
      </c>
      <c r="E110" s="186" t="s">
        <v>1084</v>
      </c>
      <c r="F110" s="166">
        <v>3131.0</v>
      </c>
      <c r="G110" s="158"/>
    </row>
    <row r="111" hidden="1">
      <c r="A111" s="188">
        <v>1.123032183E9</v>
      </c>
      <c r="B111" s="14" t="str">
        <f t="shared" si="1"/>
        <v>1</v>
      </c>
      <c r="C111" s="157" t="s">
        <v>1147</v>
      </c>
      <c r="D111" s="189" t="s">
        <v>1147</v>
      </c>
      <c r="E111" s="189" t="s">
        <v>1147</v>
      </c>
      <c r="F111" s="157" t="s">
        <v>1147</v>
      </c>
      <c r="G111" s="162"/>
    </row>
    <row r="112" hidden="1">
      <c r="A112" s="185">
        <v>1.168768011E9</v>
      </c>
      <c r="B112" s="7" t="str">
        <f t="shared" si="1"/>
        <v>1</v>
      </c>
      <c r="C112" s="166" t="s">
        <v>1412</v>
      </c>
      <c r="D112" s="186">
        <v>1944.0</v>
      </c>
      <c r="E112" s="189" t="s">
        <v>1147</v>
      </c>
      <c r="F112" s="157" t="s">
        <v>1147</v>
      </c>
      <c r="G112" s="158"/>
    </row>
    <row r="113" hidden="1">
      <c r="A113" s="191">
        <v>1.124676665E9</v>
      </c>
      <c r="B113" s="14" t="str">
        <f t="shared" si="1"/>
        <v>1</v>
      </c>
      <c r="C113" s="161" t="s">
        <v>1544</v>
      </c>
      <c r="D113" s="193"/>
      <c r="E113" s="189" t="s">
        <v>1147</v>
      </c>
      <c r="F113" s="157" t="s">
        <v>1147</v>
      </c>
      <c r="G113" s="162"/>
    </row>
    <row r="114" hidden="1">
      <c r="A114" s="185">
        <v>1.164297376E9</v>
      </c>
      <c r="B114" s="7" t="str">
        <f t="shared" si="1"/>
        <v>1</v>
      </c>
      <c r="C114" s="166" t="s">
        <v>1340</v>
      </c>
      <c r="D114" s="186">
        <v>2776.0</v>
      </c>
      <c r="E114" s="186" t="s">
        <v>1040</v>
      </c>
      <c r="F114" s="166">
        <v>2776.0</v>
      </c>
      <c r="G114" s="158"/>
    </row>
    <row r="115" hidden="1">
      <c r="A115" s="191">
        <v>1.151781882E9</v>
      </c>
      <c r="B115" s="14" t="str">
        <f t="shared" si="1"/>
        <v>1</v>
      </c>
      <c r="C115" s="161" t="s">
        <v>1331</v>
      </c>
      <c r="D115" s="193">
        <v>2450.0</v>
      </c>
      <c r="E115" s="189" t="s">
        <v>1147</v>
      </c>
      <c r="F115" s="157" t="s">
        <v>1147</v>
      </c>
      <c r="G115" s="162"/>
    </row>
    <row r="116" hidden="1">
      <c r="A116" s="188">
        <v>1.139545887E9</v>
      </c>
      <c r="B116" s="7" t="str">
        <f t="shared" si="1"/>
        <v>1</v>
      </c>
      <c r="C116" s="157" t="s">
        <v>1147</v>
      </c>
      <c r="D116" s="189" t="s">
        <v>1147</v>
      </c>
      <c r="E116" s="189" t="s">
        <v>1147</v>
      </c>
      <c r="F116" s="157" t="s">
        <v>1147</v>
      </c>
      <c r="G116" s="158"/>
    </row>
    <row r="117" hidden="1">
      <c r="A117" s="191">
        <v>1.155668681E9</v>
      </c>
      <c r="B117" s="14" t="str">
        <f t="shared" si="1"/>
        <v>1</v>
      </c>
      <c r="C117" s="157" t="s">
        <v>1147</v>
      </c>
      <c r="D117" s="189" t="s">
        <v>1147</v>
      </c>
      <c r="E117" s="189" t="s">
        <v>1147</v>
      </c>
      <c r="F117" s="157" t="s">
        <v>1147</v>
      </c>
      <c r="G117" s="162"/>
    </row>
    <row r="118" hidden="1">
      <c r="A118" s="185">
        <v>1.136269477E9</v>
      </c>
      <c r="B118" s="7" t="str">
        <f t="shared" si="1"/>
        <v>1</v>
      </c>
      <c r="C118" s="166" t="s">
        <v>1387</v>
      </c>
      <c r="D118" s="186">
        <v>1326.0</v>
      </c>
      <c r="E118" s="189" t="s">
        <v>1147</v>
      </c>
      <c r="F118" s="157" t="s">
        <v>1147</v>
      </c>
      <c r="G118" s="158"/>
    </row>
    <row r="119" hidden="1">
      <c r="A119" s="188">
        <v>1.141783733E9</v>
      </c>
      <c r="B119" s="14" t="str">
        <f t="shared" si="1"/>
        <v>1</v>
      </c>
      <c r="C119" s="157" t="s">
        <v>1147</v>
      </c>
      <c r="D119" s="189" t="s">
        <v>1147</v>
      </c>
      <c r="E119" s="189" t="s">
        <v>1147</v>
      </c>
      <c r="F119" s="157" t="s">
        <v>1147</v>
      </c>
      <c r="G119" s="162"/>
    </row>
    <row r="120" hidden="1">
      <c r="A120" s="188">
        <v>1.153867754E9</v>
      </c>
      <c r="B120" s="7" t="str">
        <f t="shared" si="1"/>
        <v>1</v>
      </c>
      <c r="C120" s="157" t="s">
        <v>1147</v>
      </c>
      <c r="D120" s="189" t="s">
        <v>1147</v>
      </c>
      <c r="E120" s="189" t="s">
        <v>1147</v>
      </c>
      <c r="F120" s="157" t="s">
        <v>1147</v>
      </c>
      <c r="G120" s="158"/>
    </row>
    <row r="121" hidden="1">
      <c r="A121" s="191">
        <v>1.163746095E9</v>
      </c>
      <c r="B121" s="14" t="str">
        <f t="shared" si="1"/>
        <v>1</v>
      </c>
      <c r="C121" s="161" t="s">
        <v>1446</v>
      </c>
      <c r="D121" s="193">
        <v>2680.0</v>
      </c>
      <c r="E121" s="189" t="s">
        <v>1147</v>
      </c>
      <c r="F121" s="157" t="s">
        <v>1147</v>
      </c>
      <c r="G121" s="162"/>
    </row>
    <row r="122" hidden="1">
      <c r="A122" s="188">
        <v>1.153784627E9</v>
      </c>
      <c r="B122" s="7" t="str">
        <f t="shared" si="1"/>
        <v>1</v>
      </c>
      <c r="C122" s="157" t="s">
        <v>1147</v>
      </c>
      <c r="D122" s="189" t="s">
        <v>1147</v>
      </c>
      <c r="E122" s="189" t="s">
        <v>1147</v>
      </c>
      <c r="F122" s="157" t="s">
        <v>1147</v>
      </c>
      <c r="G122" s="158"/>
    </row>
    <row r="123" hidden="1">
      <c r="A123" s="191">
        <v>1.124936411E9</v>
      </c>
      <c r="B123" s="14" t="str">
        <f t="shared" si="1"/>
        <v>1</v>
      </c>
      <c r="C123" s="161" t="s">
        <v>1379</v>
      </c>
      <c r="D123" s="193">
        <v>909.0</v>
      </c>
      <c r="E123" s="193" t="s">
        <v>891</v>
      </c>
      <c r="F123" s="161">
        <v>909.0</v>
      </c>
      <c r="G123" s="162"/>
    </row>
    <row r="124" hidden="1">
      <c r="A124" s="185">
        <v>1.168314085E9</v>
      </c>
      <c r="B124" s="7" t="str">
        <f t="shared" si="1"/>
        <v>1</v>
      </c>
      <c r="C124" s="166" t="s">
        <v>1545</v>
      </c>
      <c r="D124" s="186"/>
      <c r="E124" s="189" t="s">
        <v>1147</v>
      </c>
      <c r="F124" s="157" t="s">
        <v>1147</v>
      </c>
      <c r="G124" s="158"/>
    </row>
    <row r="125" hidden="1">
      <c r="A125" s="188">
        <v>1.162711679E9</v>
      </c>
      <c r="B125" s="14" t="str">
        <f t="shared" si="1"/>
        <v>1</v>
      </c>
      <c r="C125" s="157" t="s">
        <v>1147</v>
      </c>
      <c r="D125" s="189" t="s">
        <v>1147</v>
      </c>
      <c r="E125" s="189" t="s">
        <v>1147</v>
      </c>
      <c r="F125" s="157" t="s">
        <v>1147</v>
      </c>
      <c r="G125" s="162"/>
    </row>
    <row r="126" hidden="1">
      <c r="A126" s="185">
        <v>1.12547893E9</v>
      </c>
      <c r="B126" s="7" t="str">
        <f t="shared" si="1"/>
        <v>1</v>
      </c>
      <c r="C126" s="166" t="s">
        <v>1373</v>
      </c>
      <c r="D126" s="186">
        <v>2793.0</v>
      </c>
      <c r="E126" s="189" t="s">
        <v>1147</v>
      </c>
      <c r="F126" s="157" t="s">
        <v>1147</v>
      </c>
      <c r="G126" s="158"/>
    </row>
    <row r="127" hidden="1">
      <c r="A127" s="188">
        <v>1.138609116E9</v>
      </c>
      <c r="B127" s="14" t="str">
        <f t="shared" si="1"/>
        <v>1</v>
      </c>
      <c r="C127" s="157" t="s">
        <v>1147</v>
      </c>
      <c r="D127" s="189" t="s">
        <v>1147</v>
      </c>
      <c r="E127" s="189" t="s">
        <v>1147</v>
      </c>
      <c r="F127" s="157" t="s">
        <v>1147</v>
      </c>
      <c r="G127" s="162"/>
    </row>
    <row r="128" hidden="1">
      <c r="A128" s="185">
        <v>1.176525294E9</v>
      </c>
      <c r="B128" s="7" t="str">
        <f t="shared" si="1"/>
        <v>1</v>
      </c>
      <c r="C128" s="166" t="s">
        <v>1385</v>
      </c>
      <c r="D128" s="186">
        <v>1410.0</v>
      </c>
      <c r="E128" s="189" t="s">
        <v>1147</v>
      </c>
      <c r="F128" s="157" t="s">
        <v>1147</v>
      </c>
      <c r="G128" s="158"/>
    </row>
    <row r="129" hidden="1">
      <c r="A129" s="191">
        <v>1.165037377E9</v>
      </c>
      <c r="B129" s="14" t="str">
        <f t="shared" si="1"/>
        <v>1</v>
      </c>
      <c r="C129" s="161" t="s">
        <v>1464</v>
      </c>
      <c r="D129" s="193">
        <v>1023.0</v>
      </c>
      <c r="E129" s="193" t="s">
        <v>900</v>
      </c>
      <c r="F129" s="161">
        <v>1023.0</v>
      </c>
      <c r="G129" s="162"/>
    </row>
    <row r="130" hidden="1">
      <c r="A130" s="188">
        <v>1.171181676E9</v>
      </c>
      <c r="B130" s="7" t="str">
        <f t="shared" si="1"/>
        <v>1</v>
      </c>
      <c r="C130" s="157" t="s">
        <v>1147</v>
      </c>
      <c r="D130" s="189" t="s">
        <v>1147</v>
      </c>
      <c r="E130" s="189" t="s">
        <v>1147</v>
      </c>
      <c r="F130" s="157" t="s">
        <v>1147</v>
      </c>
      <c r="G130" s="158"/>
    </row>
    <row r="131" hidden="1">
      <c r="A131" s="191">
        <v>1.165637812E9</v>
      </c>
      <c r="B131" s="14" t="str">
        <f t="shared" si="1"/>
        <v>1</v>
      </c>
      <c r="C131" s="157" t="s">
        <v>1147</v>
      </c>
      <c r="D131" s="189" t="s">
        <v>1147</v>
      </c>
      <c r="E131" s="189" t="s">
        <v>1147</v>
      </c>
      <c r="F131" s="157" t="s">
        <v>1147</v>
      </c>
      <c r="G131" s="162"/>
    </row>
    <row r="132" hidden="1">
      <c r="A132" s="185">
        <v>1.12395707E9</v>
      </c>
      <c r="B132" s="7" t="str">
        <f t="shared" si="1"/>
        <v>1</v>
      </c>
      <c r="C132" s="166" t="s">
        <v>1455</v>
      </c>
      <c r="D132" s="186">
        <v>1004.0</v>
      </c>
      <c r="E132" s="189" t="s">
        <v>1147</v>
      </c>
      <c r="F132" s="157" t="s">
        <v>1147</v>
      </c>
      <c r="G132" s="158"/>
    </row>
    <row r="133" hidden="1">
      <c r="A133" s="188">
        <v>1.125793302E9</v>
      </c>
      <c r="B133" s="14" t="str">
        <f t="shared" si="1"/>
        <v>1</v>
      </c>
      <c r="C133" s="157" t="s">
        <v>1147</v>
      </c>
      <c r="D133" s="189" t="s">
        <v>1147</v>
      </c>
      <c r="E133" s="189" t="s">
        <v>1147</v>
      </c>
      <c r="F133" s="157" t="s">
        <v>1147</v>
      </c>
      <c r="G133" s="162"/>
    </row>
    <row r="134" hidden="1">
      <c r="A134" s="188">
        <v>1.124069682E9</v>
      </c>
      <c r="B134" s="7" t="str">
        <f t="shared" si="1"/>
        <v>1</v>
      </c>
      <c r="C134" s="157" t="s">
        <v>1147</v>
      </c>
      <c r="D134" s="189" t="s">
        <v>1147</v>
      </c>
      <c r="E134" s="189" t="s">
        <v>1147</v>
      </c>
      <c r="F134" s="157" t="s">
        <v>1147</v>
      </c>
      <c r="G134" s="158"/>
    </row>
    <row r="135" hidden="1">
      <c r="A135" s="194" t="s">
        <v>1546</v>
      </c>
      <c r="B135" s="14" t="str">
        <f t="shared" si="1"/>
        <v>1</v>
      </c>
      <c r="C135" s="157" t="s">
        <v>1147</v>
      </c>
      <c r="D135" s="189" t="s">
        <v>1147</v>
      </c>
      <c r="E135" s="189" t="s">
        <v>1147</v>
      </c>
      <c r="F135" s="157" t="s">
        <v>1147</v>
      </c>
      <c r="G135" s="162"/>
    </row>
    <row r="136" hidden="1">
      <c r="A136" s="188">
        <v>1.144790227E9</v>
      </c>
      <c r="B136" s="7" t="str">
        <f t="shared" si="1"/>
        <v>1</v>
      </c>
      <c r="C136" s="157" t="s">
        <v>1147</v>
      </c>
      <c r="D136" s="189" t="s">
        <v>1147</v>
      </c>
      <c r="E136" s="189" t="s">
        <v>1147</v>
      </c>
      <c r="F136" s="157" t="s">
        <v>1147</v>
      </c>
      <c r="G136" s="158"/>
    </row>
    <row r="137" hidden="1">
      <c r="A137" s="191">
        <v>1.160531098E9</v>
      </c>
      <c r="B137" s="14" t="str">
        <f t="shared" si="1"/>
        <v>1</v>
      </c>
      <c r="C137" s="161" t="s">
        <v>1268</v>
      </c>
      <c r="D137" s="193">
        <v>180.0</v>
      </c>
      <c r="E137" s="193" t="s">
        <v>863</v>
      </c>
      <c r="F137" s="161">
        <v>180.0</v>
      </c>
      <c r="G137" s="162"/>
    </row>
    <row r="138" hidden="1">
      <c r="A138" s="188">
        <v>1.127806869E9</v>
      </c>
      <c r="B138" s="7" t="str">
        <f t="shared" si="1"/>
        <v>1</v>
      </c>
      <c r="C138" s="157" t="s">
        <v>1147</v>
      </c>
      <c r="D138" s="189" t="s">
        <v>1147</v>
      </c>
      <c r="E138" s="189" t="s">
        <v>1147</v>
      </c>
      <c r="F138" s="157" t="s">
        <v>1147</v>
      </c>
      <c r="G138" s="158"/>
    </row>
    <row r="139" hidden="1">
      <c r="A139" s="191">
        <v>1.151415767E9</v>
      </c>
      <c r="B139" s="14" t="str">
        <f t="shared" si="1"/>
        <v>1</v>
      </c>
      <c r="C139" s="157" t="s">
        <v>1147</v>
      </c>
      <c r="D139" s="189" t="s">
        <v>1147</v>
      </c>
      <c r="E139" s="193" t="s">
        <v>972</v>
      </c>
      <c r="F139" s="161">
        <v>2136.0</v>
      </c>
      <c r="G139" s="162"/>
    </row>
    <row r="140" hidden="1">
      <c r="A140" s="188">
        <v>1.126429082E9</v>
      </c>
      <c r="B140" s="7" t="str">
        <f t="shared" si="1"/>
        <v>1</v>
      </c>
      <c r="C140" s="157" t="s">
        <v>1147</v>
      </c>
      <c r="D140" s="189" t="s">
        <v>1147</v>
      </c>
      <c r="E140" s="189" t="s">
        <v>1147</v>
      </c>
      <c r="F140" s="157" t="s">
        <v>1147</v>
      </c>
      <c r="G140" s="158"/>
    </row>
    <row r="141" hidden="1">
      <c r="A141" s="191">
        <v>1.138863933E9</v>
      </c>
      <c r="B141" s="14" t="str">
        <f t="shared" si="1"/>
        <v>1</v>
      </c>
      <c r="C141" s="161" t="s">
        <v>1267</v>
      </c>
      <c r="D141" s="193">
        <v>996.0</v>
      </c>
      <c r="E141" s="193" t="s">
        <v>896</v>
      </c>
      <c r="F141" s="161">
        <v>996.0</v>
      </c>
      <c r="G141" s="162"/>
    </row>
    <row r="142" hidden="1">
      <c r="A142" s="188">
        <v>1.166061997E9</v>
      </c>
      <c r="B142" s="7" t="str">
        <f t="shared" si="1"/>
        <v>1</v>
      </c>
      <c r="C142" s="157" t="s">
        <v>1147</v>
      </c>
      <c r="D142" s="189" t="s">
        <v>1147</v>
      </c>
      <c r="E142" s="189" t="s">
        <v>1147</v>
      </c>
      <c r="F142" s="157" t="s">
        <v>1147</v>
      </c>
      <c r="G142" s="158"/>
    </row>
    <row r="143" hidden="1">
      <c r="A143" s="188">
        <v>1.154757538E9</v>
      </c>
      <c r="B143" s="14" t="str">
        <f t="shared" si="1"/>
        <v>1</v>
      </c>
      <c r="C143" s="157" t="s">
        <v>1147</v>
      </c>
      <c r="D143" s="189" t="s">
        <v>1147</v>
      </c>
      <c r="E143" s="189" t="s">
        <v>1147</v>
      </c>
      <c r="F143" s="157" t="s">
        <v>1147</v>
      </c>
      <c r="G143" s="162"/>
    </row>
    <row r="144" hidden="1">
      <c r="A144" s="188">
        <v>1.123741831E9</v>
      </c>
      <c r="B144" s="7" t="str">
        <f t="shared" si="1"/>
        <v>1</v>
      </c>
      <c r="C144" s="157" t="s">
        <v>1147</v>
      </c>
      <c r="D144" s="189" t="s">
        <v>1147</v>
      </c>
      <c r="E144" s="189" t="s">
        <v>1147</v>
      </c>
      <c r="F144" s="157" t="s">
        <v>1147</v>
      </c>
      <c r="G144" s="158"/>
    </row>
    <row r="145" hidden="1">
      <c r="A145" s="188">
        <v>1.154169265E9</v>
      </c>
      <c r="B145" s="14" t="str">
        <f t="shared" si="1"/>
        <v>1</v>
      </c>
      <c r="C145" s="157" t="s">
        <v>1147</v>
      </c>
      <c r="D145" s="189" t="s">
        <v>1147</v>
      </c>
      <c r="E145" s="189" t="s">
        <v>1147</v>
      </c>
      <c r="F145" s="157" t="s">
        <v>1147</v>
      </c>
      <c r="G145" s="162"/>
    </row>
    <row r="146" hidden="1">
      <c r="A146" s="188">
        <v>1.154687658E9</v>
      </c>
      <c r="B146" s="7" t="str">
        <f t="shared" si="1"/>
        <v>1</v>
      </c>
      <c r="C146" s="157" t="s">
        <v>1147</v>
      </c>
      <c r="D146" s="189" t="s">
        <v>1147</v>
      </c>
      <c r="E146" s="189" t="s">
        <v>1147</v>
      </c>
      <c r="F146" s="157" t="s">
        <v>1147</v>
      </c>
      <c r="G146" s="158"/>
    </row>
    <row r="147" hidden="1">
      <c r="A147" s="188">
        <v>1.165736948E9</v>
      </c>
      <c r="B147" s="14" t="str">
        <f t="shared" si="1"/>
        <v>1</v>
      </c>
      <c r="C147" s="157" t="s">
        <v>1147</v>
      </c>
      <c r="D147" s="189" t="s">
        <v>1147</v>
      </c>
      <c r="E147" s="189" t="s">
        <v>1147</v>
      </c>
      <c r="F147" s="157" t="s">
        <v>1147</v>
      </c>
      <c r="G147" s="162"/>
    </row>
    <row r="148" hidden="1">
      <c r="A148" s="188">
        <v>1.151383435E9</v>
      </c>
      <c r="B148" s="7" t="str">
        <f t="shared" si="1"/>
        <v>1</v>
      </c>
      <c r="C148" s="157" t="s">
        <v>1147</v>
      </c>
      <c r="D148" s="189" t="s">
        <v>1147</v>
      </c>
      <c r="E148" s="189" t="s">
        <v>1147</v>
      </c>
      <c r="F148" s="157" t="s">
        <v>1147</v>
      </c>
      <c r="G148" s="158"/>
    </row>
    <row r="149" hidden="1">
      <c r="A149" s="191">
        <v>1.151065312E9</v>
      </c>
      <c r="B149" s="14" t="str">
        <f t="shared" si="1"/>
        <v>1</v>
      </c>
      <c r="C149" s="161" t="s">
        <v>1398</v>
      </c>
      <c r="D149" s="193">
        <v>1989.0</v>
      </c>
      <c r="E149" s="193" t="s">
        <v>958</v>
      </c>
      <c r="F149" s="161">
        <v>1989.0</v>
      </c>
      <c r="G149" s="162"/>
    </row>
    <row r="150" hidden="1">
      <c r="A150" s="185">
        <v>1.15620154E9</v>
      </c>
      <c r="B150" s="7" t="str">
        <f t="shared" si="1"/>
        <v>1</v>
      </c>
      <c r="C150" s="166" t="s">
        <v>1396</v>
      </c>
      <c r="D150" s="186">
        <v>1873.0</v>
      </c>
      <c r="E150" s="186" t="s">
        <v>943</v>
      </c>
      <c r="F150" s="166">
        <v>1873.0</v>
      </c>
      <c r="G150" s="158"/>
    </row>
    <row r="151" hidden="1">
      <c r="A151" s="191">
        <v>1.167217723E9</v>
      </c>
      <c r="B151" s="14" t="str">
        <f t="shared" si="1"/>
        <v>1</v>
      </c>
      <c r="C151" s="161" t="s">
        <v>1417</v>
      </c>
      <c r="D151" s="193">
        <v>376.0</v>
      </c>
      <c r="E151" s="189" t="s">
        <v>1147</v>
      </c>
      <c r="F151" s="157" t="s">
        <v>1147</v>
      </c>
      <c r="G151" s="162"/>
    </row>
    <row r="152" hidden="1">
      <c r="A152" s="188">
        <v>1.136678278E9</v>
      </c>
      <c r="B152" s="7" t="str">
        <f t="shared" si="1"/>
        <v>1</v>
      </c>
      <c r="C152" s="157" t="s">
        <v>1147</v>
      </c>
      <c r="D152" s="189" t="s">
        <v>1147</v>
      </c>
      <c r="E152" s="189" t="s">
        <v>1147</v>
      </c>
      <c r="F152" s="157" t="s">
        <v>1147</v>
      </c>
      <c r="G152" s="158"/>
    </row>
    <row r="153" hidden="1">
      <c r="A153" s="188">
        <v>1.12322886E9</v>
      </c>
      <c r="B153" s="14" t="str">
        <f t="shared" si="1"/>
        <v>1</v>
      </c>
      <c r="C153" s="157" t="s">
        <v>1147</v>
      </c>
      <c r="D153" s="189" t="s">
        <v>1147</v>
      </c>
      <c r="E153" s="189" t="s">
        <v>1147</v>
      </c>
      <c r="F153" s="157" t="s">
        <v>1147</v>
      </c>
      <c r="G153" s="162"/>
    </row>
    <row r="154" hidden="1">
      <c r="A154" s="188">
        <v>1.165281146E9</v>
      </c>
      <c r="B154" s="7" t="str">
        <f t="shared" si="1"/>
        <v>1</v>
      </c>
      <c r="C154" s="157" t="s">
        <v>1147</v>
      </c>
      <c r="D154" s="189" t="s">
        <v>1147</v>
      </c>
      <c r="E154" s="189" t="s">
        <v>1147</v>
      </c>
      <c r="F154" s="157" t="s">
        <v>1147</v>
      </c>
      <c r="G154" s="158"/>
    </row>
    <row r="155" hidden="1">
      <c r="A155" s="191">
        <v>1.137587184E9</v>
      </c>
      <c r="B155" s="14" t="str">
        <f t="shared" si="1"/>
        <v>1</v>
      </c>
      <c r="C155" s="161" t="s">
        <v>1484</v>
      </c>
      <c r="D155" s="193">
        <v>1777.0</v>
      </c>
      <c r="E155" s="193" t="s">
        <v>941</v>
      </c>
      <c r="F155" s="161">
        <v>1777.0</v>
      </c>
      <c r="G155" s="162"/>
    </row>
    <row r="156" hidden="1">
      <c r="A156" s="185">
        <v>1.168039045E9</v>
      </c>
      <c r="B156" s="7" t="str">
        <f t="shared" si="1"/>
        <v>1</v>
      </c>
      <c r="C156" s="157" t="s">
        <v>1147</v>
      </c>
      <c r="D156" s="189" t="s">
        <v>1147</v>
      </c>
      <c r="E156" s="186" t="s">
        <v>915</v>
      </c>
      <c r="F156" s="166">
        <v>1597.0</v>
      </c>
      <c r="G156" s="158"/>
    </row>
    <row r="157" hidden="1">
      <c r="A157" s="191">
        <v>1.12815373E9</v>
      </c>
      <c r="B157" s="14" t="str">
        <f t="shared" si="1"/>
        <v>1</v>
      </c>
      <c r="C157" s="161" t="s">
        <v>1351</v>
      </c>
      <c r="D157" s="193">
        <v>2463.0</v>
      </c>
      <c r="E157" s="189" t="s">
        <v>1147</v>
      </c>
      <c r="F157" s="157" t="s">
        <v>1147</v>
      </c>
      <c r="G157" s="162"/>
    </row>
    <row r="158" hidden="1">
      <c r="A158" s="188">
        <v>1.160368096E9</v>
      </c>
      <c r="B158" s="7" t="str">
        <f t="shared" si="1"/>
        <v>1</v>
      </c>
      <c r="C158" s="157" t="s">
        <v>1147</v>
      </c>
      <c r="D158" s="189" t="s">
        <v>1147</v>
      </c>
      <c r="E158" s="189" t="s">
        <v>1147</v>
      </c>
      <c r="F158" s="157" t="s">
        <v>1147</v>
      </c>
      <c r="G158" s="158"/>
    </row>
    <row r="159" hidden="1">
      <c r="A159" s="191">
        <v>1.169603036E9</v>
      </c>
      <c r="B159" s="14" t="str">
        <f t="shared" si="1"/>
        <v>1</v>
      </c>
      <c r="C159" s="161" t="s">
        <v>1302</v>
      </c>
      <c r="D159" s="193">
        <v>1753.0</v>
      </c>
      <c r="E159" s="193" t="s">
        <v>935</v>
      </c>
      <c r="F159" s="161">
        <v>1753.0</v>
      </c>
      <c r="G159" s="162"/>
    </row>
    <row r="160" hidden="1">
      <c r="A160" s="185">
        <v>1.160528107E9</v>
      </c>
      <c r="B160" s="7" t="str">
        <f t="shared" si="1"/>
        <v>1</v>
      </c>
      <c r="C160" s="157" t="s">
        <v>1147</v>
      </c>
      <c r="D160" s="189" t="s">
        <v>1147</v>
      </c>
      <c r="E160" s="189" t="s">
        <v>1147</v>
      </c>
      <c r="F160" s="157" t="s">
        <v>1147</v>
      </c>
      <c r="G160" s="158"/>
    </row>
    <row r="161" hidden="1">
      <c r="A161" s="191">
        <v>1.161511686E9</v>
      </c>
      <c r="B161" s="14" t="str">
        <f t="shared" si="1"/>
        <v>1</v>
      </c>
      <c r="C161" s="161" t="s">
        <v>1547</v>
      </c>
      <c r="D161" s="193"/>
      <c r="E161" s="189" t="s">
        <v>1147</v>
      </c>
      <c r="F161" s="157" t="s">
        <v>1147</v>
      </c>
      <c r="G161" s="162"/>
    </row>
    <row r="162" hidden="1">
      <c r="A162" s="185">
        <v>1.138958145E9</v>
      </c>
      <c r="B162" s="7" t="str">
        <f t="shared" si="1"/>
        <v>1</v>
      </c>
      <c r="C162" s="157" t="s">
        <v>1147</v>
      </c>
      <c r="D162" s="189" t="s">
        <v>1147</v>
      </c>
      <c r="E162" s="186" t="s">
        <v>953</v>
      </c>
      <c r="F162" s="166">
        <v>1970.0</v>
      </c>
      <c r="G162" s="158"/>
    </row>
    <row r="163" hidden="1">
      <c r="A163" s="191">
        <v>1.13874701E9</v>
      </c>
      <c r="B163" s="14" t="str">
        <f t="shared" si="1"/>
        <v>1</v>
      </c>
      <c r="C163" s="161" t="s">
        <v>1548</v>
      </c>
      <c r="D163" s="193">
        <v>2537.0</v>
      </c>
      <c r="E163" s="189" t="s">
        <v>1147</v>
      </c>
      <c r="F163" s="157" t="s">
        <v>1147</v>
      </c>
      <c r="G163" s="162"/>
    </row>
    <row r="164" hidden="1">
      <c r="A164" s="188">
        <v>1.159190254E9</v>
      </c>
      <c r="B164" s="7" t="str">
        <f t="shared" si="1"/>
        <v>1</v>
      </c>
      <c r="C164" s="157" t="s">
        <v>1147</v>
      </c>
      <c r="D164" s="189" t="s">
        <v>1147</v>
      </c>
      <c r="E164" s="189" t="s">
        <v>1147</v>
      </c>
      <c r="F164" s="157" t="s">
        <v>1147</v>
      </c>
      <c r="G164" s="158"/>
    </row>
    <row r="165" hidden="1">
      <c r="A165" s="191">
        <v>1.126872384E9</v>
      </c>
      <c r="B165" s="14" t="str">
        <f t="shared" si="1"/>
        <v>1</v>
      </c>
      <c r="C165" s="157" t="s">
        <v>1147</v>
      </c>
      <c r="D165" s="189" t="s">
        <v>1147</v>
      </c>
      <c r="E165" s="193" t="s">
        <v>1082</v>
      </c>
      <c r="F165" s="161">
        <v>3114.0</v>
      </c>
      <c r="G165" s="162"/>
    </row>
    <row r="166" hidden="1">
      <c r="A166" s="185">
        <v>1.132757717E9</v>
      </c>
      <c r="B166" s="7" t="str">
        <f t="shared" si="1"/>
        <v>1</v>
      </c>
      <c r="C166" s="166" t="s">
        <v>1549</v>
      </c>
      <c r="D166" s="186"/>
      <c r="E166" s="189" t="s">
        <v>1147</v>
      </c>
      <c r="F166" s="157" t="s">
        <v>1147</v>
      </c>
      <c r="G166" s="158"/>
    </row>
    <row r="167" hidden="1">
      <c r="A167" s="191">
        <v>1.144937482E9</v>
      </c>
      <c r="B167" s="14" t="str">
        <f t="shared" si="1"/>
        <v>1</v>
      </c>
      <c r="C167" s="161" t="s">
        <v>1342</v>
      </c>
      <c r="D167" s="193">
        <v>2777.0</v>
      </c>
      <c r="E167" s="189" t="s">
        <v>1147</v>
      </c>
      <c r="F167" s="157" t="s">
        <v>1147</v>
      </c>
      <c r="G167" s="162"/>
    </row>
    <row r="168" hidden="1">
      <c r="A168" s="188">
        <v>1.131257128E9</v>
      </c>
      <c r="B168" s="7" t="str">
        <f t="shared" si="1"/>
        <v>1</v>
      </c>
      <c r="C168" s="157" t="s">
        <v>1147</v>
      </c>
      <c r="D168" s="189" t="s">
        <v>1147</v>
      </c>
      <c r="E168" s="189" t="s">
        <v>1147</v>
      </c>
      <c r="F168" s="157" t="s">
        <v>1147</v>
      </c>
      <c r="G168" s="158"/>
    </row>
    <row r="169" hidden="1">
      <c r="A169" s="191">
        <v>1.136699218E9</v>
      </c>
      <c r="B169" s="14" t="str">
        <f t="shared" si="1"/>
        <v>1</v>
      </c>
      <c r="C169" s="161" t="s">
        <v>1470</v>
      </c>
      <c r="D169" s="193">
        <v>2001.0</v>
      </c>
      <c r="E169" s="189" t="s">
        <v>1147</v>
      </c>
      <c r="F169" s="157" t="s">
        <v>1147</v>
      </c>
      <c r="G169" s="162"/>
    </row>
    <row r="170" hidden="1">
      <c r="A170" s="188">
        <v>1.121554052E9</v>
      </c>
      <c r="B170" s="7" t="str">
        <f t="shared" si="1"/>
        <v>1</v>
      </c>
      <c r="C170" s="157" t="s">
        <v>1147</v>
      </c>
      <c r="D170" s="189" t="s">
        <v>1147</v>
      </c>
      <c r="E170" s="189" t="s">
        <v>1147</v>
      </c>
      <c r="F170" s="157" t="s">
        <v>1147</v>
      </c>
      <c r="G170" s="158"/>
    </row>
    <row r="171" hidden="1">
      <c r="A171" s="191">
        <v>1.167466625E9</v>
      </c>
      <c r="B171" s="14" t="str">
        <f t="shared" si="1"/>
        <v>1</v>
      </c>
      <c r="C171" s="157" t="s">
        <v>1147</v>
      </c>
      <c r="D171" s="189" t="s">
        <v>1147</v>
      </c>
      <c r="E171" s="193" t="s">
        <v>985</v>
      </c>
      <c r="F171" s="161">
        <v>2201.0</v>
      </c>
      <c r="G171" s="162"/>
    </row>
    <row r="172" hidden="1">
      <c r="A172" s="185">
        <v>1.144171447E9</v>
      </c>
      <c r="B172" s="7" t="str">
        <f t="shared" si="1"/>
        <v>1</v>
      </c>
      <c r="C172" s="166" t="s">
        <v>1401</v>
      </c>
      <c r="D172" s="186">
        <v>1591.0</v>
      </c>
      <c r="E172" s="189" t="s">
        <v>1147</v>
      </c>
      <c r="F172" s="157" t="s">
        <v>1147</v>
      </c>
      <c r="G172" s="158"/>
    </row>
    <row r="173" hidden="1">
      <c r="A173" s="191">
        <v>1.134625079E9</v>
      </c>
      <c r="B173" s="14" t="str">
        <f t="shared" si="1"/>
        <v>1</v>
      </c>
      <c r="C173" s="161" t="s">
        <v>1336</v>
      </c>
      <c r="D173" s="193">
        <v>2457.0</v>
      </c>
      <c r="E173" s="193" t="s">
        <v>1007</v>
      </c>
      <c r="F173" s="161">
        <v>2457.0</v>
      </c>
      <c r="G173" s="162"/>
    </row>
    <row r="174" hidden="1">
      <c r="A174" s="192">
        <v>1.133985337E9</v>
      </c>
      <c r="B174" s="7" t="str">
        <f t="shared" si="1"/>
        <v>1</v>
      </c>
      <c r="C174" s="166" t="s">
        <v>1259</v>
      </c>
      <c r="D174" s="186">
        <v>1572.0</v>
      </c>
      <c r="E174" s="189" t="s">
        <v>1147</v>
      </c>
      <c r="F174" s="157" t="s">
        <v>1147</v>
      </c>
      <c r="G174" s="158"/>
    </row>
    <row r="175" hidden="1">
      <c r="A175" s="191">
        <v>1.157530604E9</v>
      </c>
      <c r="B175" s="14" t="str">
        <f t="shared" si="1"/>
        <v>1</v>
      </c>
      <c r="C175" s="161" t="s">
        <v>1550</v>
      </c>
      <c r="D175" s="193">
        <v>1775.0</v>
      </c>
      <c r="E175" s="189" t="s">
        <v>1147</v>
      </c>
      <c r="F175" s="157" t="s">
        <v>1147</v>
      </c>
      <c r="G175" s="162"/>
    </row>
    <row r="176" hidden="1">
      <c r="A176" s="188">
        <v>1.133043555E9</v>
      </c>
      <c r="B176" s="7" t="str">
        <f t="shared" si="1"/>
        <v>1</v>
      </c>
      <c r="C176" s="157" t="s">
        <v>1147</v>
      </c>
      <c r="D176" s="189" t="s">
        <v>1147</v>
      </c>
      <c r="E176" s="189" t="s">
        <v>1147</v>
      </c>
      <c r="F176" s="157" t="s">
        <v>1147</v>
      </c>
      <c r="G176" s="158"/>
    </row>
    <row r="177" hidden="1">
      <c r="A177" s="191">
        <v>1.134435593E9</v>
      </c>
      <c r="B177" s="14" t="str">
        <f t="shared" si="1"/>
        <v>1</v>
      </c>
      <c r="C177" s="157" t="s">
        <v>1147</v>
      </c>
      <c r="D177" s="189" t="s">
        <v>1147</v>
      </c>
      <c r="E177" s="189" t="s">
        <v>1147</v>
      </c>
      <c r="F177" s="157" t="s">
        <v>1147</v>
      </c>
      <c r="G177" s="162"/>
    </row>
    <row r="178" hidden="1">
      <c r="A178" s="185">
        <v>1.138122802E9</v>
      </c>
      <c r="B178" s="7" t="str">
        <f t="shared" si="1"/>
        <v>1</v>
      </c>
      <c r="C178" s="166" t="s">
        <v>1303</v>
      </c>
      <c r="D178" s="186">
        <v>1919.0</v>
      </c>
      <c r="E178" s="186" t="s">
        <v>946</v>
      </c>
      <c r="F178" s="166">
        <v>1919.0</v>
      </c>
      <c r="G178" s="158"/>
    </row>
    <row r="179" hidden="1">
      <c r="A179" s="191">
        <v>1.12355504E9</v>
      </c>
      <c r="B179" s="14" t="str">
        <f t="shared" si="1"/>
        <v>1</v>
      </c>
      <c r="C179" s="161" t="s">
        <v>1375</v>
      </c>
      <c r="D179" s="193">
        <v>2184.0</v>
      </c>
      <c r="E179" s="189" t="s">
        <v>1147</v>
      </c>
      <c r="F179" s="157" t="s">
        <v>1147</v>
      </c>
      <c r="G179" s="162"/>
    </row>
    <row r="180" hidden="1">
      <c r="A180" s="185">
        <v>1.160234773E9</v>
      </c>
      <c r="B180" s="7" t="str">
        <f t="shared" si="1"/>
        <v>1</v>
      </c>
      <c r="C180" s="166" t="s">
        <v>1363</v>
      </c>
      <c r="D180" s="186">
        <v>766.0</v>
      </c>
      <c r="E180" s="189" t="s">
        <v>1147</v>
      </c>
      <c r="F180" s="157" t="s">
        <v>1147</v>
      </c>
      <c r="G180" s="158"/>
    </row>
    <row r="181" hidden="1">
      <c r="A181" s="188">
        <v>1.168554863E9</v>
      </c>
      <c r="B181" s="14" t="str">
        <f t="shared" si="1"/>
        <v>1</v>
      </c>
      <c r="C181" s="157" t="s">
        <v>1147</v>
      </c>
      <c r="D181" s="189" t="s">
        <v>1147</v>
      </c>
      <c r="E181" s="189" t="s">
        <v>1147</v>
      </c>
      <c r="F181" s="157" t="s">
        <v>1147</v>
      </c>
      <c r="G181" s="162"/>
    </row>
    <row r="182" hidden="1">
      <c r="A182" s="185">
        <v>1.125392309E9</v>
      </c>
      <c r="B182" s="7" t="str">
        <f t="shared" si="1"/>
        <v>1</v>
      </c>
      <c r="C182" s="157" t="s">
        <v>1147</v>
      </c>
      <c r="D182" s="189" t="s">
        <v>1147</v>
      </c>
      <c r="E182" s="186" t="s">
        <v>1113</v>
      </c>
      <c r="F182" s="166">
        <v>1990.0</v>
      </c>
      <c r="G182" s="158"/>
    </row>
    <row r="183" hidden="1">
      <c r="A183" s="191">
        <v>1.132826246E9</v>
      </c>
      <c r="B183" s="14" t="str">
        <f t="shared" si="1"/>
        <v>1</v>
      </c>
      <c r="C183" s="157" t="s">
        <v>1147</v>
      </c>
      <c r="D183" s="189" t="s">
        <v>1147</v>
      </c>
      <c r="E183" s="189" t="s">
        <v>1147</v>
      </c>
      <c r="F183" s="157" t="s">
        <v>1147</v>
      </c>
      <c r="G183" s="162"/>
    </row>
    <row r="184" hidden="1">
      <c r="A184" s="185">
        <v>1.124014213E9</v>
      </c>
      <c r="B184" s="7" t="str">
        <f t="shared" si="1"/>
        <v>1</v>
      </c>
      <c r="C184" s="157" t="s">
        <v>1147</v>
      </c>
      <c r="D184" s="189" t="s">
        <v>1147</v>
      </c>
      <c r="E184" s="186" t="s">
        <v>922</v>
      </c>
      <c r="F184" s="166">
        <v>1657.0</v>
      </c>
      <c r="G184" s="158"/>
    </row>
    <row r="185" hidden="1">
      <c r="A185" s="191">
        <v>1.156294264E9</v>
      </c>
      <c r="B185" s="14" t="str">
        <f t="shared" si="1"/>
        <v>1</v>
      </c>
      <c r="C185" s="161" t="s">
        <v>1295</v>
      </c>
      <c r="D185" s="193">
        <v>444.0</v>
      </c>
      <c r="E185" s="193" t="s">
        <v>872</v>
      </c>
      <c r="F185" s="161">
        <v>444.0</v>
      </c>
      <c r="G185" s="162"/>
    </row>
    <row r="186" hidden="1">
      <c r="A186" s="185">
        <v>1.161636711E9</v>
      </c>
      <c r="B186" s="7" t="str">
        <f t="shared" si="1"/>
        <v>1</v>
      </c>
      <c r="C186" s="166" t="s">
        <v>1451</v>
      </c>
      <c r="D186" s="186">
        <v>2340.0</v>
      </c>
      <c r="E186" s="186" t="s">
        <v>996</v>
      </c>
      <c r="F186" s="166">
        <v>2340.0</v>
      </c>
      <c r="G186" s="158"/>
    </row>
    <row r="187" hidden="1">
      <c r="A187" s="191">
        <v>1.137817717E9</v>
      </c>
      <c r="B187" s="14" t="str">
        <f t="shared" si="1"/>
        <v>1</v>
      </c>
      <c r="C187" s="161" t="s">
        <v>1551</v>
      </c>
      <c r="D187" s="193"/>
      <c r="E187" s="189" t="s">
        <v>1147</v>
      </c>
      <c r="F187" s="157" t="s">
        <v>1147</v>
      </c>
      <c r="G187" s="162"/>
    </row>
    <row r="188" hidden="1">
      <c r="A188" s="185">
        <v>1.16528837E9</v>
      </c>
      <c r="B188" s="7" t="str">
        <f t="shared" si="1"/>
        <v>1</v>
      </c>
      <c r="C188" s="157" t="s">
        <v>1147</v>
      </c>
      <c r="D188" s="189" t="s">
        <v>1147</v>
      </c>
      <c r="E188" s="186" t="s">
        <v>1116</v>
      </c>
      <c r="F188" s="166">
        <v>2263.0</v>
      </c>
      <c r="G188" s="158"/>
    </row>
    <row r="189" hidden="1">
      <c r="A189" s="191">
        <v>1.130700402E9</v>
      </c>
      <c r="B189" s="14" t="str">
        <f t="shared" si="1"/>
        <v>1</v>
      </c>
      <c r="C189" s="161" t="s">
        <v>1486</v>
      </c>
      <c r="D189" s="193">
        <v>1142.0</v>
      </c>
      <c r="E189" s="193" t="s">
        <v>906</v>
      </c>
      <c r="F189" s="161">
        <v>1142.0</v>
      </c>
      <c r="G189" s="162"/>
    </row>
    <row r="190" hidden="1">
      <c r="A190" s="188">
        <v>1.131223511E9</v>
      </c>
      <c r="B190" s="7" t="str">
        <f t="shared" si="1"/>
        <v>1</v>
      </c>
      <c r="C190" s="157" t="s">
        <v>1147</v>
      </c>
      <c r="D190" s="189" t="s">
        <v>1147</v>
      </c>
      <c r="E190" s="189" t="s">
        <v>1147</v>
      </c>
      <c r="F190" s="157" t="s">
        <v>1147</v>
      </c>
      <c r="G190" s="158"/>
    </row>
    <row r="191" hidden="1">
      <c r="A191" s="188">
        <v>1.131312104E9</v>
      </c>
      <c r="B191" s="14" t="str">
        <f t="shared" si="1"/>
        <v>1</v>
      </c>
      <c r="C191" s="157" t="s">
        <v>1147</v>
      </c>
      <c r="D191" s="189" t="s">
        <v>1147</v>
      </c>
      <c r="E191" s="189" t="s">
        <v>1147</v>
      </c>
      <c r="F191" s="157" t="s">
        <v>1147</v>
      </c>
      <c r="G191" s="162"/>
    </row>
    <row r="192" hidden="1">
      <c r="A192" s="188">
        <v>1.132694465E9</v>
      </c>
      <c r="B192" s="7" t="str">
        <f t="shared" si="1"/>
        <v>1</v>
      </c>
      <c r="C192" s="157" t="s">
        <v>1147</v>
      </c>
      <c r="D192" s="189" t="s">
        <v>1147</v>
      </c>
      <c r="E192" s="189" t="s">
        <v>1147</v>
      </c>
      <c r="F192" s="157" t="s">
        <v>1147</v>
      </c>
      <c r="G192" s="158"/>
    </row>
    <row r="193" hidden="1">
      <c r="A193" s="188">
        <v>1.150543639E9</v>
      </c>
      <c r="B193" s="14" t="str">
        <f t="shared" si="1"/>
        <v>1</v>
      </c>
      <c r="C193" s="157" t="s">
        <v>1147</v>
      </c>
      <c r="D193" s="189" t="s">
        <v>1147</v>
      </c>
      <c r="E193" s="189" t="s">
        <v>1147</v>
      </c>
      <c r="F193" s="157" t="s">
        <v>1147</v>
      </c>
      <c r="G193" s="162"/>
    </row>
    <row r="194" hidden="1">
      <c r="A194" s="188">
        <v>1.173662195E9</v>
      </c>
      <c r="B194" s="7" t="str">
        <f t="shared" si="1"/>
        <v>1</v>
      </c>
      <c r="C194" s="157" t="s">
        <v>1147</v>
      </c>
      <c r="D194" s="189" t="s">
        <v>1147</v>
      </c>
      <c r="E194" s="189" t="s">
        <v>1147</v>
      </c>
      <c r="F194" s="157" t="s">
        <v>1147</v>
      </c>
      <c r="G194" s="158"/>
    </row>
    <row r="195" hidden="1">
      <c r="A195" s="188">
        <v>1.130427551E9</v>
      </c>
      <c r="B195" s="14" t="str">
        <f t="shared" si="1"/>
        <v>1</v>
      </c>
      <c r="C195" s="157" t="s">
        <v>1147</v>
      </c>
      <c r="D195" s="189" t="s">
        <v>1147</v>
      </c>
      <c r="E195" s="189" t="s">
        <v>1147</v>
      </c>
      <c r="F195" s="157" t="s">
        <v>1147</v>
      </c>
      <c r="G195" s="162"/>
    </row>
    <row r="196" hidden="1">
      <c r="A196" s="185">
        <v>1.133061251E9</v>
      </c>
      <c r="B196" s="7" t="str">
        <f t="shared" si="1"/>
        <v>1</v>
      </c>
      <c r="C196" s="157" t="s">
        <v>1147</v>
      </c>
      <c r="D196" s="189" t="s">
        <v>1147</v>
      </c>
      <c r="E196" s="186" t="s">
        <v>1021</v>
      </c>
      <c r="F196" s="166">
        <v>2611.0</v>
      </c>
      <c r="G196" s="158"/>
    </row>
    <row r="197" hidden="1">
      <c r="A197" s="191">
        <v>1.141439746E9</v>
      </c>
      <c r="B197" s="14" t="str">
        <f t="shared" si="1"/>
        <v>1</v>
      </c>
      <c r="C197" s="161" t="s">
        <v>1298</v>
      </c>
      <c r="D197" s="193">
        <v>2924.0</v>
      </c>
      <c r="E197" s="193" t="s">
        <v>1062</v>
      </c>
      <c r="F197" s="161">
        <v>2924.0</v>
      </c>
      <c r="G197" s="162"/>
    </row>
    <row r="198" hidden="1">
      <c r="A198" s="188">
        <v>1.166440309E9</v>
      </c>
      <c r="B198" s="7" t="str">
        <f t="shared" si="1"/>
        <v>1</v>
      </c>
      <c r="C198" s="157" t="s">
        <v>1147</v>
      </c>
      <c r="D198" s="189" t="s">
        <v>1147</v>
      </c>
      <c r="E198" s="189" t="s">
        <v>1147</v>
      </c>
      <c r="F198" s="157" t="s">
        <v>1147</v>
      </c>
      <c r="G198" s="158"/>
    </row>
    <row r="199" hidden="1">
      <c r="A199" s="191">
        <v>1.130404995E9</v>
      </c>
      <c r="B199" s="14" t="str">
        <f t="shared" si="1"/>
        <v>1</v>
      </c>
      <c r="C199" s="161" t="s">
        <v>1461</v>
      </c>
      <c r="D199" s="193">
        <v>543.0</v>
      </c>
      <c r="E199" s="193" t="s">
        <v>879</v>
      </c>
      <c r="F199" s="161">
        <v>543.0</v>
      </c>
      <c r="G199" s="162"/>
    </row>
    <row r="200" hidden="1">
      <c r="A200" s="185">
        <v>1.16588265E9</v>
      </c>
      <c r="B200" s="7" t="str">
        <f t="shared" si="1"/>
        <v>1</v>
      </c>
      <c r="C200" s="166" t="s">
        <v>1437</v>
      </c>
      <c r="D200" s="186">
        <v>2830.0</v>
      </c>
      <c r="E200" s="189" t="s">
        <v>1147</v>
      </c>
      <c r="F200" s="157" t="s">
        <v>1147</v>
      </c>
      <c r="G200" s="158"/>
    </row>
    <row r="201" hidden="1">
      <c r="A201" s="191">
        <v>1.127455035E9</v>
      </c>
      <c r="B201" s="14" t="str">
        <f t="shared" si="1"/>
        <v>1</v>
      </c>
      <c r="C201" s="161" t="s">
        <v>1424</v>
      </c>
      <c r="D201" s="193">
        <v>2324.0</v>
      </c>
      <c r="E201" s="189" t="s">
        <v>1147</v>
      </c>
      <c r="F201" s="157" t="s">
        <v>1147</v>
      </c>
      <c r="G201" s="162"/>
    </row>
    <row r="202" hidden="1">
      <c r="A202" s="188">
        <v>1.164433045E9</v>
      </c>
      <c r="B202" s="7" t="str">
        <f t="shared" si="1"/>
        <v>1</v>
      </c>
      <c r="C202" s="157" t="s">
        <v>1147</v>
      </c>
      <c r="D202" s="189" t="s">
        <v>1147</v>
      </c>
      <c r="E202" s="189" t="s">
        <v>1147</v>
      </c>
      <c r="F202" s="157" t="s">
        <v>1147</v>
      </c>
      <c r="G202" s="158"/>
    </row>
    <row r="203" hidden="1">
      <c r="A203" s="188">
        <v>1.168197735E9</v>
      </c>
      <c r="B203" s="14" t="str">
        <f t="shared" si="1"/>
        <v>1</v>
      </c>
      <c r="C203" s="157" t="s">
        <v>1147</v>
      </c>
      <c r="D203" s="189" t="s">
        <v>1147</v>
      </c>
      <c r="E203" s="189" t="s">
        <v>1147</v>
      </c>
      <c r="F203" s="157" t="s">
        <v>1147</v>
      </c>
      <c r="G203" s="162"/>
    </row>
    <row r="204" hidden="1">
      <c r="A204" s="188">
        <v>1.149738514E9</v>
      </c>
      <c r="B204" s="7" t="str">
        <f t="shared" si="1"/>
        <v>1</v>
      </c>
      <c r="C204" s="157" t="s">
        <v>1147</v>
      </c>
      <c r="D204" s="189" t="s">
        <v>1147</v>
      </c>
      <c r="E204" s="189" t="s">
        <v>1147</v>
      </c>
      <c r="F204" s="157" t="s">
        <v>1147</v>
      </c>
      <c r="G204" s="158"/>
    </row>
    <row r="205" hidden="1">
      <c r="A205" s="188">
        <v>1.135865476E9</v>
      </c>
      <c r="B205" s="14" t="str">
        <f t="shared" si="1"/>
        <v>1</v>
      </c>
      <c r="C205" s="157" t="s">
        <v>1147</v>
      </c>
      <c r="D205" s="189" t="s">
        <v>1147</v>
      </c>
      <c r="E205" s="189" t="s">
        <v>1147</v>
      </c>
      <c r="F205" s="157" t="s">
        <v>1147</v>
      </c>
      <c r="G205" s="162"/>
    </row>
    <row r="206" hidden="1">
      <c r="A206" s="185">
        <v>1.139199525E9</v>
      </c>
      <c r="B206" s="7" t="str">
        <f t="shared" si="1"/>
        <v>1</v>
      </c>
      <c r="C206" s="166" t="s">
        <v>1334</v>
      </c>
      <c r="D206" s="186">
        <v>2177.0</v>
      </c>
      <c r="E206" s="186" t="s">
        <v>981</v>
      </c>
      <c r="F206" s="166">
        <v>2177.0</v>
      </c>
      <c r="G206" s="158"/>
    </row>
    <row r="207" hidden="1">
      <c r="A207" s="188">
        <v>1.168673658E9</v>
      </c>
      <c r="B207" s="14" t="str">
        <f t="shared" si="1"/>
        <v>1</v>
      </c>
      <c r="C207" s="157" t="s">
        <v>1147</v>
      </c>
      <c r="D207" s="189" t="s">
        <v>1147</v>
      </c>
      <c r="E207" s="189" t="s">
        <v>1147</v>
      </c>
      <c r="F207" s="157" t="s">
        <v>1147</v>
      </c>
      <c r="G207" s="162"/>
    </row>
    <row r="208" hidden="1">
      <c r="A208" s="185">
        <v>1.136983612E9</v>
      </c>
      <c r="B208" s="7" t="str">
        <f t="shared" si="1"/>
        <v>1</v>
      </c>
      <c r="C208" s="157" t="s">
        <v>1147</v>
      </c>
      <c r="D208" s="189" t="s">
        <v>1147</v>
      </c>
      <c r="E208" s="186" t="s">
        <v>876</v>
      </c>
      <c r="F208" s="166">
        <v>526.0</v>
      </c>
      <c r="G208" s="158"/>
    </row>
    <row r="209" hidden="1">
      <c r="A209" s="191">
        <v>1.156952628E9</v>
      </c>
      <c r="B209" s="14" t="str">
        <f t="shared" si="1"/>
        <v>1</v>
      </c>
      <c r="C209" s="161" t="s">
        <v>1490</v>
      </c>
      <c r="D209" s="193">
        <v>1065.0</v>
      </c>
      <c r="E209" s="193" t="s">
        <v>904</v>
      </c>
      <c r="F209" s="161">
        <v>1065.0</v>
      </c>
      <c r="G209" s="162"/>
    </row>
    <row r="210" hidden="1">
      <c r="A210" s="185">
        <v>1.168069316E9</v>
      </c>
      <c r="B210" s="7" t="str">
        <f t="shared" si="1"/>
        <v>1</v>
      </c>
      <c r="C210" s="166" t="s">
        <v>1479</v>
      </c>
      <c r="D210" s="186">
        <v>1665.0</v>
      </c>
      <c r="E210" s="186" t="s">
        <v>924</v>
      </c>
      <c r="F210" s="166">
        <v>1665.0</v>
      </c>
      <c r="G210" s="158"/>
    </row>
    <row r="211" hidden="1">
      <c r="A211" s="188">
        <v>3.704098413E9</v>
      </c>
      <c r="B211" s="14" t="str">
        <f t="shared" si="1"/>
        <v>1</v>
      </c>
      <c r="C211" s="157" t="s">
        <v>1147</v>
      </c>
      <c r="D211" s="189" t="s">
        <v>1147</v>
      </c>
      <c r="E211" s="189" t="s">
        <v>1147</v>
      </c>
      <c r="F211" s="157" t="s">
        <v>1147</v>
      </c>
      <c r="G211" s="162"/>
    </row>
    <row r="212" hidden="1">
      <c r="A212" s="185">
        <v>1.137620804E9</v>
      </c>
      <c r="B212" s="7" t="str">
        <f t="shared" si="1"/>
        <v>1</v>
      </c>
      <c r="C212" s="157" t="s">
        <v>1147</v>
      </c>
      <c r="D212" s="189" t="s">
        <v>1147</v>
      </c>
      <c r="E212" s="186" t="s">
        <v>1019</v>
      </c>
      <c r="F212" s="166">
        <v>2500.0</v>
      </c>
      <c r="G212" s="158"/>
    </row>
    <row r="213" hidden="1">
      <c r="A213" s="191">
        <v>1.149386278E9</v>
      </c>
      <c r="B213" s="14" t="str">
        <f t="shared" si="1"/>
        <v>1</v>
      </c>
      <c r="C213" s="161" t="s">
        <v>1316</v>
      </c>
      <c r="D213" s="193">
        <v>2954.0</v>
      </c>
      <c r="E213" s="189" t="s">
        <v>1147</v>
      </c>
      <c r="F213" s="157" t="s">
        <v>1147</v>
      </c>
      <c r="G213" s="162"/>
    </row>
    <row r="214" hidden="1">
      <c r="A214" s="185">
        <v>1.164681681E9</v>
      </c>
      <c r="B214" s="7" t="str">
        <f t="shared" si="1"/>
        <v>1</v>
      </c>
      <c r="C214" s="166" t="s">
        <v>1325</v>
      </c>
      <c r="D214" s="186">
        <v>1116.0</v>
      </c>
      <c r="E214" s="189" t="s">
        <v>1147</v>
      </c>
      <c r="F214" s="157" t="s">
        <v>1147</v>
      </c>
      <c r="G214" s="158"/>
    </row>
    <row r="215" hidden="1">
      <c r="A215" s="188">
        <v>1.155262436E9</v>
      </c>
      <c r="B215" s="14" t="str">
        <f t="shared" si="1"/>
        <v>1</v>
      </c>
      <c r="C215" s="157" t="s">
        <v>1147</v>
      </c>
      <c r="D215" s="189" t="s">
        <v>1147</v>
      </c>
      <c r="E215" s="189" t="s">
        <v>1147</v>
      </c>
      <c r="F215" s="157" t="s">
        <v>1147</v>
      </c>
      <c r="G215" s="162"/>
    </row>
    <row r="216" hidden="1">
      <c r="A216" s="185">
        <v>1.165567776E9</v>
      </c>
      <c r="B216" s="7" t="str">
        <f t="shared" si="1"/>
        <v>1</v>
      </c>
      <c r="C216" s="166" t="s">
        <v>1391</v>
      </c>
      <c r="D216" s="186">
        <v>1969.0</v>
      </c>
      <c r="E216" s="189" t="s">
        <v>1147</v>
      </c>
      <c r="F216" s="157" t="s">
        <v>1147</v>
      </c>
      <c r="G216" s="158"/>
    </row>
    <row r="217" hidden="1">
      <c r="A217" s="191">
        <v>1.158521754E9</v>
      </c>
      <c r="B217" s="14" t="str">
        <f t="shared" si="1"/>
        <v>1</v>
      </c>
      <c r="C217" s="161" t="s">
        <v>1507</v>
      </c>
      <c r="D217" s="193">
        <v>114.0</v>
      </c>
      <c r="E217" s="189" t="s">
        <v>1147</v>
      </c>
      <c r="F217" s="157" t="s">
        <v>1147</v>
      </c>
      <c r="G217" s="162"/>
    </row>
    <row r="218" hidden="1">
      <c r="A218" s="188">
        <v>1.12165227E9</v>
      </c>
      <c r="B218" s="7" t="str">
        <f t="shared" si="1"/>
        <v>1</v>
      </c>
      <c r="C218" s="157" t="s">
        <v>1147</v>
      </c>
      <c r="D218" s="189" t="s">
        <v>1147</v>
      </c>
      <c r="E218" s="189" t="s">
        <v>1147</v>
      </c>
      <c r="F218" s="157" t="s">
        <v>1147</v>
      </c>
      <c r="G218" s="158"/>
    </row>
    <row r="219" hidden="1">
      <c r="A219" s="191">
        <v>1.131462409E9</v>
      </c>
      <c r="B219" s="14" t="str">
        <f t="shared" si="1"/>
        <v>1</v>
      </c>
      <c r="C219" s="157" t="s">
        <v>1147</v>
      </c>
      <c r="D219" s="189" t="s">
        <v>1147</v>
      </c>
      <c r="E219" s="193" t="s">
        <v>1118</v>
      </c>
      <c r="F219" s="161">
        <v>2963.0</v>
      </c>
      <c r="G219" s="162"/>
    </row>
    <row r="220" hidden="1">
      <c r="A220" s="185">
        <v>1.13067813E9</v>
      </c>
      <c r="B220" s="7" t="str">
        <f t="shared" si="1"/>
        <v>1</v>
      </c>
      <c r="C220" s="157" t="s">
        <v>1147</v>
      </c>
      <c r="D220" s="189" t="s">
        <v>1147</v>
      </c>
      <c r="E220" s="186" t="s">
        <v>1066</v>
      </c>
      <c r="F220" s="166">
        <v>2977.0</v>
      </c>
      <c r="G220" s="158"/>
    </row>
    <row r="221" hidden="1">
      <c r="A221" s="191">
        <v>1.158059413E9</v>
      </c>
      <c r="B221" s="14" t="str">
        <f t="shared" si="1"/>
        <v>1</v>
      </c>
      <c r="C221" s="161" t="s">
        <v>1329</v>
      </c>
      <c r="D221" s="193">
        <v>2449.0</v>
      </c>
      <c r="E221" s="189" t="s">
        <v>1147</v>
      </c>
      <c r="F221" s="157" t="s">
        <v>1147</v>
      </c>
      <c r="G221" s="162"/>
    </row>
    <row r="222" hidden="1">
      <c r="A222" s="185">
        <v>1.121759987E9</v>
      </c>
      <c r="B222" s="7" t="str">
        <f t="shared" si="1"/>
        <v>1</v>
      </c>
      <c r="C222" s="157" t="s">
        <v>1147</v>
      </c>
      <c r="D222" s="189" t="s">
        <v>1147</v>
      </c>
      <c r="E222" s="186" t="s">
        <v>930</v>
      </c>
      <c r="F222" s="166">
        <v>1683.0</v>
      </c>
      <c r="G222" s="158"/>
    </row>
    <row r="223" hidden="1">
      <c r="A223" s="188">
        <v>1.133007803E9</v>
      </c>
      <c r="B223" s="14" t="str">
        <f t="shared" si="1"/>
        <v>1</v>
      </c>
      <c r="C223" s="157" t="s">
        <v>1147</v>
      </c>
      <c r="D223" s="189" t="s">
        <v>1147</v>
      </c>
      <c r="E223" s="189" t="s">
        <v>1147</v>
      </c>
      <c r="F223" s="157" t="s">
        <v>1147</v>
      </c>
      <c r="G223" s="162"/>
    </row>
    <row r="224" hidden="1">
      <c r="A224" s="188">
        <v>1.158805107E9</v>
      </c>
      <c r="B224" s="7" t="str">
        <f t="shared" si="1"/>
        <v>1</v>
      </c>
      <c r="C224" s="157" t="s">
        <v>1147</v>
      </c>
      <c r="D224" s="189" t="s">
        <v>1147</v>
      </c>
      <c r="E224" s="189" t="s">
        <v>1147</v>
      </c>
      <c r="F224" s="157" t="s">
        <v>1147</v>
      </c>
      <c r="G224" s="158"/>
    </row>
    <row r="225" hidden="1">
      <c r="A225" s="191">
        <v>1.149742514E9</v>
      </c>
      <c r="B225" s="14" t="str">
        <f t="shared" si="1"/>
        <v>1</v>
      </c>
      <c r="C225" s="161" t="s">
        <v>1327</v>
      </c>
      <c r="D225" s="193">
        <v>2447.0</v>
      </c>
      <c r="E225" s="189" t="s">
        <v>1147</v>
      </c>
      <c r="F225" s="157" t="s">
        <v>1147</v>
      </c>
      <c r="G225" s="162"/>
    </row>
    <row r="226" hidden="1">
      <c r="A226" s="188">
        <v>1.171383253E9</v>
      </c>
      <c r="B226" s="7" t="str">
        <f t="shared" si="1"/>
        <v>1</v>
      </c>
      <c r="C226" s="157" t="s">
        <v>1147</v>
      </c>
      <c r="D226" s="189" t="s">
        <v>1147</v>
      </c>
      <c r="E226" s="189" t="s">
        <v>1147</v>
      </c>
      <c r="F226" s="157" t="s">
        <v>1147</v>
      </c>
      <c r="G226" s="158"/>
    </row>
    <row r="227" hidden="1">
      <c r="A227" s="188">
        <v>1.124681192E9</v>
      </c>
      <c r="B227" s="14" t="str">
        <f t="shared" si="1"/>
        <v>1</v>
      </c>
      <c r="C227" s="157" t="s">
        <v>1147</v>
      </c>
      <c r="D227" s="189" t="s">
        <v>1147</v>
      </c>
      <c r="E227" s="189" t="s">
        <v>1147</v>
      </c>
      <c r="F227" s="157" t="s">
        <v>1147</v>
      </c>
      <c r="G227" s="162"/>
    </row>
    <row r="228" hidden="1">
      <c r="A228" s="188">
        <v>1.13176209E9</v>
      </c>
      <c r="B228" s="7" t="str">
        <f t="shared" si="1"/>
        <v>1</v>
      </c>
      <c r="C228" s="157" t="s">
        <v>1147</v>
      </c>
      <c r="D228" s="189" t="s">
        <v>1147</v>
      </c>
      <c r="E228" s="189" t="s">
        <v>1147</v>
      </c>
      <c r="F228" s="157" t="s">
        <v>1147</v>
      </c>
      <c r="G228" s="158"/>
    </row>
    <row r="229" hidden="1">
      <c r="A229" s="188">
        <v>1.121630635E9</v>
      </c>
      <c r="B229" s="14" t="str">
        <f t="shared" si="1"/>
        <v>1</v>
      </c>
      <c r="C229" s="157" t="s">
        <v>1147</v>
      </c>
      <c r="D229" s="189" t="s">
        <v>1147</v>
      </c>
      <c r="E229" s="189" t="s">
        <v>1147</v>
      </c>
      <c r="F229" s="157" t="s">
        <v>1147</v>
      </c>
      <c r="G229" s="162"/>
    </row>
    <row r="230" hidden="1">
      <c r="A230" s="188">
        <v>1.13407371E9</v>
      </c>
      <c r="B230" s="7" t="str">
        <f t="shared" si="1"/>
        <v>1</v>
      </c>
      <c r="C230" s="157" t="s">
        <v>1147</v>
      </c>
      <c r="D230" s="189" t="s">
        <v>1147</v>
      </c>
      <c r="E230" s="189" t="s">
        <v>1147</v>
      </c>
      <c r="F230" s="157" t="s">
        <v>1147</v>
      </c>
      <c r="G230" s="158"/>
    </row>
    <row r="231" hidden="1">
      <c r="A231" s="188">
        <v>1.123394729E9</v>
      </c>
      <c r="B231" s="14" t="str">
        <f t="shared" si="1"/>
        <v>1</v>
      </c>
      <c r="C231" s="157" t="s">
        <v>1147</v>
      </c>
      <c r="D231" s="189" t="s">
        <v>1147</v>
      </c>
      <c r="E231" s="189" t="s">
        <v>1147</v>
      </c>
      <c r="F231" s="157" t="s">
        <v>1147</v>
      </c>
      <c r="G231" s="162"/>
    </row>
    <row r="232" hidden="1">
      <c r="A232" s="188">
        <v>1.162105315E9</v>
      </c>
      <c r="B232" s="7" t="str">
        <f t="shared" si="1"/>
        <v>1</v>
      </c>
      <c r="C232" s="7" t="s">
        <v>1552</v>
      </c>
      <c r="D232" s="7">
        <v>2715.0</v>
      </c>
      <c r="E232" s="189" t="s">
        <v>1147</v>
      </c>
      <c r="F232" s="157" t="s">
        <v>1147</v>
      </c>
      <c r="G232" s="158"/>
    </row>
    <row r="233" hidden="1">
      <c r="A233" s="188">
        <v>1.159116107E9</v>
      </c>
      <c r="B233" s="14" t="str">
        <f t="shared" si="1"/>
        <v>1</v>
      </c>
      <c r="C233" s="157" t="s">
        <v>1147</v>
      </c>
      <c r="D233" s="189" t="s">
        <v>1147</v>
      </c>
      <c r="E233" s="189" t="s">
        <v>1147</v>
      </c>
      <c r="F233" s="157" t="s">
        <v>1147</v>
      </c>
      <c r="G233" s="162"/>
    </row>
    <row r="234" hidden="1">
      <c r="A234" s="188">
        <v>1.136341313E9</v>
      </c>
      <c r="B234" s="7" t="str">
        <f t="shared" si="1"/>
        <v>1</v>
      </c>
      <c r="C234" s="157" t="s">
        <v>1147</v>
      </c>
      <c r="D234" s="189" t="s">
        <v>1147</v>
      </c>
      <c r="E234" s="189" t="s">
        <v>1147</v>
      </c>
      <c r="F234" s="157" t="s">
        <v>1147</v>
      </c>
      <c r="G234" s="158"/>
    </row>
    <row r="235" hidden="1">
      <c r="A235" s="188">
        <v>1.159651691E9</v>
      </c>
      <c r="B235" s="14" t="str">
        <f t="shared" si="1"/>
        <v>1</v>
      </c>
      <c r="C235" s="157" t="s">
        <v>1147</v>
      </c>
      <c r="D235" s="189" t="s">
        <v>1147</v>
      </c>
      <c r="E235" s="189" t="s">
        <v>1147</v>
      </c>
      <c r="F235" s="157" t="s">
        <v>1147</v>
      </c>
      <c r="G235" s="162"/>
    </row>
    <row r="236" hidden="1">
      <c r="A236" s="188">
        <v>1.171465984E9</v>
      </c>
      <c r="B236" s="7" t="str">
        <f t="shared" si="1"/>
        <v>1</v>
      </c>
      <c r="C236" s="157" t="s">
        <v>1147</v>
      </c>
      <c r="D236" s="189" t="s">
        <v>1147</v>
      </c>
      <c r="E236" s="189" t="s">
        <v>1147</v>
      </c>
      <c r="F236" s="157" t="s">
        <v>1147</v>
      </c>
      <c r="G236" s="158"/>
    </row>
    <row r="237" hidden="1">
      <c r="A237" s="191">
        <v>1.131113453E9</v>
      </c>
      <c r="B237" s="14" t="str">
        <f t="shared" si="1"/>
        <v>1</v>
      </c>
      <c r="C237" s="161" t="s">
        <v>1438</v>
      </c>
      <c r="D237" s="193">
        <v>2333.0</v>
      </c>
      <c r="E237" s="193" t="s">
        <v>993</v>
      </c>
      <c r="F237" s="161">
        <v>2333.0</v>
      </c>
      <c r="G237" s="162"/>
    </row>
    <row r="238" hidden="1">
      <c r="A238" s="188">
        <v>1.136468807E9</v>
      </c>
      <c r="B238" s="7" t="str">
        <f t="shared" si="1"/>
        <v>1</v>
      </c>
      <c r="C238" s="157" t="s">
        <v>1147</v>
      </c>
      <c r="D238" s="189" t="s">
        <v>1147</v>
      </c>
      <c r="E238" s="189" t="s">
        <v>1147</v>
      </c>
      <c r="F238" s="157" t="s">
        <v>1147</v>
      </c>
      <c r="G238" s="158"/>
    </row>
    <row r="239" hidden="1">
      <c r="A239" s="191">
        <v>1.16644618E9</v>
      </c>
      <c r="B239" s="14" t="str">
        <f t="shared" si="1"/>
        <v>1</v>
      </c>
      <c r="C239" s="157" t="s">
        <v>1147</v>
      </c>
      <c r="D239" s="189" t="s">
        <v>1147</v>
      </c>
      <c r="E239" s="193" t="s">
        <v>1045</v>
      </c>
      <c r="F239" s="161">
        <v>2786.0</v>
      </c>
      <c r="G239" s="162"/>
    </row>
    <row r="240" hidden="1">
      <c r="A240" s="185">
        <v>1.171223532E9</v>
      </c>
      <c r="B240" s="7" t="str">
        <f t="shared" si="1"/>
        <v>1</v>
      </c>
      <c r="C240" s="157" t="s">
        <v>1147</v>
      </c>
      <c r="D240" s="189" t="s">
        <v>1147</v>
      </c>
      <c r="E240" s="186" t="s">
        <v>1091</v>
      </c>
      <c r="F240" s="166">
        <v>3192.0</v>
      </c>
      <c r="G240" s="158"/>
    </row>
    <row r="241" hidden="1">
      <c r="A241" s="191">
        <v>1.127481417E9</v>
      </c>
      <c r="B241" s="14" t="str">
        <f t="shared" si="1"/>
        <v>1</v>
      </c>
      <c r="C241" s="157" t="s">
        <v>1147</v>
      </c>
      <c r="D241" s="189" t="s">
        <v>1147</v>
      </c>
      <c r="E241" s="189" t="s">
        <v>1147</v>
      </c>
      <c r="F241" s="157" t="s">
        <v>1147</v>
      </c>
      <c r="G241" s="162"/>
    </row>
    <row r="242" hidden="1">
      <c r="A242" s="185">
        <v>1.155818302E9</v>
      </c>
      <c r="B242" s="7" t="str">
        <f t="shared" si="1"/>
        <v>1</v>
      </c>
      <c r="C242" s="166" t="s">
        <v>1353</v>
      </c>
      <c r="D242" s="186">
        <v>3150.0</v>
      </c>
      <c r="E242" s="189" t="s">
        <v>1147</v>
      </c>
      <c r="F242" s="157" t="s">
        <v>1147</v>
      </c>
      <c r="G242" s="158"/>
    </row>
    <row r="243" hidden="1">
      <c r="A243" s="188">
        <v>1.176433787E9</v>
      </c>
      <c r="B243" s="14" t="str">
        <f t="shared" si="1"/>
        <v>1</v>
      </c>
      <c r="C243" s="157" t="s">
        <v>1147</v>
      </c>
      <c r="D243" s="189" t="s">
        <v>1147</v>
      </c>
      <c r="E243" s="189" t="s">
        <v>1147</v>
      </c>
      <c r="F243" s="157" t="s">
        <v>1147</v>
      </c>
      <c r="G243" s="162"/>
    </row>
    <row r="244" hidden="1">
      <c r="A244" s="185">
        <v>1.16034113E9</v>
      </c>
      <c r="B244" s="7" t="str">
        <f t="shared" si="1"/>
        <v>1</v>
      </c>
      <c r="C244" s="166" t="s">
        <v>1306</v>
      </c>
      <c r="D244" s="186">
        <v>1444.0</v>
      </c>
      <c r="E244" s="189" t="s">
        <v>1147</v>
      </c>
      <c r="F244" s="157" t="s">
        <v>1147</v>
      </c>
      <c r="G244" s="158"/>
    </row>
    <row r="245" hidden="1">
      <c r="A245" s="191">
        <v>1.131183191E9</v>
      </c>
      <c r="B245" s="14" t="str">
        <f t="shared" si="1"/>
        <v>1</v>
      </c>
      <c r="C245" s="157" t="s">
        <v>1147</v>
      </c>
      <c r="D245" s="189" t="s">
        <v>1147</v>
      </c>
      <c r="E245" s="193" t="s">
        <v>1051</v>
      </c>
      <c r="F245" s="161">
        <v>2882.0</v>
      </c>
      <c r="G245" s="162"/>
    </row>
    <row r="246" hidden="1">
      <c r="A246" s="185">
        <v>1.125168797E9</v>
      </c>
      <c r="B246" s="7" t="str">
        <f t="shared" si="1"/>
        <v>1</v>
      </c>
      <c r="C246" s="166" t="s">
        <v>1433</v>
      </c>
      <c r="D246" s="186">
        <v>1543.0</v>
      </c>
      <c r="E246" s="189" t="s">
        <v>1147</v>
      </c>
      <c r="F246" s="157" t="s">
        <v>1147</v>
      </c>
      <c r="G246" s="158"/>
    </row>
    <row r="247" hidden="1">
      <c r="A247" s="191">
        <v>1.131419889E9</v>
      </c>
      <c r="B247" s="14" t="str">
        <f t="shared" si="1"/>
        <v>1</v>
      </c>
      <c r="C247" s="157" t="s">
        <v>1147</v>
      </c>
      <c r="D247" s="189" t="s">
        <v>1147</v>
      </c>
      <c r="E247" s="193" t="s">
        <v>1080</v>
      </c>
      <c r="F247" s="161">
        <v>3102.0</v>
      </c>
      <c r="G247" s="162"/>
    </row>
    <row r="248" hidden="1">
      <c r="A248" s="188">
        <v>1.12297506E9</v>
      </c>
      <c r="B248" s="7" t="str">
        <f t="shared" si="1"/>
        <v>1</v>
      </c>
      <c r="C248" s="157" t="s">
        <v>1147</v>
      </c>
      <c r="D248" s="189" t="s">
        <v>1147</v>
      </c>
      <c r="E248" s="189" t="s">
        <v>1147</v>
      </c>
      <c r="F248" s="157" t="s">
        <v>1147</v>
      </c>
      <c r="G248" s="158"/>
    </row>
    <row r="249" hidden="1">
      <c r="A249" s="188">
        <v>1.125087256E9</v>
      </c>
      <c r="B249" s="14" t="str">
        <f t="shared" si="1"/>
        <v>1</v>
      </c>
      <c r="C249" s="157" t="s">
        <v>1147</v>
      </c>
      <c r="D249" s="189" t="s">
        <v>1147</v>
      </c>
      <c r="E249" s="189" t="s">
        <v>1147</v>
      </c>
      <c r="F249" s="157" t="s">
        <v>1147</v>
      </c>
      <c r="G249" s="162"/>
    </row>
    <row r="250" hidden="1">
      <c r="A250" s="185">
        <v>1.125290644E9</v>
      </c>
      <c r="B250" s="7" t="str">
        <f t="shared" si="1"/>
        <v>1</v>
      </c>
      <c r="C250" s="157" t="s">
        <v>1147</v>
      </c>
      <c r="D250" s="189" t="s">
        <v>1147</v>
      </c>
      <c r="E250" s="186" t="s">
        <v>1049</v>
      </c>
      <c r="F250" s="166">
        <v>2860.0</v>
      </c>
      <c r="G250" s="158"/>
    </row>
    <row r="251" hidden="1">
      <c r="A251" s="188">
        <v>1.125419629E9</v>
      </c>
      <c r="B251" s="14" t="str">
        <f t="shared" si="1"/>
        <v>1</v>
      </c>
      <c r="C251" s="157" t="s">
        <v>1147</v>
      </c>
      <c r="D251" s="189" t="s">
        <v>1147</v>
      </c>
      <c r="E251" s="189" t="s">
        <v>1147</v>
      </c>
      <c r="F251" s="157" t="s">
        <v>1147</v>
      </c>
      <c r="G251" s="162"/>
    </row>
    <row r="252" hidden="1">
      <c r="A252" s="188">
        <v>1.125514396E9</v>
      </c>
      <c r="B252" s="7" t="str">
        <f t="shared" si="1"/>
        <v>1</v>
      </c>
      <c r="C252" s="157" t="s">
        <v>1147</v>
      </c>
      <c r="D252" s="189" t="s">
        <v>1147</v>
      </c>
      <c r="E252" s="189" t="s">
        <v>1147</v>
      </c>
      <c r="F252" s="157" t="s">
        <v>1147</v>
      </c>
      <c r="G252" s="158"/>
    </row>
    <row r="253" hidden="1">
      <c r="A253" s="188">
        <v>1.126140684E9</v>
      </c>
      <c r="B253" s="14" t="str">
        <f t="shared" si="1"/>
        <v>1</v>
      </c>
      <c r="C253" s="157" t="s">
        <v>1147</v>
      </c>
      <c r="D253" s="189" t="s">
        <v>1147</v>
      </c>
      <c r="E253" s="189" t="s">
        <v>1147</v>
      </c>
      <c r="F253" s="157" t="s">
        <v>1147</v>
      </c>
      <c r="G253" s="162"/>
    </row>
    <row r="254" hidden="1">
      <c r="A254" s="185">
        <v>1.126259891E9</v>
      </c>
      <c r="B254" s="7" t="str">
        <f t="shared" si="1"/>
        <v>1</v>
      </c>
      <c r="C254" s="157" t="s">
        <v>1147</v>
      </c>
      <c r="D254" s="189" t="s">
        <v>1147</v>
      </c>
      <c r="E254" s="186" t="s">
        <v>968</v>
      </c>
      <c r="F254" s="166">
        <v>2124.0</v>
      </c>
      <c r="G254" s="158"/>
    </row>
    <row r="255" hidden="1">
      <c r="A255" s="188">
        <v>1.126514459E9</v>
      </c>
      <c r="B255" s="14" t="str">
        <f t="shared" si="1"/>
        <v>1</v>
      </c>
      <c r="C255" s="157" t="s">
        <v>1147</v>
      </c>
      <c r="D255" s="189" t="s">
        <v>1147</v>
      </c>
      <c r="E255" s="189" t="s">
        <v>1147</v>
      </c>
      <c r="F255" s="157" t="s">
        <v>1147</v>
      </c>
      <c r="G255" s="162"/>
    </row>
    <row r="256" hidden="1">
      <c r="A256" s="185">
        <v>1.131343703E9</v>
      </c>
      <c r="B256" s="7" t="str">
        <f t="shared" si="1"/>
        <v>1</v>
      </c>
      <c r="C256" s="157" t="s">
        <v>1147</v>
      </c>
      <c r="D256" s="189" t="s">
        <v>1147</v>
      </c>
      <c r="E256" s="186" t="s">
        <v>1017</v>
      </c>
      <c r="F256" s="166">
        <v>2488.0</v>
      </c>
      <c r="G256" s="158"/>
    </row>
    <row r="257">
      <c r="A257" s="188">
        <v>1.131572115E9</v>
      </c>
      <c r="B257" s="14" t="str">
        <f t="shared" si="1"/>
        <v>1</v>
      </c>
      <c r="C257" s="157" t="s">
        <v>1147</v>
      </c>
      <c r="D257" s="189" t="s">
        <v>1147</v>
      </c>
      <c r="E257" s="189" t="s">
        <v>1147</v>
      </c>
      <c r="F257" s="157" t="s">
        <v>1147</v>
      </c>
      <c r="G257" s="162"/>
    </row>
    <row r="258" hidden="1">
      <c r="A258" s="188">
        <v>1.133361807E9</v>
      </c>
      <c r="B258" s="7" t="str">
        <f t="shared" si="1"/>
        <v>1</v>
      </c>
      <c r="C258" s="157" t="s">
        <v>1147</v>
      </c>
      <c r="D258" s="189" t="s">
        <v>1147</v>
      </c>
      <c r="E258" s="189" t="s">
        <v>1147</v>
      </c>
      <c r="F258" s="157" t="s">
        <v>1147</v>
      </c>
      <c r="G258" s="158"/>
    </row>
    <row r="259" hidden="1">
      <c r="A259" s="188">
        <v>1.136586054E9</v>
      </c>
      <c r="B259" s="14" t="str">
        <f t="shared" si="1"/>
        <v>1</v>
      </c>
      <c r="C259" s="157" t="s">
        <v>1147</v>
      </c>
      <c r="D259" s="189" t="s">
        <v>1147</v>
      </c>
      <c r="E259" s="189" t="s">
        <v>1147</v>
      </c>
      <c r="F259" s="157" t="s">
        <v>1147</v>
      </c>
      <c r="G259" s="162"/>
    </row>
    <row r="260" hidden="1">
      <c r="A260" s="188">
        <v>1.136982014E9</v>
      </c>
      <c r="B260" s="7" t="str">
        <f t="shared" si="1"/>
        <v>1</v>
      </c>
      <c r="C260" s="157" t="s">
        <v>1147</v>
      </c>
      <c r="D260" s="189" t="s">
        <v>1147</v>
      </c>
      <c r="E260" s="189" t="s">
        <v>1147</v>
      </c>
      <c r="F260" s="157" t="s">
        <v>1147</v>
      </c>
      <c r="G260" s="158"/>
    </row>
    <row r="261" hidden="1">
      <c r="A261" s="195">
        <v>1.138986171E9</v>
      </c>
      <c r="B261" s="14" t="str">
        <f t="shared" si="1"/>
        <v>1</v>
      </c>
      <c r="C261" s="157" t="s">
        <v>1147</v>
      </c>
      <c r="D261" s="189" t="s">
        <v>1147</v>
      </c>
      <c r="E261" s="193" t="s">
        <v>1069</v>
      </c>
      <c r="F261" s="161">
        <v>3008.0</v>
      </c>
      <c r="G261" s="162"/>
    </row>
    <row r="262" hidden="1">
      <c r="A262" s="196">
        <v>1.139323687E9</v>
      </c>
      <c r="B262" s="7" t="str">
        <f t="shared" si="1"/>
        <v>1</v>
      </c>
      <c r="C262" s="157" t="s">
        <v>1147</v>
      </c>
      <c r="D262" s="189" t="s">
        <v>1147</v>
      </c>
      <c r="E262" s="186" t="s">
        <v>918</v>
      </c>
      <c r="F262" s="166">
        <v>1644.0</v>
      </c>
      <c r="G262" s="158"/>
    </row>
    <row r="263" hidden="1">
      <c r="A263" s="188">
        <v>1.13946845E9</v>
      </c>
      <c r="B263" s="14" t="str">
        <f t="shared" si="1"/>
        <v>1</v>
      </c>
      <c r="C263" s="157" t="s">
        <v>1147</v>
      </c>
      <c r="D263" s="189" t="s">
        <v>1147</v>
      </c>
      <c r="E263" s="189" t="s">
        <v>1147</v>
      </c>
      <c r="F263" s="157" t="s">
        <v>1147</v>
      </c>
      <c r="G263" s="162"/>
    </row>
    <row r="264" hidden="1">
      <c r="A264" s="196">
        <v>1.140450018E9</v>
      </c>
      <c r="B264" s="7" t="str">
        <f t="shared" si="1"/>
        <v>1</v>
      </c>
      <c r="C264" s="166" t="s">
        <v>1422</v>
      </c>
      <c r="D264" s="186">
        <v>2323.0</v>
      </c>
      <c r="E264" s="186" t="s">
        <v>990</v>
      </c>
      <c r="F264" s="166">
        <v>2323.0</v>
      </c>
      <c r="G264" s="158"/>
    </row>
    <row r="265" hidden="1">
      <c r="A265" s="195">
        <v>1.14145952E9</v>
      </c>
      <c r="B265" s="14" t="str">
        <f t="shared" si="1"/>
        <v>1</v>
      </c>
      <c r="C265" s="161" t="s">
        <v>1406</v>
      </c>
      <c r="D265" s="193">
        <v>2499.0</v>
      </c>
      <c r="E265" s="189" t="s">
        <v>1147</v>
      </c>
      <c r="F265" s="157" t="s">
        <v>1147</v>
      </c>
      <c r="G265" s="162"/>
    </row>
    <row r="266" hidden="1">
      <c r="A266" s="196">
        <v>1.145289291E9</v>
      </c>
      <c r="B266" s="7" t="str">
        <f t="shared" si="1"/>
        <v>1</v>
      </c>
      <c r="C266" s="166" t="s">
        <v>1414</v>
      </c>
      <c r="D266" s="186">
        <v>3018.0</v>
      </c>
      <c r="E266" s="186" t="s">
        <v>1073</v>
      </c>
      <c r="F266" s="166">
        <v>3018.0</v>
      </c>
      <c r="G266" s="158"/>
    </row>
    <row r="267" hidden="1">
      <c r="A267" s="188">
        <v>1.154648938E9</v>
      </c>
      <c r="B267" s="14" t="str">
        <f t="shared" si="1"/>
        <v>1</v>
      </c>
      <c r="C267" s="157" t="s">
        <v>1147</v>
      </c>
      <c r="D267" s="189" t="s">
        <v>1147</v>
      </c>
      <c r="E267" s="189" t="s">
        <v>1147</v>
      </c>
      <c r="F267" s="157" t="s">
        <v>1147</v>
      </c>
      <c r="G267" s="162"/>
    </row>
    <row r="268" hidden="1">
      <c r="A268" s="188">
        <v>1.158258255E9</v>
      </c>
      <c r="B268" s="7" t="str">
        <f t="shared" si="1"/>
        <v>1</v>
      </c>
      <c r="C268" s="157" t="s">
        <v>1147</v>
      </c>
      <c r="D268" s="189" t="s">
        <v>1147</v>
      </c>
      <c r="E268" s="189" t="s">
        <v>1147</v>
      </c>
      <c r="F268" s="157" t="s">
        <v>1147</v>
      </c>
      <c r="G268" s="158"/>
    </row>
    <row r="269" hidden="1">
      <c r="A269" s="188">
        <v>1.159122612E9</v>
      </c>
      <c r="B269" s="14" t="str">
        <f t="shared" si="1"/>
        <v>1</v>
      </c>
      <c r="C269" s="157" t="s">
        <v>1147</v>
      </c>
      <c r="D269" s="189" t="s">
        <v>1147</v>
      </c>
      <c r="E269" s="189" t="s">
        <v>1147</v>
      </c>
      <c r="F269" s="157" t="s">
        <v>1147</v>
      </c>
      <c r="G269" s="162"/>
    </row>
    <row r="270" hidden="1">
      <c r="A270" s="196">
        <v>1.125208147E9</v>
      </c>
      <c r="B270" s="7" t="str">
        <f t="shared" si="1"/>
        <v>1</v>
      </c>
      <c r="C270" s="166" t="s">
        <v>1293</v>
      </c>
      <c r="D270" s="186">
        <v>1677.0</v>
      </c>
      <c r="E270" s="189" t="s">
        <v>1147</v>
      </c>
      <c r="F270" s="157" t="s">
        <v>1147</v>
      </c>
      <c r="G270" s="158"/>
    </row>
    <row r="271" hidden="1">
      <c r="A271" s="195">
        <v>1.166482926E9</v>
      </c>
      <c r="B271" s="14" t="str">
        <f t="shared" si="1"/>
        <v>1</v>
      </c>
      <c r="C271" s="161" t="s">
        <v>1553</v>
      </c>
      <c r="D271" s="193">
        <v>130.0</v>
      </c>
      <c r="E271" s="189" t="s">
        <v>1147</v>
      </c>
      <c r="F271" s="157" t="s">
        <v>1147</v>
      </c>
      <c r="G271" s="162"/>
    </row>
    <row r="272" hidden="1">
      <c r="A272" s="196">
        <v>1.166482926E9</v>
      </c>
      <c r="B272" s="7" t="str">
        <f t="shared" si="1"/>
        <v>1</v>
      </c>
      <c r="C272" s="166" t="s">
        <v>1553</v>
      </c>
      <c r="D272" s="186">
        <v>130.0</v>
      </c>
      <c r="E272" s="189" t="s">
        <v>1147</v>
      </c>
      <c r="F272" s="157" t="s">
        <v>1147</v>
      </c>
      <c r="G272" s="158"/>
    </row>
    <row r="273" hidden="1">
      <c r="A273" s="195">
        <v>1.154181283E9</v>
      </c>
      <c r="B273" s="14" t="str">
        <f t="shared" si="1"/>
        <v>1</v>
      </c>
      <c r="C273" s="161" t="s">
        <v>1483</v>
      </c>
      <c r="D273" s="193">
        <v>1746.0</v>
      </c>
      <c r="E273" s="189" t="s">
        <v>1147</v>
      </c>
      <c r="F273" s="157" t="s">
        <v>1147</v>
      </c>
      <c r="G273" s="162"/>
    </row>
    <row r="274" hidden="1">
      <c r="A274" s="196">
        <v>1.138308481E9</v>
      </c>
      <c r="B274" s="7" t="str">
        <f t="shared" si="1"/>
        <v>1</v>
      </c>
      <c r="C274" s="166" t="s">
        <v>1554</v>
      </c>
      <c r="D274" s="186">
        <v>260.0</v>
      </c>
      <c r="E274" s="189" t="s">
        <v>1147</v>
      </c>
      <c r="F274" s="157" t="s">
        <v>1147</v>
      </c>
      <c r="G274" s="158"/>
    </row>
    <row r="275" hidden="1">
      <c r="A275" s="195">
        <v>1.1380177E9</v>
      </c>
      <c r="B275" s="14" t="str">
        <f t="shared" si="1"/>
        <v>1</v>
      </c>
      <c r="C275" s="161" t="s">
        <v>1429</v>
      </c>
      <c r="D275" s="193">
        <v>1739.0</v>
      </c>
      <c r="E275" s="189" t="s">
        <v>1147</v>
      </c>
      <c r="F275" s="157" t="s">
        <v>1147</v>
      </c>
      <c r="G275" s="162"/>
    </row>
    <row r="276" hidden="1">
      <c r="A276" s="196">
        <v>1.125670074E9</v>
      </c>
      <c r="B276" s="7" t="str">
        <f t="shared" si="1"/>
        <v>1</v>
      </c>
      <c r="C276" s="166" t="s">
        <v>1555</v>
      </c>
      <c r="D276" s="186">
        <v>166.0</v>
      </c>
      <c r="E276" s="189" t="s">
        <v>1147</v>
      </c>
      <c r="F276" s="157" t="s">
        <v>1147</v>
      </c>
      <c r="G276" s="158"/>
    </row>
    <row r="277" hidden="1">
      <c r="A277" s="195">
        <v>1.125993935E9</v>
      </c>
      <c r="B277" s="14" t="str">
        <f t="shared" si="1"/>
        <v>1</v>
      </c>
      <c r="C277" s="161" t="s">
        <v>1556</v>
      </c>
      <c r="D277" s="193">
        <v>303.0</v>
      </c>
      <c r="E277" s="189" t="s">
        <v>1147</v>
      </c>
      <c r="F277" s="157" t="s">
        <v>1147</v>
      </c>
      <c r="G277" s="162"/>
    </row>
    <row r="278" hidden="1">
      <c r="A278" s="197">
        <v>1.151361265E9</v>
      </c>
      <c r="B278" s="7" t="str">
        <f t="shared" si="1"/>
        <v>1</v>
      </c>
      <c r="C278" s="166" t="s">
        <v>1435</v>
      </c>
      <c r="D278" s="186">
        <v>1124.0</v>
      </c>
      <c r="E278" s="189" t="s">
        <v>1147</v>
      </c>
      <c r="F278" s="157" t="s">
        <v>1147</v>
      </c>
      <c r="G278" s="158"/>
    </row>
    <row r="279" hidden="1">
      <c r="A279" s="195">
        <v>1.141633096E9</v>
      </c>
      <c r="B279" s="14" t="str">
        <f t="shared" si="1"/>
        <v>1</v>
      </c>
      <c r="C279" s="161" t="s">
        <v>1368</v>
      </c>
      <c r="D279" s="193">
        <v>769.0</v>
      </c>
      <c r="E279" s="193" t="s">
        <v>887</v>
      </c>
      <c r="F279" s="161">
        <v>769.0</v>
      </c>
      <c r="G279" s="162"/>
    </row>
    <row r="280" hidden="1">
      <c r="A280" s="192">
        <v>1.123010362E9</v>
      </c>
      <c r="B280" s="7" t="str">
        <f t="shared" si="1"/>
        <v>1</v>
      </c>
      <c r="C280" s="157" t="s">
        <v>1147</v>
      </c>
      <c r="D280" s="189" t="s">
        <v>1147</v>
      </c>
      <c r="E280" s="186" t="s">
        <v>1054</v>
      </c>
      <c r="F280" s="166">
        <v>2883.0</v>
      </c>
      <c r="G280" s="158"/>
    </row>
    <row r="281" hidden="1">
      <c r="A281" s="188">
        <v>1.124962694E9</v>
      </c>
      <c r="B281" s="14" t="str">
        <f t="shared" si="1"/>
        <v>1</v>
      </c>
      <c r="C281" s="157" t="s">
        <v>1147</v>
      </c>
      <c r="D281" s="189" t="s">
        <v>1147</v>
      </c>
      <c r="E281" s="189" t="s">
        <v>1147</v>
      </c>
      <c r="F281" s="157" t="s">
        <v>1147</v>
      </c>
      <c r="G281" s="162"/>
    </row>
    <row r="282" hidden="1">
      <c r="A282" s="188">
        <v>1.154840047E9</v>
      </c>
      <c r="B282" s="7" t="str">
        <f t="shared" si="1"/>
        <v>1</v>
      </c>
      <c r="C282" s="157" t="s">
        <v>1147</v>
      </c>
      <c r="D282" s="189" t="s">
        <v>1147</v>
      </c>
      <c r="E282" s="189" t="s">
        <v>1147</v>
      </c>
      <c r="F282" s="157" t="s">
        <v>1147</v>
      </c>
      <c r="G282" s="158"/>
    </row>
    <row r="283" hidden="1">
      <c r="A283" s="195">
        <v>1.122416811E9</v>
      </c>
      <c r="B283" s="14" t="str">
        <f t="shared" si="1"/>
        <v>1</v>
      </c>
      <c r="C283" s="161" t="s">
        <v>1357</v>
      </c>
      <c r="D283" s="193">
        <v>2275.0</v>
      </c>
      <c r="E283" s="193" t="s">
        <v>987</v>
      </c>
      <c r="F283" s="161">
        <v>2275.0</v>
      </c>
      <c r="G283" s="162"/>
    </row>
    <row r="284" hidden="1">
      <c r="A284" s="188">
        <v>1.127559127E9</v>
      </c>
      <c r="B284" s="7" t="str">
        <f t="shared" si="1"/>
        <v>1</v>
      </c>
      <c r="C284" s="157" t="s">
        <v>1147</v>
      </c>
      <c r="D284" s="189" t="s">
        <v>1147</v>
      </c>
      <c r="E284" s="189" t="s">
        <v>1147</v>
      </c>
      <c r="F284" s="157" t="s">
        <v>1147</v>
      </c>
      <c r="G284" s="158"/>
    </row>
    <row r="285" hidden="1">
      <c r="A285" s="188" t="s">
        <v>1557</v>
      </c>
      <c r="B285" s="14" t="str">
        <f t="shared" si="1"/>
        <v>1</v>
      </c>
      <c r="C285" s="157" t="s">
        <v>1147</v>
      </c>
      <c r="D285" s="189" t="s">
        <v>1147</v>
      </c>
      <c r="E285" s="189" t="s">
        <v>1147</v>
      </c>
      <c r="F285" s="157" t="s">
        <v>1147</v>
      </c>
      <c r="G285" s="162"/>
    </row>
    <row r="286" hidden="1">
      <c r="A286" s="188">
        <v>1.155736174E9</v>
      </c>
      <c r="B286" s="7" t="str">
        <f t="shared" si="1"/>
        <v>1</v>
      </c>
      <c r="C286" s="157" t="s">
        <v>1147</v>
      </c>
      <c r="D286" s="189" t="s">
        <v>1147</v>
      </c>
      <c r="E286" s="189" t="s">
        <v>1147</v>
      </c>
      <c r="F286" s="157" t="s">
        <v>1147</v>
      </c>
      <c r="G286" s="158"/>
    </row>
    <row r="287" hidden="1">
      <c r="A287" s="188">
        <v>1.130490042E9</v>
      </c>
      <c r="B287" s="14" t="str">
        <f t="shared" si="1"/>
        <v>1</v>
      </c>
      <c r="C287" s="157" t="s">
        <v>1147</v>
      </c>
      <c r="D287" s="189" t="s">
        <v>1147</v>
      </c>
      <c r="E287" s="189" t="s">
        <v>1147</v>
      </c>
      <c r="F287" s="157" t="s">
        <v>1147</v>
      </c>
      <c r="G287" s="162"/>
    </row>
    <row r="288" hidden="1">
      <c r="A288" s="192">
        <v>1.134798486E9</v>
      </c>
      <c r="B288" s="7" t="str">
        <f t="shared" si="1"/>
        <v>1</v>
      </c>
      <c r="C288" s="157" t="s">
        <v>1147</v>
      </c>
      <c r="D288" s="189" t="s">
        <v>1147</v>
      </c>
      <c r="E288" s="186" t="s">
        <v>1077</v>
      </c>
      <c r="F288" s="166">
        <v>3095.0</v>
      </c>
      <c r="G288" s="158"/>
    </row>
    <row r="289" hidden="1">
      <c r="A289" s="188">
        <v>1.133663658E9</v>
      </c>
      <c r="B289" s="14" t="str">
        <f t="shared" si="1"/>
        <v>1</v>
      </c>
      <c r="C289" s="157" t="s">
        <v>1147</v>
      </c>
      <c r="D289" s="189" t="s">
        <v>1147</v>
      </c>
      <c r="E289" s="189" t="s">
        <v>1147</v>
      </c>
      <c r="F289" s="157" t="s">
        <v>1147</v>
      </c>
      <c r="G289" s="162"/>
    </row>
    <row r="290" hidden="1">
      <c r="A290" s="188">
        <v>1.121937607E9</v>
      </c>
      <c r="B290" s="7" t="str">
        <f t="shared" si="1"/>
        <v>1</v>
      </c>
      <c r="C290" s="157" t="s">
        <v>1147</v>
      </c>
      <c r="D290" s="189" t="s">
        <v>1147</v>
      </c>
      <c r="E290" s="189" t="s">
        <v>1147</v>
      </c>
      <c r="F290" s="157" t="s">
        <v>1147</v>
      </c>
      <c r="G290" s="158"/>
    </row>
    <row r="291" hidden="1">
      <c r="A291" s="195">
        <v>1.150420061E9</v>
      </c>
      <c r="B291" s="14" t="str">
        <f t="shared" si="1"/>
        <v>1</v>
      </c>
      <c r="C291" s="161" t="s">
        <v>1347</v>
      </c>
      <c r="D291" s="193">
        <v>560.0</v>
      </c>
      <c r="E291" s="189" t="s">
        <v>1147</v>
      </c>
      <c r="F291" s="157" t="s">
        <v>1147</v>
      </c>
      <c r="G291" s="162"/>
    </row>
    <row r="292" hidden="1">
      <c r="A292" s="188">
        <v>1.16936781E9</v>
      </c>
      <c r="B292" s="7" t="str">
        <f t="shared" si="1"/>
        <v>1</v>
      </c>
      <c r="C292" s="157" t="s">
        <v>1147</v>
      </c>
      <c r="D292" s="189" t="s">
        <v>1147</v>
      </c>
      <c r="E292" s="189" t="s">
        <v>1147</v>
      </c>
      <c r="F292" s="157" t="s">
        <v>1147</v>
      </c>
      <c r="G292" s="158"/>
    </row>
    <row r="293" hidden="1">
      <c r="A293" s="195">
        <v>1.127588744E9</v>
      </c>
      <c r="B293" s="14" t="str">
        <f t="shared" si="1"/>
        <v>1</v>
      </c>
      <c r="C293" s="161" t="s">
        <v>1558</v>
      </c>
      <c r="D293" s="193">
        <v>129.0</v>
      </c>
      <c r="E293" s="189" t="s">
        <v>1147</v>
      </c>
      <c r="F293" s="157" t="s">
        <v>1147</v>
      </c>
      <c r="G293" s="162"/>
    </row>
    <row r="294" hidden="1">
      <c r="A294" s="196">
        <v>1.168758827E9</v>
      </c>
      <c r="B294" s="7" t="str">
        <f t="shared" si="1"/>
        <v>1</v>
      </c>
      <c r="C294" s="166" t="s">
        <v>1559</v>
      </c>
      <c r="D294" s="186">
        <v>1429.0</v>
      </c>
      <c r="E294" s="189" t="s">
        <v>1147</v>
      </c>
      <c r="F294" s="157" t="s">
        <v>1147</v>
      </c>
      <c r="G294" s="158"/>
    </row>
    <row r="295" hidden="1">
      <c r="A295" s="195">
        <v>1.124773534E9</v>
      </c>
      <c r="B295" s="14" t="str">
        <f t="shared" si="1"/>
        <v>1</v>
      </c>
      <c r="C295" s="161" t="s">
        <v>1274</v>
      </c>
      <c r="D295" s="193">
        <v>413.0</v>
      </c>
      <c r="E295" s="193" t="s">
        <v>870</v>
      </c>
      <c r="F295" s="161">
        <v>413.0</v>
      </c>
      <c r="G295" s="162"/>
    </row>
    <row r="296" hidden="1">
      <c r="A296" s="196">
        <v>1.131666927E9</v>
      </c>
      <c r="B296" s="7" t="str">
        <f t="shared" si="1"/>
        <v>1</v>
      </c>
      <c r="C296" s="166" t="s">
        <v>1263</v>
      </c>
      <c r="D296" s="186">
        <v>925.0</v>
      </c>
      <c r="E296" s="189" t="s">
        <v>1147</v>
      </c>
      <c r="F296" s="157" t="s">
        <v>1147</v>
      </c>
      <c r="G296" s="158"/>
    </row>
    <row r="297" hidden="1">
      <c r="A297" s="192">
        <v>1.153412891E9</v>
      </c>
      <c r="B297" s="14" t="str">
        <f t="shared" si="1"/>
        <v>1</v>
      </c>
      <c r="C297" s="157" t="s">
        <v>1147</v>
      </c>
      <c r="D297" s="189" t="s">
        <v>1147</v>
      </c>
      <c r="E297" s="193" t="s">
        <v>966</v>
      </c>
      <c r="F297" s="161">
        <v>2096.0</v>
      </c>
      <c r="G297" s="162"/>
    </row>
    <row r="298" hidden="1">
      <c r="A298" s="196">
        <v>1.127563862E9</v>
      </c>
      <c r="B298" s="7" t="str">
        <f t="shared" si="1"/>
        <v>1</v>
      </c>
      <c r="C298" s="166" t="s">
        <v>1497</v>
      </c>
      <c r="D298" s="186">
        <v>2043.0</v>
      </c>
      <c r="E298" s="186" t="s">
        <v>963</v>
      </c>
      <c r="F298" s="166">
        <v>2043.0</v>
      </c>
      <c r="G298" s="158"/>
    </row>
    <row r="299" hidden="1">
      <c r="A299" s="188">
        <v>1.121781795E9</v>
      </c>
      <c r="B299" s="14" t="str">
        <f t="shared" si="1"/>
        <v>1</v>
      </c>
      <c r="C299" s="157" t="s">
        <v>1147</v>
      </c>
      <c r="D299" s="189" t="s">
        <v>1147</v>
      </c>
      <c r="E299" s="189" t="s">
        <v>1147</v>
      </c>
      <c r="F299" s="157" t="s">
        <v>1147</v>
      </c>
      <c r="G299" s="162"/>
    </row>
    <row r="300" hidden="1">
      <c r="A300" s="196">
        <v>1.140554236E9</v>
      </c>
      <c r="B300" s="7" t="str">
        <f t="shared" si="1"/>
        <v>1</v>
      </c>
      <c r="C300" s="166" t="s">
        <v>1560</v>
      </c>
      <c r="D300" s="186"/>
      <c r="E300" s="189" t="s">
        <v>1147</v>
      </c>
      <c r="F300" s="157" t="s">
        <v>1147</v>
      </c>
      <c r="G300" s="158"/>
    </row>
    <row r="301" hidden="1">
      <c r="A301" s="188">
        <v>1.165963623E9</v>
      </c>
      <c r="B301" s="14" t="str">
        <f t="shared" si="1"/>
        <v>1</v>
      </c>
      <c r="C301" s="157" t="s">
        <v>1147</v>
      </c>
      <c r="D301" s="189" t="s">
        <v>1147</v>
      </c>
      <c r="E301" s="189" t="s">
        <v>1147</v>
      </c>
      <c r="F301" s="157" t="s">
        <v>1147</v>
      </c>
      <c r="G301" s="162"/>
    </row>
    <row r="302" hidden="1">
      <c r="A302" s="188">
        <v>1.150370216E9</v>
      </c>
      <c r="B302" s="7" t="str">
        <f t="shared" si="1"/>
        <v>1</v>
      </c>
      <c r="C302" s="157" t="s">
        <v>1147</v>
      </c>
      <c r="D302" s="189" t="s">
        <v>1147</v>
      </c>
      <c r="E302" s="189" t="s">
        <v>1147</v>
      </c>
      <c r="F302" s="157" t="s">
        <v>1147</v>
      </c>
      <c r="G302" s="158"/>
    </row>
    <row r="303" hidden="1">
      <c r="A303" s="192">
        <v>1.150058065E9</v>
      </c>
      <c r="B303" s="14" t="str">
        <f t="shared" si="1"/>
        <v>1</v>
      </c>
      <c r="C303" s="157" t="s">
        <v>1147</v>
      </c>
      <c r="D303" s="189" t="s">
        <v>1147</v>
      </c>
      <c r="E303" s="193" t="s">
        <v>1096</v>
      </c>
      <c r="F303" s="161">
        <v>3213.0</v>
      </c>
      <c r="G303" s="162"/>
    </row>
    <row r="304" hidden="1">
      <c r="A304" s="188">
        <v>1.121554379E9</v>
      </c>
      <c r="B304" s="7" t="str">
        <f t="shared" si="1"/>
        <v>1</v>
      </c>
      <c r="C304" s="157" t="s">
        <v>1147</v>
      </c>
      <c r="D304" s="189" t="s">
        <v>1147</v>
      </c>
      <c r="E304" s="189" t="s">
        <v>1147</v>
      </c>
      <c r="F304" s="157" t="s">
        <v>1147</v>
      </c>
      <c r="G304" s="158"/>
    </row>
    <row r="305" hidden="1">
      <c r="A305" s="195">
        <v>1.13137428E9</v>
      </c>
      <c r="B305" s="14" t="str">
        <f t="shared" si="1"/>
        <v>1</v>
      </c>
      <c r="C305" s="161" t="s">
        <v>1561</v>
      </c>
      <c r="D305" s="193">
        <v>343.0</v>
      </c>
      <c r="E305" s="189" t="s">
        <v>1147</v>
      </c>
      <c r="F305" s="157" t="s">
        <v>1147</v>
      </c>
      <c r="G305" s="162"/>
    </row>
    <row r="306" hidden="1">
      <c r="A306" s="198">
        <v>1.161708518E9</v>
      </c>
      <c r="B306" s="199" t="str">
        <f t="shared" si="1"/>
        <v>1</v>
      </c>
      <c r="C306" s="199" t="s">
        <v>1562</v>
      </c>
      <c r="D306" s="200" t="s">
        <v>1147</v>
      </c>
      <c r="E306" s="201"/>
      <c r="F306" s="202"/>
      <c r="G306" s="203"/>
    </row>
    <row r="307">
      <c r="A307" s="204"/>
    </row>
    <row r="308">
      <c r="A308" s="204"/>
    </row>
    <row r="309">
      <c r="A309" s="204"/>
    </row>
    <row r="310">
      <c r="A310" s="204"/>
      <c r="C310" s="121">
        <v>199.0</v>
      </c>
    </row>
    <row r="311">
      <c r="A311" s="204"/>
    </row>
    <row r="312">
      <c r="A312" s="204"/>
    </row>
    <row r="313">
      <c r="A313" s="204"/>
    </row>
    <row r="314">
      <c r="A314" s="204"/>
    </row>
    <row r="315">
      <c r="A315" s="204"/>
    </row>
    <row r="316">
      <c r="A316" s="204"/>
    </row>
    <row r="317">
      <c r="A317" s="204"/>
    </row>
    <row r="318">
      <c r="A318" s="204"/>
    </row>
    <row r="319">
      <c r="A319" s="204"/>
    </row>
    <row r="320">
      <c r="A320" s="204"/>
    </row>
    <row r="321">
      <c r="A321" s="204"/>
    </row>
    <row r="322">
      <c r="A322" s="204"/>
    </row>
    <row r="323">
      <c r="A323" s="204"/>
    </row>
    <row r="324">
      <c r="A324" s="204"/>
    </row>
    <row r="325">
      <c r="A325" s="204"/>
    </row>
    <row r="326">
      <c r="A326" s="204"/>
    </row>
    <row r="327">
      <c r="A327" s="204"/>
    </row>
    <row r="328">
      <c r="A328" s="204"/>
    </row>
    <row r="329">
      <c r="A329" s="204"/>
    </row>
    <row r="330">
      <c r="A330" s="204"/>
    </row>
    <row r="331">
      <c r="A331" s="204"/>
    </row>
    <row r="332">
      <c r="A332" s="204"/>
    </row>
    <row r="333">
      <c r="A333" s="204"/>
    </row>
    <row r="334">
      <c r="A334" s="204"/>
    </row>
    <row r="335">
      <c r="A335" s="204"/>
    </row>
    <row r="336">
      <c r="A336" s="204"/>
    </row>
    <row r="337">
      <c r="A337" s="204"/>
    </row>
    <row r="338">
      <c r="A338" s="204"/>
    </row>
    <row r="339">
      <c r="A339" s="204"/>
    </row>
    <row r="340">
      <c r="A340" s="204"/>
    </row>
    <row r="341">
      <c r="A341" s="204"/>
    </row>
    <row r="342">
      <c r="A342" s="204"/>
    </row>
    <row r="343">
      <c r="A343" s="204"/>
    </row>
    <row r="344">
      <c r="A344" s="204"/>
    </row>
    <row r="345">
      <c r="A345" s="204"/>
    </row>
    <row r="346">
      <c r="A346" s="204"/>
    </row>
    <row r="347">
      <c r="A347" s="204"/>
    </row>
    <row r="348">
      <c r="A348" s="204"/>
    </row>
    <row r="349">
      <c r="A349" s="204"/>
    </row>
    <row r="350">
      <c r="A350" s="204"/>
    </row>
    <row r="351">
      <c r="A351" s="204"/>
    </row>
    <row r="352">
      <c r="A352" s="204"/>
    </row>
    <row r="353">
      <c r="A353" s="204"/>
    </row>
    <row r="354">
      <c r="A354" s="204"/>
    </row>
    <row r="355">
      <c r="A355" s="204"/>
    </row>
    <row r="356">
      <c r="A356" s="204"/>
    </row>
    <row r="357">
      <c r="A357" s="204"/>
    </row>
    <row r="358">
      <c r="A358" s="204"/>
    </row>
    <row r="359">
      <c r="A359" s="204"/>
    </row>
    <row r="360">
      <c r="A360" s="204"/>
    </row>
    <row r="361">
      <c r="A361" s="204"/>
    </row>
    <row r="362">
      <c r="A362" s="204"/>
    </row>
    <row r="363">
      <c r="A363" s="204"/>
    </row>
    <row r="364">
      <c r="A364" s="204"/>
    </row>
    <row r="365">
      <c r="A365" s="204"/>
    </row>
    <row r="366">
      <c r="A366" s="204"/>
    </row>
    <row r="367">
      <c r="A367" s="204"/>
    </row>
    <row r="368">
      <c r="A368" s="204"/>
    </row>
    <row r="369">
      <c r="A369" s="204"/>
    </row>
    <row r="370">
      <c r="A370" s="204"/>
    </row>
    <row r="371">
      <c r="A371" s="204"/>
    </row>
    <row r="372">
      <c r="A372" s="204"/>
    </row>
    <row r="373">
      <c r="A373" s="204"/>
    </row>
    <row r="374">
      <c r="A374" s="204"/>
    </row>
    <row r="375">
      <c r="A375" s="204"/>
    </row>
    <row r="376">
      <c r="A376" s="204"/>
    </row>
    <row r="377">
      <c r="A377" s="204"/>
    </row>
    <row r="378">
      <c r="A378" s="204"/>
    </row>
    <row r="379">
      <c r="A379" s="204"/>
    </row>
    <row r="380">
      <c r="A380" s="204"/>
    </row>
    <row r="381">
      <c r="A381" s="204"/>
    </row>
    <row r="382">
      <c r="A382" s="204"/>
    </row>
    <row r="383">
      <c r="A383" s="204"/>
    </row>
    <row r="384">
      <c r="A384" s="204"/>
    </row>
    <row r="385">
      <c r="A385" s="204"/>
    </row>
    <row r="386">
      <c r="A386" s="204"/>
    </row>
    <row r="387">
      <c r="A387" s="204"/>
    </row>
    <row r="388">
      <c r="A388" s="204"/>
    </row>
    <row r="389">
      <c r="A389" s="204"/>
    </row>
    <row r="390">
      <c r="A390" s="204"/>
    </row>
    <row r="391">
      <c r="A391" s="204"/>
    </row>
    <row r="392">
      <c r="A392" s="204"/>
    </row>
    <row r="393">
      <c r="A393" s="204"/>
    </row>
    <row r="394">
      <c r="A394" s="204"/>
    </row>
    <row r="395">
      <c r="A395" s="204"/>
    </row>
    <row r="396">
      <c r="A396" s="204"/>
    </row>
    <row r="397">
      <c r="A397" s="204"/>
    </row>
    <row r="398">
      <c r="A398" s="204"/>
    </row>
    <row r="399">
      <c r="A399" s="204"/>
    </row>
    <row r="400">
      <c r="A400" s="204"/>
    </row>
    <row r="401">
      <c r="A401" s="204"/>
    </row>
    <row r="402">
      <c r="A402" s="204"/>
    </row>
    <row r="403">
      <c r="A403" s="204"/>
    </row>
    <row r="404">
      <c r="A404" s="204"/>
    </row>
    <row r="405">
      <c r="A405" s="204"/>
    </row>
    <row r="406">
      <c r="A406" s="204"/>
    </row>
    <row r="407">
      <c r="A407" s="204"/>
    </row>
    <row r="408">
      <c r="A408" s="204"/>
    </row>
    <row r="409">
      <c r="A409" s="204"/>
    </row>
    <row r="410">
      <c r="A410" s="204"/>
    </row>
    <row r="411">
      <c r="A411" s="204"/>
    </row>
    <row r="412">
      <c r="A412" s="204"/>
    </row>
    <row r="413">
      <c r="A413" s="204"/>
    </row>
    <row r="414">
      <c r="A414" s="204"/>
    </row>
    <row r="415">
      <c r="A415" s="204"/>
    </row>
    <row r="416">
      <c r="A416" s="204"/>
    </row>
    <row r="417">
      <c r="A417" s="204"/>
    </row>
    <row r="418">
      <c r="A418" s="204"/>
    </row>
    <row r="419">
      <c r="A419" s="204"/>
    </row>
    <row r="420">
      <c r="A420" s="204"/>
    </row>
    <row r="421">
      <c r="A421" s="204"/>
    </row>
    <row r="422">
      <c r="A422" s="204"/>
    </row>
    <row r="423">
      <c r="A423" s="204"/>
    </row>
    <row r="424">
      <c r="A424" s="204"/>
    </row>
    <row r="425">
      <c r="A425" s="204"/>
    </row>
    <row r="426">
      <c r="A426" s="204"/>
    </row>
    <row r="427">
      <c r="A427" s="204"/>
    </row>
    <row r="428">
      <c r="A428" s="204"/>
    </row>
    <row r="429">
      <c r="A429" s="204"/>
    </row>
    <row r="430">
      <c r="A430" s="204"/>
    </row>
    <row r="431">
      <c r="A431" s="204"/>
    </row>
    <row r="432">
      <c r="A432" s="204"/>
    </row>
    <row r="433">
      <c r="A433" s="204"/>
    </row>
    <row r="434">
      <c r="A434" s="204"/>
    </row>
    <row r="435">
      <c r="A435" s="204"/>
    </row>
    <row r="436">
      <c r="A436" s="204"/>
    </row>
    <row r="437">
      <c r="A437" s="204"/>
    </row>
    <row r="438">
      <c r="A438" s="204"/>
    </row>
    <row r="439">
      <c r="A439" s="204"/>
    </row>
    <row r="440">
      <c r="A440" s="204"/>
    </row>
    <row r="441">
      <c r="A441" s="204"/>
    </row>
    <row r="442">
      <c r="A442" s="204"/>
    </row>
    <row r="443">
      <c r="A443" s="204"/>
    </row>
    <row r="444">
      <c r="A444" s="204"/>
    </row>
    <row r="445">
      <c r="A445" s="204"/>
    </row>
    <row r="446">
      <c r="A446" s="204"/>
    </row>
    <row r="447">
      <c r="A447" s="204"/>
    </row>
    <row r="448">
      <c r="A448" s="204"/>
    </row>
    <row r="449">
      <c r="A449" s="204"/>
    </row>
    <row r="450">
      <c r="A450" s="204"/>
    </row>
    <row r="451">
      <c r="A451" s="204"/>
    </row>
    <row r="452">
      <c r="A452" s="204"/>
    </row>
    <row r="453">
      <c r="A453" s="204"/>
    </row>
    <row r="454">
      <c r="A454" s="204"/>
    </row>
    <row r="455">
      <c r="A455" s="204"/>
    </row>
    <row r="456">
      <c r="A456" s="204"/>
    </row>
    <row r="457">
      <c r="A457" s="204"/>
    </row>
    <row r="458">
      <c r="A458" s="204"/>
    </row>
    <row r="459">
      <c r="A459" s="204"/>
    </row>
    <row r="460">
      <c r="A460" s="204"/>
    </row>
    <row r="461">
      <c r="A461" s="204"/>
    </row>
    <row r="462">
      <c r="A462" s="204"/>
    </row>
    <row r="463">
      <c r="A463" s="204"/>
    </row>
    <row r="464">
      <c r="A464" s="204"/>
    </row>
    <row r="465">
      <c r="A465" s="204"/>
    </row>
    <row r="466">
      <c r="A466" s="204"/>
    </row>
    <row r="467">
      <c r="A467" s="204"/>
    </row>
    <row r="468">
      <c r="A468" s="204"/>
    </row>
    <row r="469">
      <c r="A469" s="204"/>
    </row>
    <row r="470">
      <c r="A470" s="204"/>
    </row>
    <row r="471">
      <c r="A471" s="204"/>
    </row>
    <row r="472">
      <c r="A472" s="204"/>
    </row>
    <row r="473">
      <c r="A473" s="204"/>
    </row>
    <row r="474">
      <c r="A474" s="204"/>
    </row>
    <row r="475">
      <c r="A475" s="204"/>
    </row>
    <row r="476">
      <c r="A476" s="204"/>
    </row>
    <row r="477">
      <c r="A477" s="204"/>
    </row>
    <row r="478">
      <c r="A478" s="204"/>
    </row>
    <row r="479">
      <c r="A479" s="204"/>
    </row>
    <row r="480">
      <c r="A480" s="204"/>
    </row>
    <row r="481">
      <c r="A481" s="204"/>
    </row>
    <row r="482">
      <c r="A482" s="204"/>
    </row>
    <row r="483">
      <c r="A483" s="204"/>
    </row>
    <row r="484">
      <c r="A484" s="204"/>
    </row>
    <row r="485">
      <c r="A485" s="204"/>
    </row>
    <row r="486">
      <c r="A486" s="204"/>
    </row>
    <row r="487">
      <c r="A487" s="204"/>
    </row>
    <row r="488">
      <c r="A488" s="204"/>
    </row>
    <row r="489">
      <c r="A489" s="204"/>
    </row>
    <row r="490">
      <c r="A490" s="204"/>
    </row>
    <row r="491">
      <c r="A491" s="204"/>
    </row>
    <row r="492">
      <c r="A492" s="204"/>
    </row>
    <row r="493">
      <c r="A493" s="204"/>
    </row>
    <row r="494">
      <c r="A494" s="204"/>
    </row>
    <row r="495">
      <c r="A495" s="204"/>
    </row>
    <row r="496">
      <c r="A496" s="204"/>
    </row>
    <row r="497">
      <c r="A497" s="204"/>
    </row>
    <row r="498">
      <c r="A498" s="204"/>
    </row>
    <row r="499">
      <c r="A499" s="204"/>
    </row>
    <row r="500">
      <c r="A500" s="204"/>
    </row>
    <row r="501">
      <c r="A501" s="204"/>
    </row>
    <row r="502">
      <c r="A502" s="204"/>
    </row>
    <row r="503">
      <c r="A503" s="204"/>
    </row>
    <row r="504">
      <c r="A504" s="204"/>
    </row>
    <row r="505">
      <c r="A505" s="204"/>
    </row>
    <row r="506">
      <c r="A506" s="204"/>
    </row>
    <row r="507">
      <c r="A507" s="204"/>
    </row>
    <row r="508">
      <c r="A508" s="204"/>
    </row>
    <row r="509">
      <c r="A509" s="204"/>
    </row>
    <row r="510">
      <c r="A510" s="204"/>
    </row>
    <row r="511">
      <c r="A511" s="204"/>
    </row>
    <row r="512">
      <c r="A512" s="204"/>
    </row>
    <row r="513">
      <c r="A513" s="204"/>
    </row>
    <row r="514">
      <c r="A514" s="204"/>
    </row>
    <row r="515">
      <c r="A515" s="204"/>
    </row>
    <row r="516">
      <c r="A516" s="204"/>
    </row>
    <row r="517">
      <c r="A517" s="204"/>
    </row>
    <row r="518">
      <c r="A518" s="204"/>
    </row>
    <row r="519">
      <c r="A519" s="204"/>
    </row>
    <row r="520">
      <c r="A520" s="204"/>
    </row>
    <row r="521">
      <c r="A521" s="204"/>
    </row>
    <row r="522">
      <c r="A522" s="204"/>
    </row>
    <row r="523">
      <c r="A523" s="204"/>
    </row>
    <row r="524">
      <c r="A524" s="204"/>
    </row>
    <row r="525">
      <c r="A525" s="204"/>
    </row>
    <row r="526">
      <c r="A526" s="204"/>
    </row>
    <row r="527">
      <c r="A527" s="204"/>
    </row>
    <row r="528">
      <c r="A528" s="204"/>
    </row>
    <row r="529">
      <c r="A529" s="204"/>
    </row>
    <row r="530">
      <c r="A530" s="204"/>
    </row>
    <row r="531">
      <c r="A531" s="204"/>
    </row>
    <row r="532">
      <c r="A532" s="204"/>
    </row>
    <row r="533">
      <c r="A533" s="204"/>
    </row>
    <row r="534">
      <c r="A534" s="204"/>
    </row>
    <row r="535">
      <c r="A535" s="204"/>
    </row>
    <row r="536">
      <c r="A536" s="204"/>
    </row>
    <row r="537">
      <c r="A537" s="204"/>
    </row>
    <row r="538">
      <c r="A538" s="204"/>
    </row>
    <row r="539">
      <c r="A539" s="204"/>
    </row>
    <row r="540">
      <c r="A540" s="204"/>
    </row>
    <row r="541">
      <c r="A541" s="204"/>
    </row>
    <row r="542">
      <c r="A542" s="204"/>
    </row>
    <row r="543">
      <c r="A543" s="204"/>
    </row>
    <row r="544">
      <c r="A544" s="204"/>
    </row>
    <row r="545">
      <c r="A545" s="204"/>
    </row>
    <row r="546">
      <c r="A546" s="204"/>
    </row>
    <row r="547">
      <c r="A547" s="204"/>
    </row>
    <row r="548">
      <c r="A548" s="204"/>
    </row>
    <row r="549">
      <c r="A549" s="204"/>
    </row>
    <row r="550">
      <c r="A550" s="204"/>
    </row>
    <row r="551">
      <c r="A551" s="204"/>
    </row>
    <row r="552">
      <c r="A552" s="204"/>
    </row>
    <row r="553">
      <c r="A553" s="204"/>
    </row>
    <row r="554">
      <c r="A554" s="204"/>
    </row>
    <row r="555">
      <c r="A555" s="204"/>
    </row>
    <row r="556">
      <c r="A556" s="204"/>
    </row>
    <row r="557">
      <c r="A557" s="204"/>
    </row>
    <row r="558">
      <c r="A558" s="204"/>
    </row>
    <row r="559">
      <c r="A559" s="204"/>
    </row>
    <row r="560">
      <c r="A560" s="204"/>
    </row>
    <row r="561">
      <c r="A561" s="204"/>
    </row>
    <row r="562">
      <c r="A562" s="204"/>
    </row>
    <row r="563">
      <c r="A563" s="204"/>
    </row>
    <row r="564">
      <c r="A564" s="204"/>
    </row>
    <row r="565">
      <c r="A565" s="204"/>
    </row>
    <row r="566">
      <c r="A566" s="204"/>
    </row>
    <row r="567">
      <c r="A567" s="204"/>
    </row>
    <row r="568">
      <c r="A568" s="204"/>
    </row>
    <row r="569">
      <c r="A569" s="204"/>
    </row>
    <row r="570">
      <c r="A570" s="204"/>
    </row>
    <row r="571">
      <c r="A571" s="204"/>
    </row>
    <row r="572">
      <c r="A572" s="204"/>
    </row>
    <row r="573">
      <c r="A573" s="204"/>
    </row>
    <row r="574">
      <c r="A574" s="204"/>
    </row>
    <row r="575">
      <c r="A575" s="204"/>
    </row>
    <row r="576">
      <c r="A576" s="204"/>
    </row>
    <row r="577">
      <c r="A577" s="204"/>
    </row>
    <row r="578">
      <c r="A578" s="204"/>
    </row>
    <row r="579">
      <c r="A579" s="204"/>
    </row>
    <row r="580">
      <c r="A580" s="204"/>
    </row>
    <row r="581">
      <c r="A581" s="204"/>
    </row>
    <row r="582">
      <c r="A582" s="204"/>
    </row>
    <row r="583">
      <c r="A583" s="204"/>
    </row>
    <row r="584">
      <c r="A584" s="204"/>
    </row>
    <row r="585">
      <c r="A585" s="204"/>
    </row>
    <row r="586">
      <c r="A586" s="204"/>
    </row>
    <row r="587">
      <c r="A587" s="204"/>
    </row>
    <row r="588">
      <c r="A588" s="204"/>
    </row>
    <row r="589">
      <c r="A589" s="204"/>
    </row>
    <row r="590">
      <c r="A590" s="204"/>
    </row>
    <row r="591">
      <c r="A591" s="204"/>
    </row>
    <row r="592">
      <c r="A592" s="204"/>
    </row>
    <row r="593">
      <c r="A593" s="204"/>
    </row>
    <row r="594">
      <c r="A594" s="204"/>
    </row>
    <row r="595">
      <c r="A595" s="204"/>
    </row>
    <row r="596">
      <c r="A596" s="204"/>
    </row>
    <row r="597">
      <c r="A597" s="204"/>
    </row>
    <row r="598">
      <c r="A598" s="204"/>
    </row>
    <row r="599">
      <c r="A599" s="204"/>
    </row>
    <row r="600">
      <c r="A600" s="204"/>
    </row>
    <row r="601">
      <c r="A601" s="204"/>
    </row>
    <row r="602">
      <c r="A602" s="204"/>
    </row>
    <row r="603">
      <c r="A603" s="204"/>
    </row>
    <row r="604">
      <c r="A604" s="204"/>
    </row>
    <row r="605">
      <c r="A605" s="204"/>
    </row>
    <row r="606">
      <c r="A606" s="204"/>
    </row>
    <row r="607">
      <c r="A607" s="204"/>
    </row>
    <row r="608">
      <c r="A608" s="204"/>
    </row>
    <row r="609">
      <c r="A609" s="204"/>
    </row>
    <row r="610">
      <c r="A610" s="204"/>
    </row>
    <row r="611">
      <c r="A611" s="204"/>
    </row>
    <row r="612">
      <c r="A612" s="204"/>
    </row>
    <row r="613">
      <c r="A613" s="204"/>
    </row>
    <row r="614">
      <c r="A614" s="204"/>
    </row>
    <row r="615">
      <c r="A615" s="204"/>
    </row>
    <row r="616">
      <c r="A616" s="204"/>
    </row>
    <row r="617">
      <c r="A617" s="204"/>
    </row>
    <row r="618">
      <c r="A618" s="204"/>
    </row>
    <row r="619">
      <c r="A619" s="204"/>
    </row>
    <row r="620">
      <c r="A620" s="204"/>
    </row>
    <row r="621">
      <c r="A621" s="204"/>
    </row>
    <row r="622">
      <c r="A622" s="204"/>
    </row>
    <row r="623">
      <c r="A623" s="204"/>
    </row>
    <row r="624">
      <c r="A624" s="204"/>
    </row>
    <row r="625">
      <c r="A625" s="204"/>
    </row>
    <row r="626">
      <c r="A626" s="204"/>
    </row>
    <row r="627">
      <c r="A627" s="204"/>
    </row>
    <row r="628">
      <c r="A628" s="204"/>
    </row>
    <row r="629">
      <c r="A629" s="204"/>
    </row>
    <row r="630">
      <c r="A630" s="204"/>
    </row>
    <row r="631">
      <c r="A631" s="204"/>
    </row>
    <row r="632">
      <c r="A632" s="204"/>
    </row>
    <row r="633">
      <c r="A633" s="204"/>
    </row>
    <row r="634">
      <c r="A634" s="204"/>
    </row>
    <row r="635">
      <c r="A635" s="204"/>
    </row>
    <row r="636">
      <c r="A636" s="204"/>
    </row>
    <row r="637">
      <c r="A637" s="204"/>
    </row>
    <row r="638">
      <c r="A638" s="204"/>
    </row>
    <row r="639">
      <c r="A639" s="204"/>
    </row>
    <row r="640">
      <c r="A640" s="204"/>
    </row>
    <row r="641">
      <c r="A641" s="204"/>
    </row>
    <row r="642">
      <c r="A642" s="204"/>
    </row>
    <row r="643">
      <c r="A643" s="204"/>
    </row>
    <row r="644">
      <c r="A644" s="204"/>
    </row>
    <row r="645">
      <c r="A645" s="204"/>
    </row>
    <row r="646">
      <c r="A646" s="204"/>
    </row>
    <row r="647">
      <c r="A647" s="204"/>
    </row>
    <row r="648">
      <c r="A648" s="204"/>
    </row>
    <row r="649">
      <c r="A649" s="204"/>
    </row>
    <row r="650">
      <c r="A650" s="204"/>
    </row>
    <row r="651">
      <c r="A651" s="204"/>
    </row>
    <row r="652">
      <c r="A652" s="204"/>
    </row>
    <row r="653">
      <c r="A653" s="204"/>
    </row>
    <row r="654">
      <c r="A654" s="204"/>
    </row>
    <row r="655">
      <c r="A655" s="204"/>
    </row>
    <row r="656">
      <c r="A656" s="204"/>
    </row>
    <row r="657">
      <c r="A657" s="204"/>
    </row>
    <row r="658">
      <c r="A658" s="204"/>
    </row>
    <row r="659">
      <c r="A659" s="204"/>
    </row>
    <row r="660">
      <c r="A660" s="204"/>
    </row>
    <row r="661">
      <c r="A661" s="204"/>
    </row>
    <row r="662">
      <c r="A662" s="204"/>
    </row>
    <row r="663">
      <c r="A663" s="204"/>
    </row>
    <row r="664">
      <c r="A664" s="204"/>
    </row>
    <row r="665">
      <c r="A665" s="204"/>
    </row>
    <row r="666">
      <c r="A666" s="204"/>
    </row>
    <row r="667">
      <c r="A667" s="204"/>
    </row>
    <row r="668">
      <c r="A668" s="204"/>
    </row>
    <row r="669">
      <c r="A669" s="204"/>
    </row>
    <row r="670">
      <c r="A670" s="204"/>
    </row>
    <row r="671">
      <c r="A671" s="204"/>
    </row>
    <row r="672">
      <c r="A672" s="204"/>
    </row>
    <row r="673">
      <c r="A673" s="204"/>
    </row>
    <row r="674">
      <c r="A674" s="204"/>
    </row>
    <row r="675">
      <c r="A675" s="204"/>
    </row>
    <row r="676">
      <c r="A676" s="204"/>
    </row>
    <row r="677">
      <c r="A677" s="204"/>
    </row>
    <row r="678">
      <c r="A678" s="204"/>
    </row>
    <row r="679">
      <c r="A679" s="204"/>
    </row>
    <row r="680">
      <c r="A680" s="204"/>
    </row>
    <row r="681">
      <c r="A681" s="204"/>
    </row>
    <row r="682">
      <c r="A682" s="204"/>
    </row>
    <row r="683">
      <c r="A683" s="204"/>
    </row>
    <row r="684">
      <c r="A684" s="204"/>
    </row>
    <row r="685">
      <c r="A685" s="204"/>
    </row>
    <row r="686">
      <c r="A686" s="204"/>
    </row>
    <row r="687">
      <c r="A687" s="204"/>
    </row>
    <row r="688">
      <c r="A688" s="204"/>
    </row>
    <row r="689">
      <c r="A689" s="204"/>
    </row>
    <row r="690">
      <c r="A690" s="204"/>
    </row>
    <row r="691">
      <c r="A691" s="204"/>
    </row>
    <row r="692">
      <c r="A692" s="204"/>
    </row>
    <row r="693">
      <c r="A693" s="204"/>
    </row>
    <row r="694">
      <c r="A694" s="204"/>
    </row>
    <row r="695">
      <c r="A695" s="204"/>
    </row>
    <row r="696">
      <c r="A696" s="204"/>
    </row>
    <row r="697">
      <c r="A697" s="204"/>
    </row>
    <row r="698">
      <c r="A698" s="204"/>
    </row>
    <row r="699">
      <c r="A699" s="204"/>
    </row>
    <row r="700">
      <c r="A700" s="204"/>
    </row>
    <row r="701">
      <c r="A701" s="204"/>
    </row>
    <row r="702">
      <c r="A702" s="204"/>
    </row>
    <row r="703">
      <c r="A703" s="204"/>
    </row>
    <row r="704">
      <c r="A704" s="204"/>
    </row>
    <row r="705">
      <c r="A705" s="204"/>
    </row>
    <row r="706">
      <c r="A706" s="204"/>
    </row>
    <row r="707">
      <c r="A707" s="204"/>
    </row>
    <row r="708">
      <c r="A708" s="204"/>
    </row>
    <row r="709">
      <c r="A709" s="204"/>
    </row>
    <row r="710">
      <c r="A710" s="204"/>
    </row>
    <row r="711">
      <c r="A711" s="204"/>
    </row>
    <row r="712">
      <c r="A712" s="204"/>
    </row>
    <row r="713">
      <c r="A713" s="204"/>
    </row>
    <row r="714">
      <c r="A714" s="204"/>
    </row>
    <row r="715">
      <c r="A715" s="204"/>
    </row>
    <row r="716">
      <c r="A716" s="204"/>
    </row>
    <row r="717">
      <c r="A717" s="204"/>
    </row>
    <row r="718">
      <c r="A718" s="204"/>
    </row>
    <row r="719">
      <c r="A719" s="204"/>
    </row>
    <row r="720">
      <c r="A720" s="204"/>
    </row>
    <row r="721">
      <c r="A721" s="204"/>
    </row>
    <row r="722">
      <c r="A722" s="204"/>
    </row>
    <row r="723">
      <c r="A723" s="204"/>
    </row>
    <row r="724">
      <c r="A724" s="204"/>
    </row>
    <row r="725">
      <c r="A725" s="204"/>
    </row>
    <row r="726">
      <c r="A726" s="204"/>
    </row>
    <row r="727">
      <c r="A727" s="204"/>
    </row>
    <row r="728">
      <c r="A728" s="204"/>
    </row>
    <row r="729">
      <c r="A729" s="204"/>
    </row>
    <row r="730">
      <c r="A730" s="204"/>
    </row>
    <row r="731">
      <c r="A731" s="204"/>
    </row>
    <row r="732">
      <c r="A732" s="204"/>
    </row>
    <row r="733">
      <c r="A733" s="204"/>
    </row>
    <row r="734">
      <c r="A734" s="204"/>
    </row>
    <row r="735">
      <c r="A735" s="204"/>
    </row>
    <row r="736">
      <c r="A736" s="204"/>
    </row>
    <row r="737">
      <c r="A737" s="204"/>
    </row>
    <row r="738">
      <c r="A738" s="204"/>
    </row>
    <row r="739">
      <c r="A739" s="204"/>
    </row>
    <row r="740">
      <c r="A740" s="204"/>
    </row>
    <row r="741">
      <c r="A741" s="204"/>
    </row>
    <row r="742">
      <c r="A742" s="204"/>
    </row>
    <row r="743">
      <c r="A743" s="204"/>
    </row>
    <row r="744">
      <c r="A744" s="204"/>
    </row>
    <row r="745">
      <c r="A745" s="204"/>
    </row>
    <row r="746">
      <c r="A746" s="204"/>
    </row>
    <row r="747">
      <c r="A747" s="204"/>
    </row>
    <row r="748">
      <c r="A748" s="204"/>
    </row>
    <row r="749">
      <c r="A749" s="204"/>
    </row>
    <row r="750">
      <c r="A750" s="204"/>
    </row>
    <row r="751">
      <c r="A751" s="204"/>
    </row>
    <row r="752">
      <c r="A752" s="204"/>
    </row>
    <row r="753">
      <c r="A753" s="204"/>
    </row>
    <row r="754">
      <c r="A754" s="204"/>
    </row>
    <row r="755">
      <c r="A755" s="204"/>
    </row>
    <row r="756">
      <c r="A756" s="204"/>
    </row>
    <row r="757">
      <c r="A757" s="204"/>
    </row>
    <row r="758">
      <c r="A758" s="204"/>
    </row>
    <row r="759">
      <c r="A759" s="204"/>
    </row>
    <row r="760">
      <c r="A760" s="204"/>
    </row>
    <row r="761">
      <c r="A761" s="204"/>
    </row>
    <row r="762">
      <c r="A762" s="204"/>
    </row>
    <row r="763">
      <c r="A763" s="204"/>
    </row>
    <row r="764">
      <c r="A764" s="204"/>
    </row>
    <row r="765">
      <c r="A765" s="204"/>
    </row>
    <row r="766">
      <c r="A766" s="204"/>
    </row>
    <row r="767">
      <c r="A767" s="204"/>
    </row>
    <row r="768">
      <c r="A768" s="204"/>
    </row>
    <row r="769">
      <c r="A769" s="204"/>
    </row>
    <row r="770">
      <c r="A770" s="204"/>
    </row>
    <row r="771">
      <c r="A771" s="204"/>
    </row>
    <row r="772">
      <c r="A772" s="204"/>
    </row>
    <row r="773">
      <c r="A773" s="204"/>
    </row>
    <row r="774">
      <c r="A774" s="204"/>
    </row>
    <row r="775">
      <c r="A775" s="204"/>
    </row>
    <row r="776">
      <c r="A776" s="204"/>
    </row>
    <row r="777">
      <c r="A777" s="204"/>
    </row>
    <row r="778">
      <c r="A778" s="204"/>
    </row>
    <row r="779">
      <c r="A779" s="204"/>
    </row>
    <row r="780">
      <c r="A780" s="204"/>
    </row>
    <row r="781">
      <c r="A781" s="204"/>
    </row>
    <row r="782">
      <c r="A782" s="204"/>
    </row>
    <row r="783">
      <c r="A783" s="204"/>
    </row>
    <row r="784">
      <c r="A784" s="204"/>
    </row>
    <row r="785">
      <c r="A785" s="204"/>
    </row>
    <row r="786">
      <c r="A786" s="204"/>
    </row>
    <row r="787">
      <c r="A787" s="204"/>
    </row>
    <row r="788">
      <c r="A788" s="204"/>
    </row>
    <row r="789">
      <c r="A789" s="204"/>
    </row>
    <row r="790">
      <c r="A790" s="204"/>
    </row>
    <row r="791">
      <c r="A791" s="204"/>
    </row>
    <row r="792">
      <c r="A792" s="204"/>
    </row>
    <row r="793">
      <c r="A793" s="204"/>
    </row>
    <row r="794">
      <c r="A794" s="204"/>
    </row>
    <row r="795">
      <c r="A795" s="204"/>
    </row>
    <row r="796">
      <c r="A796" s="204"/>
    </row>
    <row r="797">
      <c r="A797" s="204"/>
    </row>
    <row r="798">
      <c r="A798" s="204"/>
    </row>
    <row r="799">
      <c r="A799" s="204"/>
    </row>
    <row r="800">
      <c r="A800" s="204"/>
    </row>
    <row r="801">
      <c r="A801" s="204"/>
    </row>
    <row r="802">
      <c r="A802" s="204"/>
    </row>
    <row r="803">
      <c r="A803" s="204"/>
    </row>
    <row r="804">
      <c r="A804" s="204"/>
    </row>
    <row r="805">
      <c r="A805" s="204"/>
    </row>
    <row r="806">
      <c r="A806" s="204"/>
    </row>
    <row r="807">
      <c r="A807" s="204"/>
    </row>
    <row r="808">
      <c r="A808" s="204"/>
    </row>
    <row r="809">
      <c r="A809" s="204"/>
    </row>
    <row r="810">
      <c r="A810" s="204"/>
    </row>
    <row r="811">
      <c r="A811" s="204"/>
    </row>
    <row r="812">
      <c r="A812" s="204"/>
    </row>
    <row r="813">
      <c r="A813" s="204"/>
    </row>
    <row r="814">
      <c r="A814" s="204"/>
    </row>
    <row r="815">
      <c r="A815" s="204"/>
    </row>
    <row r="816">
      <c r="A816" s="204"/>
    </row>
    <row r="817">
      <c r="A817" s="204"/>
    </row>
    <row r="818">
      <c r="A818" s="204"/>
    </row>
    <row r="819">
      <c r="A819" s="204"/>
    </row>
    <row r="820">
      <c r="A820" s="204"/>
    </row>
    <row r="821">
      <c r="A821" s="204"/>
    </row>
    <row r="822">
      <c r="A822" s="204"/>
    </row>
    <row r="823">
      <c r="A823" s="204"/>
    </row>
    <row r="824">
      <c r="A824" s="204"/>
    </row>
    <row r="825">
      <c r="A825" s="204"/>
    </row>
    <row r="826">
      <c r="A826" s="204"/>
    </row>
    <row r="827">
      <c r="A827" s="204"/>
    </row>
    <row r="828">
      <c r="A828" s="204"/>
    </row>
    <row r="829">
      <c r="A829" s="204"/>
    </row>
    <row r="830">
      <c r="A830" s="204"/>
    </row>
    <row r="831">
      <c r="A831" s="204"/>
    </row>
    <row r="832">
      <c r="A832" s="204"/>
    </row>
    <row r="833">
      <c r="A833" s="204"/>
    </row>
    <row r="834">
      <c r="A834" s="204"/>
    </row>
    <row r="835">
      <c r="A835" s="204"/>
    </row>
    <row r="836">
      <c r="A836" s="204"/>
    </row>
    <row r="837">
      <c r="A837" s="204"/>
    </row>
    <row r="838">
      <c r="A838" s="204"/>
    </row>
    <row r="839">
      <c r="A839" s="204"/>
    </row>
    <row r="840">
      <c r="A840" s="204"/>
    </row>
    <row r="841">
      <c r="A841" s="204"/>
    </row>
    <row r="842">
      <c r="A842" s="204"/>
    </row>
    <row r="843">
      <c r="A843" s="204"/>
    </row>
    <row r="844">
      <c r="A844" s="204"/>
    </row>
    <row r="845">
      <c r="A845" s="204"/>
    </row>
    <row r="846">
      <c r="A846" s="204"/>
    </row>
    <row r="847">
      <c r="A847" s="204"/>
    </row>
    <row r="848">
      <c r="A848" s="204"/>
    </row>
    <row r="849">
      <c r="A849" s="204"/>
    </row>
    <row r="850">
      <c r="A850" s="204"/>
    </row>
    <row r="851">
      <c r="A851" s="204"/>
    </row>
    <row r="852">
      <c r="A852" s="204"/>
    </row>
    <row r="853">
      <c r="A853" s="204"/>
    </row>
    <row r="854">
      <c r="A854" s="204"/>
    </row>
    <row r="855">
      <c r="A855" s="204"/>
    </row>
    <row r="856">
      <c r="A856" s="204"/>
    </row>
    <row r="857">
      <c r="A857" s="204"/>
    </row>
    <row r="858">
      <c r="A858" s="204"/>
    </row>
    <row r="859">
      <c r="A859" s="204"/>
    </row>
    <row r="860">
      <c r="A860" s="204"/>
    </row>
    <row r="861">
      <c r="A861" s="204"/>
    </row>
    <row r="862">
      <c r="A862" s="204"/>
    </row>
    <row r="863">
      <c r="A863" s="204"/>
    </row>
    <row r="864">
      <c r="A864" s="204"/>
    </row>
    <row r="865">
      <c r="A865" s="204"/>
    </row>
    <row r="866">
      <c r="A866" s="204"/>
    </row>
    <row r="867">
      <c r="A867" s="204"/>
    </row>
    <row r="868">
      <c r="A868" s="204"/>
    </row>
    <row r="869">
      <c r="A869" s="204"/>
    </row>
    <row r="870">
      <c r="A870" s="204"/>
    </row>
    <row r="871">
      <c r="A871" s="204"/>
    </row>
    <row r="872">
      <c r="A872" s="204"/>
    </row>
    <row r="873">
      <c r="A873" s="204"/>
    </row>
    <row r="874">
      <c r="A874" s="204"/>
    </row>
    <row r="875">
      <c r="A875" s="204"/>
    </row>
    <row r="876">
      <c r="A876" s="204"/>
    </row>
    <row r="877">
      <c r="A877" s="204"/>
    </row>
    <row r="878">
      <c r="A878" s="204"/>
    </row>
    <row r="879">
      <c r="A879" s="204"/>
    </row>
    <row r="880">
      <c r="A880" s="204"/>
    </row>
    <row r="881">
      <c r="A881" s="204"/>
    </row>
    <row r="882">
      <c r="A882" s="204"/>
    </row>
    <row r="883">
      <c r="A883" s="204"/>
    </row>
    <row r="884">
      <c r="A884" s="204"/>
    </row>
    <row r="885">
      <c r="A885" s="204"/>
    </row>
    <row r="886">
      <c r="A886" s="204"/>
    </row>
    <row r="887">
      <c r="A887" s="204"/>
    </row>
    <row r="888">
      <c r="A888" s="204"/>
    </row>
    <row r="889">
      <c r="A889" s="204"/>
    </row>
    <row r="890">
      <c r="A890" s="204"/>
    </row>
    <row r="891">
      <c r="A891" s="204"/>
    </row>
    <row r="892">
      <c r="A892" s="204"/>
    </row>
    <row r="893">
      <c r="A893" s="204"/>
    </row>
    <row r="894">
      <c r="A894" s="204"/>
    </row>
    <row r="895">
      <c r="A895" s="204"/>
    </row>
    <row r="896">
      <c r="A896" s="204"/>
    </row>
    <row r="897">
      <c r="A897" s="204"/>
    </row>
    <row r="898">
      <c r="A898" s="204"/>
    </row>
    <row r="899">
      <c r="A899" s="204"/>
    </row>
    <row r="900">
      <c r="A900" s="204"/>
    </row>
    <row r="901">
      <c r="A901" s="204"/>
    </row>
    <row r="902">
      <c r="A902" s="204"/>
    </row>
    <row r="903">
      <c r="A903" s="204"/>
    </row>
    <row r="904">
      <c r="A904" s="204"/>
    </row>
    <row r="905">
      <c r="A905" s="204"/>
    </row>
    <row r="906">
      <c r="A906" s="204"/>
    </row>
    <row r="907">
      <c r="A907" s="204"/>
    </row>
    <row r="908">
      <c r="A908" s="204"/>
    </row>
    <row r="909">
      <c r="A909" s="204"/>
    </row>
    <row r="910">
      <c r="A910" s="204"/>
    </row>
    <row r="911">
      <c r="A911" s="204"/>
    </row>
    <row r="912">
      <c r="A912" s="204"/>
    </row>
    <row r="913">
      <c r="A913" s="204"/>
    </row>
    <row r="914">
      <c r="A914" s="204"/>
    </row>
    <row r="915">
      <c r="A915" s="204"/>
    </row>
    <row r="916">
      <c r="A916" s="204"/>
    </row>
    <row r="917">
      <c r="A917" s="204"/>
    </row>
    <row r="918">
      <c r="A918" s="204"/>
    </row>
    <row r="919">
      <c r="A919" s="204"/>
    </row>
    <row r="920">
      <c r="A920" s="204"/>
    </row>
    <row r="921">
      <c r="A921" s="204"/>
    </row>
    <row r="922">
      <c r="A922" s="204"/>
    </row>
    <row r="923">
      <c r="A923" s="204"/>
    </row>
    <row r="924">
      <c r="A924" s="204"/>
    </row>
    <row r="925">
      <c r="A925" s="204"/>
    </row>
    <row r="926">
      <c r="A926" s="204"/>
    </row>
    <row r="927">
      <c r="A927" s="204"/>
    </row>
    <row r="928">
      <c r="A928" s="204"/>
    </row>
    <row r="929">
      <c r="A929" s="204"/>
    </row>
    <row r="930">
      <c r="A930" s="204"/>
    </row>
    <row r="931">
      <c r="A931" s="204"/>
    </row>
    <row r="932">
      <c r="A932" s="204"/>
    </row>
    <row r="933">
      <c r="A933" s="204"/>
    </row>
    <row r="934">
      <c r="A934" s="204"/>
    </row>
    <row r="935">
      <c r="A935" s="204"/>
    </row>
    <row r="936">
      <c r="A936" s="204"/>
    </row>
    <row r="937">
      <c r="A937" s="204"/>
    </row>
    <row r="938">
      <c r="A938" s="204"/>
    </row>
    <row r="939">
      <c r="A939" s="204"/>
    </row>
    <row r="940">
      <c r="A940" s="204"/>
    </row>
    <row r="941">
      <c r="A941" s="204"/>
    </row>
    <row r="942">
      <c r="A942" s="204"/>
    </row>
    <row r="943">
      <c r="A943" s="204"/>
    </row>
    <row r="944">
      <c r="A944" s="204"/>
    </row>
    <row r="945">
      <c r="A945" s="204"/>
    </row>
    <row r="946">
      <c r="A946" s="204"/>
    </row>
    <row r="947">
      <c r="A947" s="204"/>
    </row>
    <row r="948">
      <c r="A948" s="204"/>
    </row>
    <row r="949">
      <c r="A949" s="204"/>
    </row>
    <row r="950">
      <c r="A950" s="204"/>
    </row>
    <row r="951">
      <c r="A951" s="204"/>
    </row>
    <row r="952">
      <c r="A952" s="204"/>
    </row>
    <row r="953">
      <c r="A953" s="204"/>
    </row>
    <row r="954">
      <c r="A954" s="204"/>
    </row>
    <row r="955">
      <c r="A955" s="204"/>
    </row>
    <row r="956">
      <c r="A956" s="204"/>
    </row>
    <row r="957">
      <c r="A957" s="204"/>
    </row>
    <row r="958">
      <c r="A958" s="204"/>
    </row>
    <row r="959">
      <c r="A959" s="204"/>
    </row>
    <row r="960">
      <c r="A960" s="204"/>
    </row>
    <row r="961">
      <c r="A961" s="204"/>
    </row>
    <row r="962">
      <c r="A962" s="204"/>
    </row>
    <row r="963">
      <c r="A963" s="204"/>
    </row>
    <row r="964">
      <c r="A964" s="204"/>
    </row>
    <row r="965">
      <c r="A965" s="204"/>
    </row>
    <row r="966">
      <c r="A966" s="204"/>
    </row>
    <row r="967">
      <c r="A967" s="204"/>
    </row>
    <row r="968">
      <c r="A968" s="204"/>
    </row>
    <row r="969">
      <c r="A969" s="204"/>
    </row>
    <row r="970">
      <c r="A970" s="204"/>
    </row>
    <row r="971">
      <c r="A971" s="204"/>
    </row>
    <row r="972">
      <c r="A972" s="204"/>
    </row>
    <row r="973">
      <c r="A973" s="204"/>
    </row>
    <row r="974">
      <c r="A974" s="204"/>
    </row>
    <row r="975">
      <c r="A975" s="204"/>
    </row>
    <row r="976">
      <c r="A976" s="204"/>
    </row>
    <row r="977">
      <c r="A977" s="204"/>
    </row>
    <row r="978">
      <c r="A978" s="204"/>
    </row>
    <row r="979">
      <c r="A979" s="204"/>
    </row>
    <row r="980">
      <c r="A980" s="204"/>
    </row>
  </sheetData>
  <conditionalFormatting sqref="A1:WA980">
    <cfRule type="containsText" dxfId="10" priority="1" operator="containsText" text="no dato">
      <formula>NOT(ISERROR(SEARCH(("no dato"),(A1))))</formula>
    </cfRule>
  </conditionalFormatting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14"/>
    <col customWidth="1" min="2" max="3" width="29.43"/>
    <col customWidth="1" min="4" max="4" width="16.29"/>
  </cols>
  <sheetData>
    <row r="1">
      <c r="A1" s="205" t="s">
        <v>1530</v>
      </c>
      <c r="B1" s="154" t="s">
        <v>1563</v>
      </c>
      <c r="C1" s="42" t="s">
        <v>1564</v>
      </c>
      <c r="D1" s="206" t="s">
        <v>1565</v>
      </c>
    </row>
    <row r="2">
      <c r="A2" s="45">
        <v>1.163774215E9</v>
      </c>
      <c r="B2" s="207" t="str">
        <f t="array" ref="B2">XLOOKUP(A2,Tabla_no_celu[Celular],Tabla_no_celu[Afiliados sin telefono],"no datos",0,1)</f>
        <v>no datos</v>
      </c>
      <c r="C2" s="123" t="s">
        <v>1307</v>
      </c>
      <c r="D2" s="208">
        <v>1.124962694E9</v>
      </c>
    </row>
    <row r="3">
      <c r="A3" s="48">
        <v>1.16752305E9</v>
      </c>
      <c r="B3" s="209" t="str">
        <f t="array" ref="B3">XLOOKUP(A3,Tabla_no_celu[Celular],Tabla_no_celu[Afiliados sin telefono],"no datos",0,1)</f>
        <v>no datos</v>
      </c>
      <c r="C3" s="129" t="s">
        <v>1345</v>
      </c>
      <c r="D3" s="210">
        <v>1.165963623E9</v>
      </c>
    </row>
    <row r="4">
      <c r="A4" s="45">
        <v>1.127234134E9</v>
      </c>
      <c r="B4" s="207" t="str">
        <f t="array" ref="B4">XLOOKUP(A4,Tabla_no_celu[Celular],Tabla_no_celu[Afiliados sin telefono],"no datos",0,1)</f>
        <v>no datos</v>
      </c>
      <c r="C4" s="45" t="s">
        <v>1566</v>
      </c>
      <c r="D4" s="208">
        <v>1.155736174E9</v>
      </c>
    </row>
    <row r="5">
      <c r="A5" s="48">
        <v>1.154166856E9</v>
      </c>
      <c r="B5" s="209" t="str">
        <f t="array" ref="B5">XLOOKUP(A5,Tabla_no_celu[Celular],Tabla_no_celu[Afiliados sin telefono],"no datos",0,1)</f>
        <v>no datos</v>
      </c>
      <c r="C5" s="129" t="s">
        <v>1427</v>
      </c>
    </row>
    <row r="6">
      <c r="A6" s="45">
        <v>1.128735242E9</v>
      </c>
      <c r="B6" s="207" t="str">
        <f t="array" ref="B6">XLOOKUP(A6,Tabla_no_celu[Celular],Tabla_no_celu[Afiliados sin telefono],"no datos",0,1)</f>
        <v>no datos</v>
      </c>
      <c r="C6" s="123" t="s">
        <v>1439</v>
      </c>
      <c r="D6" s="208">
        <v>1.121781795E9</v>
      </c>
    </row>
    <row r="7">
      <c r="A7" s="48">
        <v>1.161711196E9</v>
      </c>
      <c r="B7" s="209" t="str">
        <f t="array" ref="B7">XLOOKUP(A7,Tabla_no_celu[Celular],Tabla_no_celu[Afiliados sin telefono],"no datos",0,1)</f>
        <v>no datos</v>
      </c>
      <c r="C7" s="129" t="s">
        <v>1462</v>
      </c>
      <c r="D7" s="210">
        <v>1.150370216E9</v>
      </c>
    </row>
    <row r="8">
      <c r="A8" s="45">
        <v>1.151027307E9</v>
      </c>
      <c r="B8" s="207" t="str">
        <f t="array" ref="B8">XLOOKUP(A8,Tabla_no_celu[Celular],Tabla_no_celu[Afiliados sin telefono],"no datos",0,1)</f>
        <v>no datos</v>
      </c>
      <c r="C8" s="123" t="s">
        <v>1495</v>
      </c>
      <c r="D8" s="208">
        <v>1.121554379E9</v>
      </c>
    </row>
    <row r="9">
      <c r="A9" s="48">
        <v>1.155765491E9</v>
      </c>
      <c r="B9" s="209" t="str">
        <f t="array" ref="B9">XLOOKUP(A9,Tabla_no_celu[Celular],Tabla_no_celu[Afiliados sin telefono],"no datos",0,1)</f>
        <v>no datos</v>
      </c>
      <c r="C9" s="129" t="s">
        <v>1500</v>
      </c>
    </row>
    <row r="10">
      <c r="A10" s="45">
        <v>1.136332503E9</v>
      </c>
      <c r="B10" s="207" t="str">
        <f t="array" ref="B10">XLOOKUP(A10,Tabla_no_celu[Celular],Tabla_no_celu[Afiliados sin telefono],"no datos",0,1)</f>
        <v>no datos</v>
      </c>
      <c r="C10" s="123" t="s">
        <v>1501</v>
      </c>
      <c r="D10" s="208">
        <v>1.125419629E9</v>
      </c>
    </row>
    <row r="11">
      <c r="A11" s="48">
        <v>1.165588059E9</v>
      </c>
      <c r="B11" s="209" t="str">
        <f t="array" ref="B11">XLOOKUP(A11,Tabla_no_celu[Celular],Tabla_no_celu[Afiliados sin telefono],"no datos",0,1)</f>
        <v>no datos</v>
      </c>
      <c r="C11" s="129" t="s">
        <v>1502</v>
      </c>
      <c r="D11" s="210">
        <v>1.153867754E9</v>
      </c>
    </row>
    <row r="12">
      <c r="A12" s="45">
        <v>1.134395152E9</v>
      </c>
      <c r="B12" s="207" t="str">
        <f t="array" ref="B12">XLOOKUP(A12,Tabla_no_celu[Celular],Tabla_no_celu[Afiliados sin telefono],"no datos",0,1)</f>
        <v>no datos</v>
      </c>
      <c r="C12" s="123" t="s">
        <v>1504</v>
      </c>
    </row>
    <row r="13">
      <c r="A13" s="48">
        <v>1.125078637E9</v>
      </c>
      <c r="B13" s="209" t="str">
        <f t="array" ref="B13">XLOOKUP(A13,Tabla_no_celu[Celular],Tabla_no_celu[Afiliados sin telefono],"no datos",0,1)</f>
        <v>no datos</v>
      </c>
      <c r="C13" s="129" t="s">
        <v>1505</v>
      </c>
    </row>
    <row r="14">
      <c r="A14" s="45">
        <v>1.155048462E9</v>
      </c>
      <c r="B14" s="207" t="str">
        <f t="array" ref="B14">XLOOKUP(A14,Tabla_no_celu[Celular],Tabla_no_celu[Afiliados sin telefono],"no datos",0,1)</f>
        <v>no datos</v>
      </c>
      <c r="C14" s="123" t="s">
        <v>1508</v>
      </c>
      <c r="D14" s="208">
        <v>1.154648938E9</v>
      </c>
    </row>
    <row r="15">
      <c r="A15" s="48">
        <v>1.170580789E9</v>
      </c>
      <c r="B15" s="209" t="str">
        <f t="array" ref="B15">XLOOKUP(A15,Tabla_no_celu[Celular],Tabla_no_celu[Afiliados sin telefono],"no datos",0,1)</f>
        <v>no datos</v>
      </c>
      <c r="C15" s="129" t="s">
        <v>1509</v>
      </c>
    </row>
    <row r="16">
      <c r="A16" s="45">
        <v>3.364523518E9</v>
      </c>
      <c r="B16" s="207" t="str">
        <f t="array" ref="B16">XLOOKUP(A16,Tabla_no_celu[Celular],Tabla_no_celu[Afiliados sin telefono],"no datos",0,1)</f>
        <v>no datos</v>
      </c>
      <c r="C16" s="123" t="s">
        <v>1510</v>
      </c>
      <c r="D16" s="208">
        <v>1.167028705E9</v>
      </c>
    </row>
    <row r="17">
      <c r="A17" s="48">
        <v>1.130422362E9</v>
      </c>
      <c r="B17" s="209" t="str">
        <f t="array" ref="B17">XLOOKUP(A17,Tabla_no_celu[Celular],Tabla_no_celu[Afiliados sin telefono],"no datos",0,1)</f>
        <v>no datos</v>
      </c>
      <c r="C17" s="129" t="s">
        <v>1512</v>
      </c>
    </row>
    <row r="18">
      <c r="A18" s="45">
        <v>3.888674454E9</v>
      </c>
      <c r="B18" s="207" t="str">
        <f t="array" ref="B18">XLOOKUP(A18,Tabla_no_celu[Celular],Tabla_no_celu[Afiliados sin telefono],"no datos",0,1)</f>
        <v>no datos</v>
      </c>
      <c r="C18" s="123" t="s">
        <v>1513</v>
      </c>
      <c r="D18" s="208">
        <v>1.127806869E9</v>
      </c>
    </row>
    <row r="19">
      <c r="A19" s="48">
        <v>1.124729723E9</v>
      </c>
      <c r="B19" s="209" t="str">
        <f t="array" ref="B19">XLOOKUP(A19,Tabla_no_celu[Celular],Tabla_no_celu[Afiliados sin telefono],"no datos",0,1)</f>
        <v>no datos</v>
      </c>
      <c r="C19" s="129" t="s">
        <v>1514</v>
      </c>
    </row>
    <row r="20">
      <c r="A20" s="45">
        <v>1.133833531E9</v>
      </c>
      <c r="B20" s="207" t="str">
        <f t="array" ref="B20">XLOOKUP(A20,Tabla_no_celu[Celular],Tabla_no_celu[Afiliados sin telefono],"no datos",0,1)</f>
        <v>no datos</v>
      </c>
      <c r="C20" s="123" t="s">
        <v>1515</v>
      </c>
    </row>
    <row r="21">
      <c r="A21" s="48">
        <v>1.168842817E9</v>
      </c>
      <c r="B21" s="209" t="str">
        <f t="array" ref="B21">XLOOKUP(A21,Tabla_no_celu[Celular],Tabla_no_celu[Afiliados sin telefono],"no datos",0,1)</f>
        <v>no datos</v>
      </c>
      <c r="C21" s="129" t="s">
        <v>1516</v>
      </c>
      <c r="D21" s="210">
        <v>1.133361807E9</v>
      </c>
    </row>
    <row r="22">
      <c r="A22" s="45">
        <v>1.123567199E9</v>
      </c>
      <c r="B22" s="207" t="str">
        <f t="array" ref="B22">XLOOKUP(A22,Tabla_no_celu[Celular],Tabla_no_celu[Afiliados sin telefono],"no datos",0,1)</f>
        <v>no datos</v>
      </c>
      <c r="C22" s="123" t="s">
        <v>1517</v>
      </c>
      <c r="D22" s="208">
        <v>1.133043555E9</v>
      </c>
    </row>
    <row r="23" hidden="1">
      <c r="A23" s="211">
        <v>1.167028705E9</v>
      </c>
      <c r="B23" s="209" t="str">
        <f t="array" ref="B23">XLOOKUP(A23,Tabla_no_celu[Celular],Tabla_no_celu[Afiliados sin telefono],"no datos",0,1)</f>
        <v>Herrera, Ana Cristina</v>
      </c>
      <c r="C23" s="129" t="s">
        <v>1518</v>
      </c>
    </row>
    <row r="24">
      <c r="A24" s="45">
        <v>1.126217143E9</v>
      </c>
      <c r="B24" s="207" t="str">
        <f t="array" ref="B24">XLOOKUP(A24,Tabla_no_celu[Celular],Tabla_no_celu[Afiliados sin telefono],"no datos",0,1)</f>
        <v>no datos</v>
      </c>
      <c r="C24" s="123" t="s">
        <v>1519</v>
      </c>
      <c r="D24" s="208">
        <v>1.168314085E9</v>
      </c>
    </row>
    <row r="25">
      <c r="A25" s="48">
        <v>1.169176566E9</v>
      </c>
      <c r="B25" s="209" t="str">
        <f t="array" ref="B25">XLOOKUP(A25,Tabla_no_celu[Celular],Tabla_no_celu[Afiliados sin telefono],"no datos",0,1)</f>
        <v>no datos</v>
      </c>
      <c r="C25" s="129" t="s">
        <v>1520</v>
      </c>
      <c r="D25" s="210">
        <v>1.123032183E9</v>
      </c>
    </row>
    <row r="26">
      <c r="A26" s="45">
        <v>1.131179622E9</v>
      </c>
      <c r="B26" s="207" t="str">
        <f t="array" ref="B26">XLOOKUP(A26,Tabla_no_celu[Celular],Tabla_no_celu[Afiliados sin telefono],"no datos",0,1)</f>
        <v>no datos</v>
      </c>
      <c r="C26" s="123" t="s">
        <v>1521</v>
      </c>
      <c r="D26" s="208">
        <v>1.164433045E9</v>
      </c>
    </row>
    <row r="27">
      <c r="A27" s="48">
        <v>1.139126799E9</v>
      </c>
      <c r="B27" s="209" t="str">
        <f t="array" ref="B27">XLOOKUP(A27,Tabla_no_celu[Celular],Tabla_no_celu[Afiliados sin telefono],"no datos",0,1)</f>
        <v>no datos</v>
      </c>
      <c r="C27" s="129" t="s">
        <v>1523</v>
      </c>
    </row>
    <row r="28">
      <c r="A28" s="45">
        <v>1.137772867E9</v>
      </c>
      <c r="B28" s="207" t="str">
        <f t="array" ref="B28">XLOOKUP(A28,Tabla_no_celu[Celular],Tabla_no_celu[Afiliados sin telefono],"no datos",0,1)</f>
        <v>no datos</v>
      </c>
      <c r="C28" s="123" t="s">
        <v>1524</v>
      </c>
      <c r="D28" s="208">
        <v>1.12322886E9</v>
      </c>
    </row>
    <row r="29">
      <c r="A29" s="48">
        <v>1.155951274E9</v>
      </c>
      <c r="B29" s="209" t="str">
        <f t="array" ref="B29">XLOOKUP(A29,Tabla_no_celu[Celular],Tabla_no_celu[Afiliados sin telefono],"no datos",0,1)</f>
        <v>no datos</v>
      </c>
      <c r="C29" s="129" t="s">
        <v>1525</v>
      </c>
    </row>
    <row r="30">
      <c r="A30" s="45">
        <v>1.160388596E9</v>
      </c>
      <c r="B30" s="207" t="str">
        <f t="array" ref="B30">XLOOKUP(A30,Tabla_no_celu[Celular],Tabla_no_celu[Afiliados sin telefono],"no datos",0,1)</f>
        <v>no datos</v>
      </c>
      <c r="C30" s="123" t="s">
        <v>1526</v>
      </c>
    </row>
    <row r="31">
      <c r="A31" s="48">
        <v>1.168863734E9</v>
      </c>
      <c r="B31" s="209" t="str">
        <f t="array" ref="B31">XLOOKUP(A31,Tabla_no_celu[Celular],Tabla_no_celu[Afiliados sin telefono],"no datos",0,1)</f>
        <v>no datos</v>
      </c>
      <c r="C31" s="129" t="s">
        <v>1527</v>
      </c>
      <c r="D31" s="210">
        <v>1.140963528E9</v>
      </c>
    </row>
    <row r="32">
      <c r="A32" s="45">
        <v>1.136655216E9</v>
      </c>
      <c r="B32" s="207" t="str">
        <f t="array" ref="B32">XLOOKUP(A32,Tabla_no_celu[Celular],Tabla_no_celu[Afiliados sin telefono],"no datos",0,1)</f>
        <v>no datos</v>
      </c>
      <c r="C32" s="123" t="s">
        <v>1528</v>
      </c>
      <c r="D32" s="208">
        <v>1.139378593E9</v>
      </c>
    </row>
    <row r="33">
      <c r="A33" s="48">
        <v>1.151116343E9</v>
      </c>
      <c r="B33" s="209" t="str">
        <f t="array" ref="B33">XLOOKUP(A33,Tabla_no_celu[Celular],Tabla_no_celu[Afiliados sin telefono],"no datos",0,1)</f>
        <v>no datos</v>
      </c>
      <c r="C33" s="129" t="s">
        <v>1529</v>
      </c>
      <c r="D33" s="210">
        <v>1.12165227E9</v>
      </c>
    </row>
    <row r="34">
      <c r="A34" s="45">
        <v>1.1708144E9</v>
      </c>
      <c r="B34" s="207" t="str">
        <f t="array" ref="B34">XLOOKUP(A34,Tabla_no_celu[Celular],Tabla_no_celu[Afiliados sin telefono],"no datos",0,1)</f>
        <v>no datos</v>
      </c>
    </row>
    <row r="35">
      <c r="A35" s="48">
        <v>1.168248732E9</v>
      </c>
      <c r="B35" s="209" t="str">
        <f t="array" ref="B35">XLOOKUP(A35,Tabla_no_celu[Celular],Tabla_no_celu[Afiliados sin telefono],"no datos",0,1)</f>
        <v>no datos</v>
      </c>
    </row>
    <row r="36">
      <c r="A36" s="45">
        <v>1.149144788E9</v>
      </c>
      <c r="B36" s="207" t="str">
        <f t="array" ref="B36">XLOOKUP(A36,Tabla_no_celu[Celular],Tabla_no_celu[Afiliados sin telefono],"no datos",0,1)</f>
        <v>no datos</v>
      </c>
    </row>
    <row r="37">
      <c r="A37" s="48">
        <v>1.156140759E9</v>
      </c>
      <c r="B37" s="209" t="str">
        <f t="array" ref="B37">XLOOKUP(A37,Tabla_no_celu[Celular],Tabla_no_celu[Afiliados sin telefono],"no datos",0,1)</f>
        <v>no datos</v>
      </c>
    </row>
    <row r="38">
      <c r="A38" s="45">
        <v>1.138205959E9</v>
      </c>
      <c r="B38" s="207" t="str">
        <f t="array" ref="B38">XLOOKUP(A38,Tabla_no_celu[Celular],Tabla_no_celu[Afiliados sin telefono],"no datos",0,1)</f>
        <v>no datos</v>
      </c>
    </row>
    <row r="39">
      <c r="A39" s="48">
        <v>1.124077352E9</v>
      </c>
      <c r="B39" s="209" t="str">
        <f t="array" ref="B39">XLOOKUP(A39,Tabla_no_celu[Celular],Tabla_no_celu[Afiliados sin telefono],"no datos",0,1)</f>
        <v>no datos</v>
      </c>
    </row>
    <row r="40" hidden="1">
      <c r="A40" s="211">
        <v>1.140963528E9</v>
      </c>
      <c r="B40" s="207" t="str">
        <f t="array" ref="B40">XLOOKUP(A40,Tabla_no_celu[Celular],Tabla_no_celu[Afiliados sin telefono],"no datos",0,1)</f>
        <v>Castillo, Camila</v>
      </c>
    </row>
    <row r="41">
      <c r="A41" s="48">
        <v>1.152203337E9</v>
      </c>
      <c r="B41" s="209" t="str">
        <f t="array" ref="B41">XLOOKUP(A41,Tabla_no_celu[Celular],Tabla_no_celu[Afiliados sin telefono],"no datos",0,1)</f>
        <v>no datos</v>
      </c>
    </row>
    <row r="42">
      <c r="A42" s="45">
        <v>1.135806495E9</v>
      </c>
      <c r="B42" s="207" t="str">
        <f t="array" ref="B42">XLOOKUP(A42,Tabla_no_celu[Celular],Tabla_no_celu[Afiliados sin telefono],"no datos",0,1)</f>
        <v>no datos</v>
      </c>
    </row>
    <row r="43">
      <c r="A43" s="48">
        <v>1.144078886E9</v>
      </c>
      <c r="B43" s="209" t="str">
        <f t="array" ref="B43">XLOOKUP(A43,Tabla_no_celu[Celular],Tabla_no_celu[Afiliados sin telefono],"no datos",0,1)</f>
        <v>no datos</v>
      </c>
    </row>
    <row r="44">
      <c r="A44" s="45">
        <v>1.123840443E9</v>
      </c>
      <c r="B44" s="207" t="str">
        <f t="array" ref="B44">XLOOKUP(A44,Tabla_no_celu[Celular],Tabla_no_celu[Afiliados sin telefono],"no datos",0,1)</f>
        <v>no datos</v>
      </c>
    </row>
    <row r="45">
      <c r="A45" s="48">
        <v>1.138238839E9</v>
      </c>
      <c r="B45" s="209" t="str">
        <f t="array" ref="B45">XLOOKUP(A45,Tabla_no_celu[Celular],Tabla_no_celu[Afiliados sin telefono],"no datos",0,1)</f>
        <v>no datos</v>
      </c>
    </row>
    <row r="46">
      <c r="A46" s="45">
        <v>1.165491429E9</v>
      </c>
      <c r="B46" s="207" t="str">
        <f t="array" ref="B46">XLOOKUP(A46,Tabla_no_celu[Celular],Tabla_no_celu[Afiliados sin telefono],"no datos",0,1)</f>
        <v>no datos</v>
      </c>
    </row>
    <row r="47">
      <c r="A47" s="48">
        <v>1.14085533E9</v>
      </c>
      <c r="B47" s="209" t="str">
        <f t="array" ref="B47">XLOOKUP(A47,Tabla_no_celu[Celular],Tabla_no_celu[Afiliados sin telefono],"no datos",0,1)</f>
        <v>no datos</v>
      </c>
    </row>
    <row r="48">
      <c r="A48" s="45">
        <v>1.124551493E9</v>
      </c>
      <c r="B48" s="207" t="str">
        <f t="array" ref="B48">XLOOKUP(A48,Tabla_no_celu[Celular],Tabla_no_celu[Afiliados sin telefono],"no datos",0,1)</f>
        <v>no datos</v>
      </c>
    </row>
    <row r="49">
      <c r="A49" s="48">
        <v>1.161387543E9</v>
      </c>
      <c r="B49" s="209" t="str">
        <f t="array" ref="B49">XLOOKUP(A49,Tabla_no_celu[Celular],Tabla_no_celu[Afiliados sin telefono],"no datos",0,1)</f>
        <v>no datos</v>
      </c>
    </row>
    <row r="50">
      <c r="A50" s="45">
        <v>1.12280964E9</v>
      </c>
      <c r="B50" s="207" t="str">
        <f t="array" ref="B50">XLOOKUP(A50,Tabla_no_celu[Celular],Tabla_no_celu[Afiliados sin telefono],"no datos",0,1)</f>
        <v>no datos</v>
      </c>
    </row>
    <row r="51">
      <c r="A51" s="48">
        <v>1.157412628E9</v>
      </c>
      <c r="B51" s="209" t="str">
        <f t="array" ref="B51">XLOOKUP(A51,Tabla_no_celu[Celular],Tabla_no_celu[Afiliados sin telefono],"no datos",0,1)</f>
        <v>no datos</v>
      </c>
    </row>
    <row r="52">
      <c r="A52" s="45">
        <v>1.140399276E9</v>
      </c>
      <c r="B52" s="207" t="str">
        <f t="array" ref="B52">XLOOKUP(A52,Tabla_no_celu[Celular],Tabla_no_celu[Afiliados sin telefono],"no datos",0,1)</f>
        <v>no datos</v>
      </c>
    </row>
    <row r="53">
      <c r="A53" s="48">
        <v>1.131105685E9</v>
      </c>
      <c r="B53" s="209" t="str">
        <f t="array" ref="B53">XLOOKUP(A53,Tabla_no_celu[Celular],Tabla_no_celu[Afiliados sin telefono],"no datos",0,1)</f>
        <v>no datos</v>
      </c>
    </row>
    <row r="54" hidden="1">
      <c r="A54" s="211">
        <v>1.123032183E9</v>
      </c>
      <c r="B54" s="207" t="str">
        <f t="array" ref="B54">XLOOKUP(A54,Tabla_no_celu[Celular],Tabla_no_celu[Afiliados sin telefono],"no datos",0,1)</f>
        <v>Artesi, Flavia</v>
      </c>
    </row>
    <row r="55">
      <c r="A55" s="48">
        <v>1.139545887E9</v>
      </c>
      <c r="B55" s="209" t="str">
        <f t="array" ref="B55">XLOOKUP(A55,Tabla_no_celu[Celular],Tabla_no_celu[Afiliados sin telefono],"no datos",0,1)</f>
        <v>no datos</v>
      </c>
    </row>
    <row r="56">
      <c r="A56" s="45">
        <v>1.141783733E9</v>
      </c>
      <c r="B56" s="207" t="str">
        <f t="array" ref="B56">XLOOKUP(A56,Tabla_no_celu[Celular],Tabla_no_celu[Afiliados sin telefono],"no datos",0,1)</f>
        <v>no datos</v>
      </c>
    </row>
    <row r="57" hidden="1">
      <c r="A57" s="211">
        <v>1.153867754E9</v>
      </c>
      <c r="B57" s="209" t="str">
        <f t="array" ref="B57">XLOOKUP(A57,Tabla_no_celu[Celular],Tabla_no_celu[Afiliados sin telefono],"no datos",0,1)</f>
        <v>Romero, Gabriela</v>
      </c>
    </row>
    <row r="58">
      <c r="A58" s="45">
        <v>1.153784627E9</v>
      </c>
      <c r="B58" s="207" t="str">
        <f t="array" ref="B58">XLOOKUP(A58,Tabla_no_celu[Celular],Tabla_no_celu[Afiliados sin telefono],"no datos",0,1)</f>
        <v>no datos</v>
      </c>
    </row>
    <row r="59">
      <c r="A59" s="48">
        <v>1.162711679E9</v>
      </c>
      <c r="B59" s="209" t="str">
        <f t="array" ref="B59">XLOOKUP(A59,Tabla_no_celu[Celular],Tabla_no_celu[Afiliados sin telefono],"no datos",0,1)</f>
        <v>no datos</v>
      </c>
    </row>
    <row r="60">
      <c r="A60" s="45">
        <v>1.138609116E9</v>
      </c>
      <c r="B60" s="207" t="str">
        <f t="array" ref="B60">XLOOKUP(A60,Tabla_no_celu[Celular],Tabla_no_celu[Afiliados sin telefono],"no datos",0,1)</f>
        <v>no datos</v>
      </c>
    </row>
    <row r="61">
      <c r="A61" s="48">
        <v>1.171181676E9</v>
      </c>
      <c r="B61" s="209" t="str">
        <f t="array" ref="B61">XLOOKUP(A61,Tabla_no_celu[Celular],Tabla_no_celu[Afiliados sin telefono],"no datos",0,1)</f>
        <v>no datos</v>
      </c>
    </row>
    <row r="62">
      <c r="A62" s="45">
        <v>1.125793302E9</v>
      </c>
      <c r="B62" s="207" t="str">
        <f t="array" ref="B62">XLOOKUP(A62,Tabla_no_celu[Celular],Tabla_no_celu[Afiliados sin telefono],"no datos",0,1)</f>
        <v>no datos</v>
      </c>
    </row>
    <row r="63">
      <c r="A63" s="48">
        <v>1.124069682E9</v>
      </c>
      <c r="B63" s="209" t="str">
        <f t="array" ref="B63">XLOOKUP(A63,Tabla_no_celu[Celular],Tabla_no_celu[Afiliados sin telefono],"no datos",0,1)</f>
        <v>no datos</v>
      </c>
    </row>
    <row r="64">
      <c r="A64" s="45">
        <v>1.122400666E9</v>
      </c>
      <c r="B64" s="207" t="str">
        <f t="array" ref="B64">XLOOKUP(A64,Tabla_no_celu[Celular],Tabla_no_celu[Afiliados sin telefono],"no datos",0,1)</f>
        <v>no datos</v>
      </c>
    </row>
    <row r="65">
      <c r="A65" s="48">
        <v>1.144790227E9</v>
      </c>
      <c r="B65" s="209" t="str">
        <f t="array" ref="B65">XLOOKUP(A65,Tabla_no_celu[Celular],Tabla_no_celu[Afiliados sin telefono],"no datos",0,1)</f>
        <v>no datos</v>
      </c>
    </row>
    <row r="66" hidden="1">
      <c r="A66" s="211">
        <v>1.127806869E9</v>
      </c>
      <c r="B66" s="207" t="str">
        <f t="array" ref="B66">XLOOKUP(A66,Tabla_no_celu[Celular],Tabla_no_celu[Afiliados sin telefono],"no datos",0,1)</f>
        <v>Iglesias, Juan</v>
      </c>
    </row>
    <row r="67">
      <c r="A67" s="48">
        <v>1.126429082E9</v>
      </c>
      <c r="B67" s="209" t="str">
        <f t="array" ref="B67">XLOOKUP(A67,Tabla_no_celu[Celular],Tabla_no_celu[Afiliados sin telefono],"no datos",0,1)</f>
        <v>no datos</v>
      </c>
    </row>
    <row r="68">
      <c r="A68" s="45">
        <v>1.166061997E9</v>
      </c>
      <c r="B68" s="207" t="str">
        <f t="array" ref="B68">XLOOKUP(A68,Tabla_no_celu[Celular],Tabla_no_celu[Afiliados sin telefono],"no datos",0,1)</f>
        <v>no datos</v>
      </c>
    </row>
    <row r="69">
      <c r="A69" s="48">
        <v>1.154757538E9</v>
      </c>
      <c r="B69" s="209" t="str">
        <f t="array" ref="B69">XLOOKUP(A69,Tabla_no_celu[Celular],Tabla_no_celu[Afiliados sin telefono],"no datos",0,1)</f>
        <v>no datos</v>
      </c>
    </row>
    <row r="70">
      <c r="A70" s="45">
        <v>1.123741831E9</v>
      </c>
      <c r="B70" s="207" t="str">
        <f t="array" ref="B70">XLOOKUP(A70,Tabla_no_celu[Celular],Tabla_no_celu[Afiliados sin telefono],"no datos",0,1)</f>
        <v>no datos</v>
      </c>
    </row>
    <row r="71">
      <c r="A71" s="48">
        <v>1.154169265E9</v>
      </c>
      <c r="B71" s="209" t="str">
        <f t="array" ref="B71">XLOOKUP(A71,Tabla_no_celu[Celular],Tabla_no_celu[Afiliados sin telefono],"no datos",0,1)</f>
        <v>no datos</v>
      </c>
    </row>
    <row r="72">
      <c r="A72" s="45">
        <v>1.154687658E9</v>
      </c>
      <c r="B72" s="207" t="str">
        <f t="array" ref="B72">XLOOKUP(A72,Tabla_no_celu[Celular],Tabla_no_celu[Afiliados sin telefono],"no datos",0,1)</f>
        <v>no datos</v>
      </c>
    </row>
    <row r="73">
      <c r="A73" s="48">
        <v>1.165736948E9</v>
      </c>
      <c r="B73" s="209" t="str">
        <f t="array" ref="B73">XLOOKUP(A73,Tabla_no_celu[Celular],Tabla_no_celu[Afiliados sin telefono],"no datos",0,1)</f>
        <v>no datos</v>
      </c>
    </row>
    <row r="74">
      <c r="A74" s="45">
        <v>1.151383435E9</v>
      </c>
      <c r="B74" s="207" t="str">
        <f t="array" ref="B74">XLOOKUP(A74,Tabla_no_celu[Celular],Tabla_no_celu[Afiliados sin telefono],"no datos",0,1)</f>
        <v>no datos</v>
      </c>
    </row>
    <row r="75">
      <c r="A75" s="48">
        <v>1.136678278E9</v>
      </c>
      <c r="B75" s="209" t="str">
        <f t="array" ref="B75">XLOOKUP(A75,Tabla_no_celu[Celular],Tabla_no_celu[Afiliados sin telefono],"no datos",0,1)</f>
        <v>no datos</v>
      </c>
    </row>
    <row r="76" hidden="1">
      <c r="A76" s="211">
        <v>1.12322886E9</v>
      </c>
      <c r="B76" s="207" t="str">
        <f t="array" ref="B76">XLOOKUP(A76,Tabla_no_celu[Celular],Tabla_no_celu[Afiliados sin telefono],"no datos",0,1)</f>
        <v>Nogales, Lucas</v>
      </c>
    </row>
    <row r="77">
      <c r="A77" s="48">
        <v>1.165281146E9</v>
      </c>
      <c r="B77" s="209" t="str">
        <f t="array" ref="B77">XLOOKUP(A77,Tabla_no_celu[Celular],Tabla_no_celu[Afiliados sin telefono],"no datos",0,1)</f>
        <v>no datos</v>
      </c>
    </row>
    <row r="78">
      <c r="A78" s="45">
        <v>1.160368096E9</v>
      </c>
      <c r="B78" s="207" t="str">
        <f t="array" ref="B78">XLOOKUP(A78,Tabla_no_celu[Celular],Tabla_no_celu[Afiliados sin telefono],"no datos",0,1)</f>
        <v>no datos</v>
      </c>
    </row>
    <row r="79">
      <c r="A79" s="48">
        <v>1.159190254E9</v>
      </c>
      <c r="B79" s="209" t="str">
        <f t="array" ref="B79">XLOOKUP(A79,Tabla_no_celu[Celular],Tabla_no_celu[Afiliados sin telefono],"no datos",0,1)</f>
        <v>no datos</v>
      </c>
    </row>
    <row r="80">
      <c r="A80" s="45">
        <v>1.131257128E9</v>
      </c>
      <c r="B80" s="207" t="str">
        <f t="array" ref="B80">XLOOKUP(A80,Tabla_no_celu[Celular],Tabla_no_celu[Afiliados sin telefono],"no datos",0,1)</f>
        <v>no datos</v>
      </c>
    </row>
    <row r="81">
      <c r="A81" s="48">
        <v>1.121554052E9</v>
      </c>
      <c r="B81" s="209" t="str">
        <f t="array" ref="B81">XLOOKUP(A81,Tabla_no_celu[Celular],Tabla_no_celu[Afiliados sin telefono],"no datos",0,1)</f>
        <v>no datos</v>
      </c>
    </row>
    <row r="82" hidden="1">
      <c r="A82" s="211">
        <v>1.133043555E9</v>
      </c>
      <c r="B82" s="207" t="str">
        <f t="array" ref="B82">XLOOKUP(A82,Tabla_no_celu[Celular],Tabla_no_celu[Afiliados sin telefono],"no datos",0,1)</f>
        <v>Alvarez Miranda, Micaela </v>
      </c>
    </row>
    <row r="83">
      <c r="A83" s="48">
        <v>1.168554863E9</v>
      </c>
      <c r="B83" s="209" t="str">
        <f t="array" ref="B83">XLOOKUP(A83,Tabla_no_celu[Celular],Tabla_no_celu[Afiliados sin telefono],"no datos",0,1)</f>
        <v>no datos</v>
      </c>
    </row>
    <row r="84">
      <c r="A84" s="45">
        <v>1.131223511E9</v>
      </c>
      <c r="B84" s="207" t="str">
        <f t="array" ref="B84">XLOOKUP(A84,Tabla_no_celu[Celular],Tabla_no_celu[Afiliados sin telefono],"no datos",0,1)</f>
        <v>no datos</v>
      </c>
    </row>
    <row r="85">
      <c r="A85" s="48">
        <v>1.131312104E9</v>
      </c>
      <c r="B85" s="209" t="str">
        <f t="array" ref="B85">XLOOKUP(A85,Tabla_no_celu[Celular],Tabla_no_celu[Afiliados sin telefono],"no datos",0,1)</f>
        <v>no datos</v>
      </c>
    </row>
    <row r="86">
      <c r="A86" s="45">
        <v>1.132694465E9</v>
      </c>
      <c r="B86" s="207" t="str">
        <f t="array" ref="B86">XLOOKUP(A86,Tabla_no_celu[Celular],Tabla_no_celu[Afiliados sin telefono],"no datos",0,1)</f>
        <v>no datos</v>
      </c>
    </row>
    <row r="87">
      <c r="A87" s="48">
        <v>1.150543639E9</v>
      </c>
      <c r="B87" s="209" t="str">
        <f t="array" ref="B87">XLOOKUP(A87,Tabla_no_celu[Celular],Tabla_no_celu[Afiliados sin telefono],"no datos",0,1)</f>
        <v>no datos</v>
      </c>
    </row>
    <row r="88">
      <c r="A88" s="45">
        <v>1.173662195E9</v>
      </c>
      <c r="B88" s="207" t="str">
        <f t="array" ref="B88">XLOOKUP(A88,Tabla_no_celu[Celular],Tabla_no_celu[Afiliados sin telefono],"no datos",0,1)</f>
        <v>no datos</v>
      </c>
    </row>
    <row r="89">
      <c r="A89" s="48">
        <v>1.130427551E9</v>
      </c>
      <c r="B89" s="209" t="str">
        <f t="array" ref="B89">XLOOKUP(A89,Tabla_no_celu[Celular],Tabla_no_celu[Afiliados sin telefono],"no datos",0,1)</f>
        <v>no datos</v>
      </c>
    </row>
    <row r="90">
      <c r="A90" s="45">
        <v>1.166440309E9</v>
      </c>
      <c r="B90" s="207" t="str">
        <f t="array" ref="B90">XLOOKUP(A90,Tabla_no_celu[Celular],Tabla_no_celu[Afiliados sin telefono],"no datos",0,1)</f>
        <v>no datos</v>
      </c>
    </row>
    <row r="91" hidden="1">
      <c r="A91" s="211">
        <v>1.164433045E9</v>
      </c>
      <c r="B91" s="209" t="str">
        <f t="array" ref="B91">XLOOKUP(A91,Tabla_no_celu[Celular],Tabla_no_celu[Afiliados sin telefono],"no datos",0,1)</f>
        <v>Vallejo, Rocio</v>
      </c>
    </row>
    <row r="92">
      <c r="A92" s="45">
        <v>1.168197735E9</v>
      </c>
      <c r="B92" s="207" t="str">
        <f t="array" ref="B92">XLOOKUP(A92,Tabla_no_celu[Celular],Tabla_no_celu[Afiliados sin telefono],"no datos",0,1)</f>
        <v>no datos</v>
      </c>
    </row>
    <row r="93">
      <c r="A93" s="48">
        <v>1.149738514E9</v>
      </c>
      <c r="B93" s="209" t="str">
        <f t="array" ref="B93">XLOOKUP(A93,Tabla_no_celu[Celular],Tabla_no_celu[Afiliados sin telefono],"no datos",0,1)</f>
        <v>no datos</v>
      </c>
    </row>
    <row r="94">
      <c r="A94" s="45">
        <v>1.135865476E9</v>
      </c>
      <c r="B94" s="207" t="str">
        <f t="array" ref="B94">XLOOKUP(A94,Tabla_no_celu[Celular],Tabla_no_celu[Afiliados sin telefono],"no datos",0,1)</f>
        <v>no datos</v>
      </c>
    </row>
    <row r="95">
      <c r="A95" s="48">
        <v>1.168673658E9</v>
      </c>
      <c r="B95" s="209" t="str">
        <f t="array" ref="B95">XLOOKUP(A95,Tabla_no_celu[Celular],Tabla_no_celu[Afiliados sin telefono],"no datos",0,1)</f>
        <v>no datos</v>
      </c>
    </row>
    <row r="96">
      <c r="A96" s="45">
        <v>3.704098413E9</v>
      </c>
      <c r="B96" s="207" t="str">
        <f t="array" ref="B96">XLOOKUP(A96,Tabla_no_celu[Celular],Tabla_no_celu[Afiliados sin telefono],"no datos",0,1)</f>
        <v>no datos</v>
      </c>
    </row>
    <row r="97">
      <c r="A97" s="48">
        <v>1.155262436E9</v>
      </c>
      <c r="B97" s="209" t="str">
        <f t="array" ref="B97">XLOOKUP(A97,Tabla_no_celu[Celular],Tabla_no_celu[Afiliados sin telefono],"no datos",0,1)</f>
        <v>no datos</v>
      </c>
    </row>
    <row r="98" hidden="1">
      <c r="A98" s="211">
        <v>1.12165227E9</v>
      </c>
      <c r="B98" s="207" t="str">
        <f t="array" ref="B98">XLOOKUP(A98,Tabla_no_celu[Celular],Tabla_no_celu[Afiliados sin telefono],"no datos",0,1)</f>
        <v>Insaurralde, Santiago</v>
      </c>
    </row>
    <row r="99">
      <c r="A99" s="48">
        <v>1.133007803E9</v>
      </c>
      <c r="B99" s="209" t="str">
        <f t="array" ref="B99">XLOOKUP(A99,Tabla_no_celu[Celular],Tabla_no_celu[Afiliados sin telefono],"no datos",0,1)</f>
        <v>no datos</v>
      </c>
    </row>
    <row r="100">
      <c r="A100" s="45">
        <v>1.158805107E9</v>
      </c>
      <c r="B100" s="207" t="str">
        <f t="array" ref="B100">XLOOKUP(A100,Tabla_no_celu[Celular],Tabla_no_celu[Afiliados sin telefono],"no datos",0,1)</f>
        <v>no datos</v>
      </c>
    </row>
    <row r="101">
      <c r="A101" s="48">
        <v>1.171383253E9</v>
      </c>
      <c r="B101" s="209" t="str">
        <f t="array" ref="B101">XLOOKUP(A101,Tabla_no_celu[Celular],Tabla_no_celu[Afiliados sin telefono],"no datos",0,1)</f>
        <v>no datos</v>
      </c>
    </row>
    <row r="102">
      <c r="A102" s="45">
        <v>1.124681192E9</v>
      </c>
      <c r="B102" s="207" t="str">
        <f t="array" ref="B102">XLOOKUP(A102,Tabla_no_celu[Celular],Tabla_no_celu[Afiliados sin telefono],"no datos",0,1)</f>
        <v>no datos</v>
      </c>
    </row>
    <row r="103">
      <c r="A103" s="48">
        <v>1.13176209E9</v>
      </c>
      <c r="B103" s="209" t="str">
        <f t="array" ref="B103">XLOOKUP(A103,Tabla_no_celu[Celular],Tabla_no_celu[Afiliados sin telefono],"no datos",0,1)</f>
        <v>no datos</v>
      </c>
    </row>
    <row r="104">
      <c r="A104" s="45">
        <v>1.121630635E9</v>
      </c>
      <c r="B104" s="207" t="str">
        <f t="array" ref="B104">XLOOKUP(A104,Tabla_no_celu[Celular],Tabla_no_celu[Afiliados sin telefono],"no datos",0,1)</f>
        <v>no datos</v>
      </c>
    </row>
    <row r="105">
      <c r="A105" s="48">
        <v>1.13407371E9</v>
      </c>
      <c r="B105" s="209" t="str">
        <f t="array" ref="B105">XLOOKUP(A105,Tabla_no_celu[Celular],Tabla_no_celu[Afiliados sin telefono],"no datos",0,1)</f>
        <v>no datos</v>
      </c>
    </row>
    <row r="106">
      <c r="A106" s="45">
        <v>1.123394729E9</v>
      </c>
      <c r="B106" s="207" t="str">
        <f t="array" ref="B106">XLOOKUP(A106,Tabla_no_celu[Celular],Tabla_no_celu[Afiliados sin telefono],"no datos",0,1)</f>
        <v>no datos</v>
      </c>
    </row>
    <row r="107">
      <c r="A107" s="48">
        <v>1.162105315E9</v>
      </c>
      <c r="B107" s="209" t="str">
        <f t="array" ref="B107">XLOOKUP(A107,Tabla_no_celu[Celular],Tabla_no_celu[Afiliados sin telefono],"no datos",0,1)</f>
        <v>no datos</v>
      </c>
    </row>
    <row r="108">
      <c r="A108" s="45">
        <v>1.159116107E9</v>
      </c>
      <c r="B108" s="207" t="str">
        <f t="array" ref="B108">XLOOKUP(A108,Tabla_no_celu[Celular],Tabla_no_celu[Afiliados sin telefono],"no datos",0,1)</f>
        <v>no datos</v>
      </c>
    </row>
    <row r="109">
      <c r="A109" s="48">
        <v>1.136341313E9</v>
      </c>
      <c r="B109" s="209" t="str">
        <f t="array" ref="B109">XLOOKUP(A109,Tabla_no_celu[Celular],Tabla_no_celu[Afiliados sin telefono],"no datos",0,1)</f>
        <v>no datos</v>
      </c>
    </row>
    <row r="110">
      <c r="A110" s="45">
        <v>1.159651691E9</v>
      </c>
      <c r="B110" s="207" t="str">
        <f t="array" ref="B110">XLOOKUP(A110,Tabla_no_celu[Celular],Tabla_no_celu[Afiliados sin telefono],"no datos",0,1)</f>
        <v>no datos</v>
      </c>
    </row>
    <row r="111">
      <c r="A111" s="48">
        <v>1.171465984E9</v>
      </c>
      <c r="B111" s="209" t="str">
        <f t="array" ref="B111">XLOOKUP(A111,Tabla_no_celu[Celular],Tabla_no_celu[Afiliados sin telefono],"no datos",0,1)</f>
        <v>no datos</v>
      </c>
    </row>
    <row r="112">
      <c r="A112" s="45">
        <v>1.136468807E9</v>
      </c>
      <c r="B112" s="207" t="str">
        <f t="array" ref="B112">XLOOKUP(A112,Tabla_no_celu[Celular],Tabla_no_celu[Afiliados sin telefono],"no datos",0,1)</f>
        <v>no datos</v>
      </c>
    </row>
    <row r="113">
      <c r="A113" s="48">
        <v>1.176433787E9</v>
      </c>
      <c r="B113" s="209" t="str">
        <f t="array" ref="B113">XLOOKUP(A113,Tabla_no_celu[Celular],Tabla_no_celu[Afiliados sin telefono],"no datos",0,1)</f>
        <v>no datos</v>
      </c>
    </row>
    <row r="114">
      <c r="A114" s="45">
        <v>1.12297506E9</v>
      </c>
      <c r="B114" s="207" t="str">
        <f t="array" ref="B114">XLOOKUP(A114,Tabla_no_celu[Celular],Tabla_no_celu[Afiliados sin telefono],"no datos",0,1)</f>
        <v>no datos</v>
      </c>
    </row>
    <row r="115">
      <c r="A115" s="212">
        <v>1.125087256E9</v>
      </c>
      <c r="B115" s="209" t="str">
        <f t="array" ref="B115">XLOOKUP(A115,Tabla_no_celu[Celular],Tabla_no_celu[Afiliados sin telefono],"no datos",0,1)</f>
        <v>no datos</v>
      </c>
    </row>
    <row r="116" hidden="1">
      <c r="A116" s="211">
        <v>1.125419629E9</v>
      </c>
      <c r="B116" s="207" t="str">
        <f t="array" ref="B116">XLOOKUP(A116,Tabla_no_celu[Celular],Tabla_no_celu[Afiliados sin telefono],"no datos",0,1)</f>
        <v>Romero, Jose </v>
      </c>
    </row>
    <row r="117">
      <c r="A117" s="48">
        <v>1.125514396E9</v>
      </c>
      <c r="B117" s="209" t="str">
        <f t="array" ref="B117">XLOOKUP(A117,Tabla_no_celu[Celular],Tabla_no_celu[Afiliados sin telefono],"no datos",0,1)</f>
        <v>no datos</v>
      </c>
    </row>
    <row r="118">
      <c r="A118" s="45">
        <v>1.126140684E9</v>
      </c>
      <c r="B118" s="207" t="str">
        <f t="array" ref="B118">XLOOKUP(A118,Tabla_no_celu[Celular],Tabla_no_celu[Afiliados sin telefono],"no datos",0,1)</f>
        <v>no datos</v>
      </c>
    </row>
    <row r="119">
      <c r="A119" s="48">
        <v>1.126514459E9</v>
      </c>
      <c r="B119" s="209" t="str">
        <f t="array" ref="B119">XLOOKUP(A119,Tabla_no_celu[Celular],Tabla_no_celu[Afiliados sin telefono],"no datos",0,1)</f>
        <v>no datos</v>
      </c>
    </row>
    <row r="120">
      <c r="A120" s="45">
        <v>1.131572115E9</v>
      </c>
      <c r="B120" s="207" t="str">
        <f t="array" ref="B120">XLOOKUP(A120,Tabla_no_celu[Celular],Tabla_no_celu[Afiliados sin telefono],"no datos",0,1)</f>
        <v>no datos</v>
      </c>
    </row>
    <row r="121" hidden="1">
      <c r="A121" s="211">
        <v>1.133361807E9</v>
      </c>
      <c r="B121" s="209" t="str">
        <f t="array" ref="B121">XLOOKUP(A121,Tabla_no_celu[Celular],Tabla_no_celu[Afiliados sin telefono],"no datos",0,1)</f>
        <v>Mansilla, Jessica</v>
      </c>
    </row>
    <row r="122">
      <c r="A122" s="45">
        <v>1.136586054E9</v>
      </c>
      <c r="B122" s="207" t="str">
        <f t="array" ref="B122">XLOOKUP(A122,Tabla_no_celu[Celular],Tabla_no_celu[Afiliados sin telefono],"no datos",0,1)</f>
        <v>no datos</v>
      </c>
    </row>
    <row r="123">
      <c r="A123" s="48">
        <v>1.136982014E9</v>
      </c>
      <c r="B123" s="209" t="str">
        <f t="array" ref="B123">XLOOKUP(A123,Tabla_no_celu[Celular],Tabla_no_celu[Afiliados sin telefono],"no datos",0,1)</f>
        <v>no datos</v>
      </c>
    </row>
    <row r="124">
      <c r="A124" s="45">
        <v>1.13946845E9</v>
      </c>
      <c r="B124" s="207" t="str">
        <f t="array" ref="B124">XLOOKUP(A124,Tabla_no_celu[Celular],Tabla_no_celu[Afiliados sin telefono],"no datos",0,1)</f>
        <v>no datos</v>
      </c>
    </row>
    <row r="125" hidden="1">
      <c r="A125" s="211">
        <v>1.154648938E9</v>
      </c>
      <c r="B125" s="209" t="str">
        <f t="array" ref="B125">XLOOKUP(A125,Tabla_no_celu[Celular],Tabla_no_celu[Afiliados sin telefono],"no datos",0,1)</f>
        <v>Pollarolo, Soledad</v>
      </c>
    </row>
    <row r="126">
      <c r="A126" s="45">
        <v>1.158258255E9</v>
      </c>
      <c r="B126" s="207" t="str">
        <f t="array" ref="B126">XLOOKUP(A126,Tabla_no_celu[Celular],Tabla_no_celu[Afiliados sin telefono],"no datos",0,1)</f>
        <v>no datos</v>
      </c>
    </row>
    <row r="127">
      <c r="A127" s="48">
        <v>1.159122612E9</v>
      </c>
      <c r="B127" s="209" t="str">
        <f t="array" ref="B127">XLOOKUP(A127,Tabla_no_celu[Celular],Tabla_no_celu[Afiliados sin telefono],"no datos",0,1)</f>
        <v>no datos</v>
      </c>
    </row>
    <row r="128" hidden="1">
      <c r="A128" s="211">
        <v>1.124962694E9</v>
      </c>
      <c r="B128" s="207" t="str">
        <f t="array" ref="B128">XLOOKUP(A128,Tabla_no_celu[Celular],Tabla_no_celu[Afiliados sin telefono],"no datos",0,1)</f>
        <v>Brenda Papa </v>
      </c>
    </row>
    <row r="129">
      <c r="A129" s="48">
        <v>1.154840047E9</v>
      </c>
      <c r="B129" s="209" t="str">
        <f t="array" ref="B129">XLOOKUP(A129,Tabla_no_celu[Celular],Tabla_no_celu[Afiliados sin telefono],"no datos",0,1)</f>
        <v>no datos</v>
      </c>
    </row>
    <row r="130">
      <c r="A130" s="45">
        <v>1.127559127E9</v>
      </c>
      <c r="B130" s="207" t="str">
        <f t="array" ref="B130">XLOOKUP(A130,Tabla_no_celu[Celular],Tabla_no_celu[Afiliados sin telefono],"no datos",0,1)</f>
        <v>no datos</v>
      </c>
    </row>
    <row r="131">
      <c r="A131" s="48">
        <v>1.161708518E9</v>
      </c>
      <c r="B131" s="209" t="str">
        <f t="array" ref="B131">XLOOKUP(A131,Tabla_no_celu[Celular],Tabla_no_celu[Afiliados sin telefono],"no datos",0,1)</f>
        <v>no datos</v>
      </c>
    </row>
    <row r="132" hidden="1">
      <c r="A132" s="211">
        <v>1.155736174E9</v>
      </c>
      <c r="B132" s="207" t="str">
        <f t="array" ref="B132">XLOOKUP(A132,Tabla_no_celu[Celular],Tabla_no_celu[Afiliados sin telefono],"no datos",0,1)</f>
        <v>López Diego Alberto ap 1784</v>
      </c>
    </row>
    <row r="133">
      <c r="A133" s="48">
        <v>1.130490042E9</v>
      </c>
      <c r="B133" s="209" t="str">
        <f t="array" ref="B133">XLOOKUP(A133,Tabla_no_celu[Celular],Tabla_no_celu[Afiliados sin telefono],"no datos",0,1)</f>
        <v>no datos</v>
      </c>
    </row>
    <row r="134">
      <c r="A134" s="45">
        <v>1.133663658E9</v>
      </c>
      <c r="B134" s="207" t="str">
        <f t="array" ref="B134">XLOOKUP(A134,Tabla_no_celu[Celular],Tabla_no_celu[Afiliados sin telefono],"no datos",0,1)</f>
        <v>no datos</v>
      </c>
    </row>
    <row r="135">
      <c r="A135" s="48">
        <v>1.121937607E9</v>
      </c>
      <c r="B135" s="209" t="str">
        <f t="array" ref="B135">XLOOKUP(A135,Tabla_no_celu[Celular],Tabla_no_celu[Afiliados sin telefono],"no datos",0,1)</f>
        <v>no datos</v>
      </c>
    </row>
    <row r="136">
      <c r="A136" s="45">
        <v>1.16936781E9</v>
      </c>
      <c r="B136" s="207" t="str">
        <f t="array" ref="B136">XLOOKUP(A136,Tabla_no_celu[Celular],Tabla_no_celu[Afiliados sin telefono],"no datos",0,1)</f>
        <v>no datos</v>
      </c>
    </row>
    <row r="137" hidden="1">
      <c r="A137" s="211">
        <v>1.121781795E9</v>
      </c>
      <c r="B137" s="209" t="str">
        <f t="array" ref="B137">XLOOKUP(A137,Tabla_no_celu[Celular],Tabla_no_celu[Afiliados sin telefono],"no datos",0,1)</f>
        <v>Peralta Lourdes Tais</v>
      </c>
    </row>
    <row r="138" hidden="1">
      <c r="A138" s="211">
        <v>1.165963623E9</v>
      </c>
      <c r="B138" s="207" t="str">
        <f t="array" ref="B138">XLOOKUP(A138,Tabla_no_celu[Celular],Tabla_no_celu[Afiliados sin telefono],"no datos",0,1)</f>
        <v>Ferreyra Silda</v>
      </c>
    </row>
    <row r="139" hidden="1">
      <c r="A139" s="211">
        <v>1.150370216E9</v>
      </c>
      <c r="B139" s="209" t="str">
        <f t="array" ref="B139">XLOOKUP(A139,Tabla_no_celu[Celular],Tabla_no_celu[Afiliados sin telefono],"no datos",0,1)</f>
        <v>Romero,  Veronica</v>
      </c>
    </row>
    <row r="140" hidden="1">
      <c r="A140" s="211">
        <v>1.121554379E9</v>
      </c>
      <c r="B140" s="207" t="str">
        <f t="array" ref="B140">XLOOKUP(A140,Tabla_no_celu[Celular],Tabla_no_celu[Afiliados sin telefono],"no datos",0,1)</f>
        <v>Victoria Prieto </v>
      </c>
    </row>
    <row r="141">
      <c r="A141" s="213"/>
      <c r="B141" s="162"/>
    </row>
    <row r="142">
      <c r="A142" s="214"/>
      <c r="B142" s="158"/>
    </row>
    <row r="143">
      <c r="A143" s="213"/>
      <c r="B143" s="162"/>
    </row>
    <row r="144">
      <c r="A144" s="214"/>
      <c r="B144" s="158"/>
    </row>
    <row r="145">
      <c r="A145" s="213"/>
      <c r="B145" s="162"/>
    </row>
    <row r="146">
      <c r="A146" s="214"/>
      <c r="B146" s="158"/>
    </row>
    <row r="147">
      <c r="A147" s="213"/>
      <c r="B147" s="162"/>
    </row>
    <row r="148">
      <c r="A148" s="214"/>
      <c r="B148" s="158"/>
    </row>
    <row r="149">
      <c r="A149" s="213"/>
      <c r="B149" s="162"/>
    </row>
    <row r="150">
      <c r="A150" s="214"/>
      <c r="B150" s="158"/>
    </row>
    <row r="151">
      <c r="A151" s="213"/>
      <c r="B151" s="162"/>
    </row>
    <row r="152">
      <c r="A152" s="214"/>
      <c r="B152" s="158"/>
    </row>
    <row r="153">
      <c r="A153" s="213"/>
      <c r="B153" s="162"/>
    </row>
    <row r="154">
      <c r="A154" s="214"/>
      <c r="B154" s="158"/>
    </row>
    <row r="155">
      <c r="A155" s="213"/>
      <c r="B155" s="162"/>
    </row>
    <row r="156">
      <c r="A156" s="214"/>
      <c r="B156" s="158"/>
    </row>
    <row r="157">
      <c r="A157" s="213"/>
      <c r="B157" s="162"/>
    </row>
    <row r="158">
      <c r="A158" s="214"/>
      <c r="B158" s="158"/>
    </row>
    <row r="159">
      <c r="A159" s="213"/>
      <c r="B159" s="162"/>
    </row>
    <row r="160">
      <c r="A160" s="214"/>
      <c r="B160" s="158"/>
    </row>
    <row r="161">
      <c r="A161" s="213"/>
      <c r="B161" s="162"/>
    </row>
    <row r="162">
      <c r="A162" s="214"/>
      <c r="B162" s="158"/>
    </row>
    <row r="163">
      <c r="A163" s="213"/>
      <c r="B163" s="162"/>
    </row>
    <row r="164">
      <c r="A164" s="214"/>
      <c r="B164" s="158"/>
    </row>
    <row r="165">
      <c r="A165" s="213"/>
      <c r="B165" s="162"/>
    </row>
    <row r="166">
      <c r="A166" s="214"/>
      <c r="B166" s="158"/>
    </row>
    <row r="167">
      <c r="A167" s="213"/>
      <c r="B167" s="162"/>
    </row>
    <row r="168">
      <c r="A168" s="214"/>
      <c r="B168" s="158"/>
    </row>
    <row r="169">
      <c r="A169" s="213"/>
      <c r="B169" s="162"/>
    </row>
    <row r="170">
      <c r="A170" s="214"/>
      <c r="B170" s="158"/>
    </row>
    <row r="171">
      <c r="A171" s="213"/>
      <c r="B171" s="162"/>
    </row>
    <row r="172">
      <c r="A172" s="214"/>
      <c r="B172" s="158"/>
    </row>
    <row r="173">
      <c r="A173" s="213"/>
      <c r="B173" s="162"/>
    </row>
    <row r="174">
      <c r="A174" s="214"/>
      <c r="B174" s="158"/>
    </row>
    <row r="175">
      <c r="A175" s="213"/>
      <c r="B175" s="162"/>
    </row>
    <row r="176">
      <c r="A176" s="214"/>
      <c r="B176" s="158"/>
    </row>
    <row r="177">
      <c r="A177" s="213"/>
      <c r="B177" s="162"/>
    </row>
    <row r="178">
      <c r="A178" s="214"/>
      <c r="B178" s="158"/>
    </row>
    <row r="179">
      <c r="A179" s="213"/>
      <c r="B179" s="162"/>
    </row>
    <row r="180">
      <c r="A180" s="214"/>
      <c r="B180" s="158"/>
    </row>
    <row r="181">
      <c r="A181" s="213"/>
      <c r="B181" s="162"/>
    </row>
    <row r="182">
      <c r="A182" s="214"/>
      <c r="B182" s="158"/>
    </row>
    <row r="183">
      <c r="A183" s="213"/>
      <c r="B183" s="162"/>
    </row>
    <row r="184">
      <c r="A184" s="214"/>
      <c r="B184" s="158"/>
    </row>
    <row r="185">
      <c r="A185" s="213"/>
      <c r="B185" s="162"/>
    </row>
    <row r="186">
      <c r="A186" s="214"/>
      <c r="B186" s="158"/>
    </row>
    <row r="187">
      <c r="A187" s="213"/>
      <c r="B187" s="162"/>
    </row>
    <row r="188">
      <c r="A188" s="214"/>
      <c r="B188" s="158"/>
    </row>
    <row r="189">
      <c r="A189" s="213"/>
      <c r="B189" s="162"/>
    </row>
    <row r="190">
      <c r="A190" s="214"/>
      <c r="B190" s="158"/>
    </row>
    <row r="191">
      <c r="A191" s="213"/>
      <c r="B191" s="162"/>
    </row>
    <row r="192">
      <c r="A192" s="214"/>
      <c r="B192" s="158"/>
    </row>
    <row r="193">
      <c r="A193" s="213"/>
      <c r="B193" s="162"/>
    </row>
    <row r="194">
      <c r="A194" s="214"/>
      <c r="B194" s="158"/>
    </row>
    <row r="195">
      <c r="A195" s="213"/>
      <c r="B195" s="162"/>
    </row>
    <row r="196">
      <c r="A196" s="214"/>
      <c r="B196" s="158"/>
    </row>
    <row r="197">
      <c r="A197" s="213"/>
      <c r="B197" s="162"/>
    </row>
    <row r="198">
      <c r="A198" s="214"/>
      <c r="B198" s="158"/>
    </row>
    <row r="199">
      <c r="A199" s="213"/>
      <c r="B199" s="162"/>
    </row>
    <row r="200">
      <c r="A200" s="214"/>
      <c r="B200" s="158"/>
    </row>
    <row r="201">
      <c r="A201" s="213"/>
      <c r="B201" s="162"/>
    </row>
    <row r="202">
      <c r="A202" s="214"/>
      <c r="B202" s="158"/>
    </row>
    <row r="203">
      <c r="A203" s="213"/>
      <c r="B203" s="162"/>
    </row>
    <row r="204">
      <c r="A204" s="214"/>
      <c r="B204" s="158"/>
    </row>
    <row r="205">
      <c r="A205" s="213"/>
      <c r="B205" s="162"/>
    </row>
    <row r="206">
      <c r="A206" s="214"/>
      <c r="B206" s="158"/>
    </row>
    <row r="207">
      <c r="A207" s="213"/>
      <c r="B207" s="162"/>
    </row>
    <row r="208">
      <c r="A208" s="214"/>
      <c r="B208" s="158"/>
    </row>
    <row r="209">
      <c r="A209" s="213"/>
      <c r="B209" s="162"/>
    </row>
    <row r="210">
      <c r="A210" s="214"/>
      <c r="B210" s="158"/>
    </row>
    <row r="211">
      <c r="A211" s="213"/>
      <c r="B211" s="162"/>
    </row>
    <row r="212">
      <c r="A212" s="214"/>
      <c r="B212" s="158"/>
    </row>
    <row r="213">
      <c r="A213" s="213"/>
      <c r="B213" s="162"/>
    </row>
    <row r="214">
      <c r="A214" s="214"/>
      <c r="B214" s="158"/>
    </row>
    <row r="215">
      <c r="A215" s="213"/>
      <c r="B215" s="162"/>
    </row>
    <row r="216">
      <c r="A216" s="214"/>
      <c r="B216" s="158"/>
    </row>
    <row r="217">
      <c r="A217" s="213"/>
      <c r="B217" s="162"/>
    </row>
    <row r="218">
      <c r="A218" s="214"/>
      <c r="B218" s="158"/>
    </row>
    <row r="219">
      <c r="A219" s="213"/>
      <c r="B219" s="162"/>
    </row>
    <row r="220">
      <c r="A220" s="214"/>
      <c r="B220" s="158"/>
    </row>
    <row r="221">
      <c r="A221" s="213"/>
      <c r="B221" s="162"/>
    </row>
    <row r="222">
      <c r="A222" s="214"/>
      <c r="B222" s="158"/>
    </row>
    <row r="223">
      <c r="A223" s="213"/>
      <c r="B223" s="162"/>
    </row>
    <row r="224">
      <c r="A224" s="214"/>
      <c r="B224" s="158"/>
    </row>
    <row r="225">
      <c r="A225" s="213"/>
      <c r="B225" s="162"/>
    </row>
    <row r="226">
      <c r="A226" s="214"/>
      <c r="B226" s="158"/>
    </row>
    <row r="227">
      <c r="A227" s="213"/>
      <c r="B227" s="162"/>
    </row>
    <row r="228">
      <c r="A228" s="214"/>
      <c r="B228" s="158"/>
    </row>
    <row r="229">
      <c r="A229" s="213"/>
      <c r="B229" s="162"/>
    </row>
    <row r="230">
      <c r="A230" s="214"/>
      <c r="B230" s="158"/>
    </row>
    <row r="231">
      <c r="A231" s="213"/>
      <c r="B231" s="162"/>
    </row>
    <row r="232">
      <c r="A232" s="214"/>
      <c r="B232" s="158"/>
    </row>
    <row r="233">
      <c r="A233" s="213"/>
      <c r="B233" s="162"/>
    </row>
    <row r="234">
      <c r="A234" s="214"/>
      <c r="B234" s="158"/>
    </row>
    <row r="235">
      <c r="A235" s="213"/>
      <c r="B235" s="162"/>
    </row>
    <row r="236">
      <c r="A236" s="214"/>
      <c r="B236" s="158"/>
    </row>
    <row r="237">
      <c r="A237" s="213"/>
      <c r="B237" s="162"/>
    </row>
    <row r="238">
      <c r="A238" s="214"/>
      <c r="B238" s="158"/>
    </row>
    <row r="239">
      <c r="A239" s="213"/>
      <c r="B239" s="162"/>
    </row>
    <row r="240">
      <c r="A240" s="214"/>
      <c r="B240" s="158"/>
    </row>
    <row r="241">
      <c r="A241" s="213"/>
      <c r="B241" s="162"/>
    </row>
    <row r="242">
      <c r="A242" s="214"/>
      <c r="B242" s="158"/>
    </row>
    <row r="243">
      <c r="A243" s="213"/>
      <c r="B243" s="162"/>
    </row>
    <row r="244">
      <c r="A244" s="214"/>
      <c r="B244" s="158"/>
    </row>
    <row r="245">
      <c r="A245" s="213"/>
      <c r="B245" s="162"/>
    </row>
    <row r="246">
      <c r="A246" s="214"/>
      <c r="B246" s="158"/>
    </row>
    <row r="247">
      <c r="A247" s="213"/>
      <c r="B247" s="162"/>
    </row>
    <row r="248">
      <c r="A248" s="214"/>
      <c r="B248" s="158"/>
    </row>
    <row r="249">
      <c r="A249" s="213"/>
      <c r="B249" s="162"/>
    </row>
    <row r="250">
      <c r="A250" s="214"/>
      <c r="B250" s="158"/>
    </row>
    <row r="251">
      <c r="A251" s="213"/>
      <c r="B251" s="162"/>
    </row>
    <row r="252">
      <c r="A252" s="214"/>
      <c r="B252" s="158"/>
    </row>
    <row r="253">
      <c r="A253" s="213"/>
      <c r="B253" s="162"/>
    </row>
    <row r="254">
      <c r="A254" s="214"/>
      <c r="B254" s="158"/>
    </row>
    <row r="255">
      <c r="A255" s="213"/>
      <c r="B255" s="162"/>
    </row>
    <row r="256">
      <c r="A256" s="214"/>
      <c r="B256" s="158"/>
    </row>
    <row r="257">
      <c r="A257" s="213"/>
      <c r="B257" s="162"/>
    </row>
    <row r="258">
      <c r="A258" s="214"/>
      <c r="B258" s="158"/>
    </row>
    <row r="259">
      <c r="A259" s="213"/>
      <c r="B259" s="162"/>
    </row>
    <row r="260">
      <c r="A260" s="214"/>
      <c r="B260" s="158"/>
    </row>
    <row r="261">
      <c r="A261" s="213"/>
      <c r="B261" s="162"/>
    </row>
    <row r="262">
      <c r="A262" s="214"/>
      <c r="B262" s="158"/>
    </row>
    <row r="263">
      <c r="A263" s="213"/>
      <c r="B263" s="162"/>
    </row>
    <row r="264">
      <c r="A264" s="214"/>
      <c r="B264" s="158"/>
    </row>
    <row r="265">
      <c r="A265" s="213"/>
      <c r="B265" s="162"/>
    </row>
    <row r="266">
      <c r="A266" s="214"/>
      <c r="B266" s="158"/>
    </row>
    <row r="267">
      <c r="A267" s="213"/>
      <c r="B267" s="162"/>
    </row>
    <row r="268">
      <c r="A268" s="214"/>
      <c r="B268" s="158"/>
    </row>
    <row r="269">
      <c r="A269" s="213"/>
      <c r="B269" s="162"/>
    </row>
    <row r="270">
      <c r="A270" s="214"/>
      <c r="B270" s="158"/>
    </row>
    <row r="271">
      <c r="A271" s="213"/>
      <c r="B271" s="162"/>
    </row>
    <row r="272">
      <c r="A272" s="214"/>
      <c r="B272" s="158"/>
    </row>
    <row r="273">
      <c r="A273" s="213"/>
      <c r="B273" s="162"/>
    </row>
    <row r="274">
      <c r="A274" s="214"/>
      <c r="B274" s="158"/>
    </row>
    <row r="275">
      <c r="A275" s="213"/>
      <c r="B275" s="162"/>
    </row>
    <row r="276">
      <c r="A276" s="214"/>
      <c r="B276" s="158"/>
    </row>
    <row r="277">
      <c r="A277" s="213"/>
      <c r="B277" s="162"/>
    </row>
    <row r="278">
      <c r="A278" s="214"/>
      <c r="B278" s="158"/>
    </row>
    <row r="279">
      <c r="A279" s="213"/>
      <c r="B279" s="162"/>
    </row>
    <row r="280">
      <c r="A280" s="214"/>
      <c r="B280" s="158"/>
    </row>
    <row r="281">
      <c r="A281" s="213"/>
      <c r="B281" s="162"/>
    </row>
    <row r="282">
      <c r="A282" s="214"/>
      <c r="B282" s="158"/>
    </row>
    <row r="283">
      <c r="A283" s="213"/>
      <c r="B283" s="162"/>
    </row>
    <row r="284">
      <c r="A284" s="214"/>
      <c r="B284" s="158"/>
    </row>
    <row r="285">
      <c r="A285" s="213"/>
      <c r="B285" s="162"/>
    </row>
    <row r="286">
      <c r="A286" s="214"/>
      <c r="B286" s="158"/>
    </row>
    <row r="287">
      <c r="A287" s="213"/>
      <c r="B287" s="162"/>
    </row>
    <row r="288">
      <c r="A288" s="214"/>
      <c r="B288" s="158"/>
    </row>
    <row r="289">
      <c r="A289" s="213"/>
      <c r="B289" s="162"/>
    </row>
    <row r="290">
      <c r="A290" s="214"/>
      <c r="B290" s="158"/>
    </row>
    <row r="291">
      <c r="A291" s="213"/>
      <c r="B291" s="162"/>
    </row>
    <row r="292">
      <c r="A292" s="214"/>
      <c r="B292" s="158"/>
    </row>
    <row r="293">
      <c r="A293" s="213"/>
      <c r="B293" s="162"/>
    </row>
    <row r="294">
      <c r="A294" s="214"/>
      <c r="B294" s="158"/>
    </row>
    <row r="295">
      <c r="A295" s="213"/>
      <c r="B295" s="162"/>
    </row>
    <row r="296">
      <c r="A296" s="214"/>
      <c r="B296" s="158"/>
    </row>
    <row r="297">
      <c r="A297" s="213"/>
      <c r="B297" s="162"/>
    </row>
    <row r="298">
      <c r="A298" s="214"/>
      <c r="B298" s="158"/>
    </row>
    <row r="299">
      <c r="A299" s="213"/>
      <c r="B299" s="162"/>
    </row>
    <row r="300">
      <c r="A300" s="214"/>
      <c r="B300" s="158"/>
    </row>
    <row r="301">
      <c r="A301" s="213"/>
      <c r="B301" s="162"/>
    </row>
    <row r="302">
      <c r="A302" s="214"/>
      <c r="B302" s="158"/>
    </row>
    <row r="303">
      <c r="A303" s="213"/>
      <c r="B303" s="162"/>
    </row>
    <row r="304">
      <c r="A304" s="214"/>
      <c r="B304" s="158"/>
    </row>
    <row r="305">
      <c r="A305" s="213"/>
      <c r="B305" s="162"/>
    </row>
    <row r="306">
      <c r="A306" s="214"/>
      <c r="B306" s="158"/>
    </row>
    <row r="307">
      <c r="A307" s="213"/>
      <c r="B307" s="162"/>
    </row>
    <row r="308">
      <c r="A308" s="214"/>
      <c r="B308" s="158"/>
    </row>
    <row r="309">
      <c r="A309" s="213"/>
      <c r="B309" s="162"/>
    </row>
    <row r="310">
      <c r="A310" s="214"/>
      <c r="B310" s="158"/>
    </row>
    <row r="311">
      <c r="A311" s="213"/>
      <c r="B311" s="162"/>
    </row>
    <row r="312">
      <c r="A312" s="214"/>
      <c r="B312" s="158"/>
    </row>
    <row r="313">
      <c r="A313" s="213"/>
      <c r="B313" s="162"/>
    </row>
    <row r="314">
      <c r="A314" s="214"/>
      <c r="B314" s="158"/>
    </row>
    <row r="315">
      <c r="A315" s="213"/>
      <c r="B315" s="162"/>
    </row>
    <row r="316">
      <c r="A316" s="214"/>
      <c r="B316" s="158"/>
    </row>
    <row r="317">
      <c r="A317" s="213"/>
      <c r="B317" s="162"/>
    </row>
    <row r="318">
      <c r="A318" s="214"/>
      <c r="B318" s="158"/>
    </row>
    <row r="319">
      <c r="A319" s="213"/>
      <c r="B319" s="162"/>
    </row>
    <row r="320">
      <c r="A320" s="214"/>
      <c r="B320" s="158"/>
    </row>
    <row r="321">
      <c r="A321" s="213"/>
      <c r="B321" s="162"/>
    </row>
    <row r="322">
      <c r="A322" s="214"/>
      <c r="B322" s="158"/>
    </row>
    <row r="323">
      <c r="A323" s="213"/>
      <c r="B323" s="162"/>
    </row>
    <row r="324">
      <c r="A324" s="214"/>
      <c r="B324" s="158"/>
    </row>
    <row r="325">
      <c r="A325" s="213"/>
      <c r="B325" s="162"/>
    </row>
    <row r="326">
      <c r="A326" s="214"/>
      <c r="B326" s="158"/>
    </row>
    <row r="327">
      <c r="A327" s="213"/>
      <c r="B327" s="162"/>
    </row>
    <row r="328">
      <c r="A328" s="214"/>
      <c r="B328" s="158"/>
    </row>
    <row r="329">
      <c r="A329" s="213"/>
      <c r="B329" s="162"/>
    </row>
    <row r="330">
      <c r="A330" s="214"/>
      <c r="B330" s="158"/>
    </row>
    <row r="331">
      <c r="A331" s="213"/>
      <c r="B331" s="162"/>
    </row>
    <row r="332">
      <c r="A332" s="214"/>
      <c r="B332" s="158"/>
    </row>
    <row r="333">
      <c r="A333" s="213"/>
      <c r="B333" s="162"/>
    </row>
    <row r="334">
      <c r="A334" s="214"/>
      <c r="B334" s="158"/>
    </row>
    <row r="335">
      <c r="A335" s="213"/>
      <c r="B335" s="162"/>
    </row>
    <row r="336">
      <c r="A336" s="214"/>
      <c r="B336" s="158"/>
    </row>
    <row r="337">
      <c r="A337" s="213"/>
      <c r="B337" s="162"/>
    </row>
    <row r="338">
      <c r="A338" s="214"/>
      <c r="B338" s="158"/>
    </row>
    <row r="339">
      <c r="A339" s="213"/>
      <c r="B339" s="162"/>
    </row>
    <row r="340">
      <c r="A340" s="214"/>
      <c r="B340" s="158"/>
    </row>
    <row r="341">
      <c r="A341" s="213"/>
      <c r="B341" s="162"/>
    </row>
    <row r="342">
      <c r="A342" s="214"/>
      <c r="B342" s="158"/>
    </row>
    <row r="343">
      <c r="A343" s="213"/>
      <c r="B343" s="162"/>
    </row>
    <row r="344">
      <c r="A344" s="214"/>
      <c r="B344" s="158"/>
    </row>
    <row r="345">
      <c r="A345" s="213"/>
      <c r="B345" s="162"/>
    </row>
    <row r="346">
      <c r="A346" s="214"/>
      <c r="B346" s="158"/>
    </row>
    <row r="347">
      <c r="A347" s="213"/>
      <c r="B347" s="162"/>
    </row>
    <row r="348">
      <c r="A348" s="214"/>
      <c r="B348" s="158"/>
    </row>
    <row r="349">
      <c r="A349" s="213"/>
      <c r="B349" s="162"/>
    </row>
    <row r="350">
      <c r="A350" s="214"/>
      <c r="B350" s="158"/>
    </row>
    <row r="351">
      <c r="A351" s="213"/>
      <c r="B351" s="162"/>
    </row>
    <row r="352">
      <c r="A352" s="214"/>
      <c r="B352" s="158"/>
    </row>
    <row r="353">
      <c r="A353" s="213"/>
      <c r="B353" s="162"/>
    </row>
    <row r="354">
      <c r="A354" s="214"/>
      <c r="B354" s="158"/>
    </row>
    <row r="355">
      <c r="A355" s="213"/>
      <c r="B355" s="162"/>
    </row>
    <row r="356">
      <c r="A356" s="214"/>
      <c r="B356" s="158"/>
    </row>
    <row r="357">
      <c r="A357" s="213"/>
      <c r="B357" s="162"/>
    </row>
    <row r="358">
      <c r="A358" s="214"/>
      <c r="B358" s="158"/>
    </row>
    <row r="359">
      <c r="A359" s="213"/>
      <c r="B359" s="162"/>
    </row>
    <row r="360">
      <c r="A360" s="214"/>
      <c r="B360" s="158"/>
    </row>
    <row r="361">
      <c r="A361" s="213"/>
      <c r="B361" s="162"/>
    </row>
    <row r="362">
      <c r="A362" s="214"/>
      <c r="B362" s="158"/>
    </row>
    <row r="363">
      <c r="A363" s="213"/>
      <c r="B363" s="162"/>
    </row>
    <row r="364">
      <c r="A364" s="214"/>
      <c r="B364" s="158"/>
    </row>
    <row r="365">
      <c r="A365" s="213"/>
      <c r="B365" s="162"/>
    </row>
    <row r="366">
      <c r="A366" s="214"/>
      <c r="B366" s="158"/>
    </row>
    <row r="367">
      <c r="A367" s="213"/>
      <c r="B367" s="162"/>
    </row>
    <row r="368">
      <c r="A368" s="214"/>
      <c r="B368" s="158"/>
    </row>
    <row r="369">
      <c r="A369" s="213"/>
      <c r="B369" s="162"/>
    </row>
    <row r="370">
      <c r="A370" s="214"/>
      <c r="B370" s="158"/>
    </row>
    <row r="371">
      <c r="A371" s="213"/>
      <c r="B371" s="162"/>
    </row>
    <row r="372">
      <c r="A372" s="214"/>
      <c r="B372" s="158"/>
    </row>
    <row r="373">
      <c r="A373" s="213"/>
      <c r="B373" s="162"/>
    </row>
    <row r="374">
      <c r="A374" s="214"/>
      <c r="B374" s="158"/>
    </row>
    <row r="375">
      <c r="A375" s="213"/>
      <c r="B375" s="162"/>
    </row>
    <row r="376">
      <c r="A376" s="214"/>
      <c r="B376" s="158"/>
    </row>
    <row r="377">
      <c r="A377" s="213"/>
      <c r="B377" s="162"/>
    </row>
    <row r="378">
      <c r="A378" s="214"/>
      <c r="B378" s="158"/>
    </row>
    <row r="379">
      <c r="A379" s="213"/>
      <c r="B379" s="162"/>
    </row>
    <row r="380">
      <c r="A380" s="214"/>
      <c r="B380" s="158"/>
    </row>
    <row r="381">
      <c r="A381" s="213"/>
      <c r="B381" s="162"/>
    </row>
    <row r="382">
      <c r="A382" s="214"/>
      <c r="B382" s="158"/>
    </row>
    <row r="383">
      <c r="A383" s="213"/>
      <c r="B383" s="162"/>
    </row>
    <row r="384">
      <c r="A384" s="214"/>
      <c r="B384" s="158"/>
    </row>
    <row r="385">
      <c r="A385" s="213"/>
      <c r="B385" s="162"/>
    </row>
    <row r="386">
      <c r="A386" s="214"/>
      <c r="B386" s="158"/>
    </row>
    <row r="387">
      <c r="A387" s="213"/>
      <c r="B387" s="162"/>
    </row>
    <row r="388">
      <c r="A388" s="214"/>
      <c r="B388" s="158"/>
    </row>
    <row r="389">
      <c r="A389" s="213"/>
      <c r="B389" s="162"/>
    </row>
    <row r="390">
      <c r="A390" s="214"/>
      <c r="B390" s="158"/>
    </row>
    <row r="391">
      <c r="A391" s="213"/>
      <c r="B391" s="162"/>
    </row>
    <row r="392">
      <c r="A392" s="214"/>
      <c r="B392" s="158"/>
    </row>
    <row r="393">
      <c r="A393" s="213"/>
      <c r="B393" s="162"/>
    </row>
    <row r="394">
      <c r="A394" s="214"/>
      <c r="B394" s="158"/>
    </row>
    <row r="395">
      <c r="A395" s="213"/>
      <c r="B395" s="162"/>
    </row>
    <row r="396">
      <c r="A396" s="214"/>
      <c r="B396" s="158"/>
    </row>
    <row r="397">
      <c r="A397" s="213"/>
      <c r="B397" s="162"/>
    </row>
    <row r="398">
      <c r="A398" s="214"/>
      <c r="B398" s="158"/>
    </row>
    <row r="399">
      <c r="A399" s="213"/>
      <c r="B399" s="162"/>
    </row>
    <row r="400">
      <c r="A400" s="214"/>
      <c r="B400" s="158"/>
    </row>
    <row r="401">
      <c r="A401" s="213"/>
      <c r="B401" s="162"/>
    </row>
    <row r="402">
      <c r="A402" s="214"/>
      <c r="B402" s="158"/>
    </row>
    <row r="403">
      <c r="A403" s="213"/>
      <c r="B403" s="162"/>
    </row>
    <row r="404">
      <c r="A404" s="214"/>
      <c r="B404" s="158"/>
    </row>
    <row r="405">
      <c r="A405" s="213"/>
      <c r="B405" s="162"/>
    </row>
    <row r="406">
      <c r="A406" s="214"/>
      <c r="B406" s="158"/>
    </row>
    <row r="407">
      <c r="A407" s="213"/>
      <c r="B407" s="162"/>
    </row>
    <row r="408">
      <c r="A408" s="214"/>
      <c r="B408" s="158"/>
    </row>
    <row r="409">
      <c r="A409" s="213"/>
      <c r="B409" s="162"/>
    </row>
    <row r="410">
      <c r="A410" s="214"/>
      <c r="B410" s="158"/>
    </row>
    <row r="411">
      <c r="A411" s="213"/>
      <c r="B411" s="162"/>
    </row>
    <row r="412">
      <c r="A412" s="214"/>
      <c r="B412" s="158"/>
    </row>
    <row r="413">
      <c r="A413" s="213"/>
      <c r="B413" s="162"/>
    </row>
    <row r="414">
      <c r="A414" s="214"/>
      <c r="B414" s="158"/>
    </row>
    <row r="415">
      <c r="A415" s="213"/>
      <c r="B415" s="162"/>
    </row>
    <row r="416">
      <c r="A416" s="214"/>
      <c r="B416" s="158"/>
    </row>
    <row r="417">
      <c r="A417" s="213"/>
      <c r="B417" s="162"/>
    </row>
    <row r="418">
      <c r="A418" s="214"/>
      <c r="B418" s="158"/>
    </row>
    <row r="419">
      <c r="A419" s="213"/>
      <c r="B419" s="162"/>
    </row>
    <row r="420">
      <c r="A420" s="214"/>
      <c r="B420" s="158"/>
    </row>
    <row r="421">
      <c r="A421" s="213"/>
      <c r="B421" s="162"/>
    </row>
    <row r="422">
      <c r="A422" s="214"/>
      <c r="B422" s="158"/>
    </row>
    <row r="423">
      <c r="A423" s="213"/>
      <c r="B423" s="162"/>
    </row>
    <row r="424">
      <c r="A424" s="214"/>
      <c r="B424" s="158"/>
    </row>
    <row r="425">
      <c r="A425" s="213"/>
      <c r="B425" s="162"/>
    </row>
    <row r="426">
      <c r="A426" s="214"/>
      <c r="B426" s="158"/>
    </row>
    <row r="427">
      <c r="A427" s="213"/>
      <c r="B427" s="162"/>
    </row>
    <row r="428">
      <c r="A428" s="214"/>
      <c r="B428" s="158"/>
    </row>
    <row r="429">
      <c r="A429" s="213"/>
      <c r="B429" s="162"/>
    </row>
    <row r="430">
      <c r="A430" s="214"/>
      <c r="B430" s="158"/>
    </row>
    <row r="431">
      <c r="A431" s="213"/>
      <c r="B431" s="162"/>
    </row>
    <row r="432">
      <c r="A432" s="214"/>
      <c r="B432" s="158"/>
    </row>
    <row r="433">
      <c r="A433" s="213"/>
      <c r="B433" s="162"/>
    </row>
    <row r="434">
      <c r="A434" s="214"/>
      <c r="B434" s="158"/>
    </row>
    <row r="435">
      <c r="A435" s="213"/>
      <c r="B435" s="162"/>
    </row>
    <row r="436">
      <c r="A436" s="214"/>
      <c r="B436" s="158"/>
    </row>
    <row r="437">
      <c r="A437" s="213"/>
      <c r="B437" s="162"/>
    </row>
    <row r="438">
      <c r="A438" s="214"/>
      <c r="B438" s="158"/>
    </row>
    <row r="439">
      <c r="A439" s="213"/>
      <c r="B439" s="162"/>
    </row>
    <row r="440">
      <c r="A440" s="214"/>
      <c r="B440" s="158"/>
    </row>
    <row r="441">
      <c r="A441" s="213"/>
      <c r="B441" s="162"/>
    </row>
    <row r="442">
      <c r="A442" s="214"/>
      <c r="B442" s="158"/>
    </row>
    <row r="443">
      <c r="A443" s="213"/>
      <c r="B443" s="162"/>
    </row>
    <row r="444">
      <c r="A444" s="214"/>
      <c r="B444" s="158"/>
    </row>
    <row r="445">
      <c r="A445" s="213"/>
      <c r="B445" s="162"/>
    </row>
    <row r="446">
      <c r="A446" s="214"/>
      <c r="B446" s="158"/>
    </row>
    <row r="447">
      <c r="A447" s="213"/>
      <c r="B447" s="162"/>
    </row>
    <row r="448">
      <c r="A448" s="214"/>
      <c r="B448" s="158"/>
    </row>
    <row r="449">
      <c r="A449" s="213"/>
      <c r="B449" s="162"/>
    </row>
    <row r="450">
      <c r="A450" s="214"/>
      <c r="B450" s="158"/>
    </row>
    <row r="451">
      <c r="A451" s="213"/>
      <c r="B451" s="162"/>
    </row>
    <row r="452">
      <c r="A452" s="214"/>
      <c r="B452" s="158"/>
    </row>
    <row r="453">
      <c r="A453" s="213"/>
      <c r="B453" s="162"/>
    </row>
    <row r="454">
      <c r="A454" s="214"/>
      <c r="B454" s="158"/>
    </row>
    <row r="455">
      <c r="A455" s="213"/>
      <c r="B455" s="162"/>
    </row>
    <row r="456">
      <c r="A456" s="214"/>
      <c r="B456" s="158"/>
    </row>
    <row r="457">
      <c r="A457" s="213"/>
      <c r="B457" s="162"/>
    </row>
    <row r="458">
      <c r="A458" s="214"/>
      <c r="B458" s="158"/>
    </row>
    <row r="459">
      <c r="A459" s="213"/>
      <c r="B459" s="162"/>
    </row>
    <row r="460">
      <c r="A460" s="214"/>
      <c r="B460" s="158"/>
    </row>
    <row r="461">
      <c r="A461" s="213"/>
      <c r="B461" s="162"/>
    </row>
    <row r="462">
      <c r="A462" s="214"/>
      <c r="B462" s="158"/>
    </row>
    <row r="463">
      <c r="A463" s="213"/>
      <c r="B463" s="162"/>
    </row>
    <row r="464">
      <c r="A464" s="214"/>
      <c r="B464" s="158"/>
    </row>
    <row r="465">
      <c r="A465" s="213"/>
      <c r="B465" s="162"/>
    </row>
    <row r="466">
      <c r="A466" s="214"/>
      <c r="B466" s="158"/>
    </row>
    <row r="467">
      <c r="A467" s="213"/>
      <c r="B467" s="162"/>
    </row>
    <row r="468">
      <c r="A468" s="214"/>
      <c r="B468" s="158"/>
    </row>
    <row r="469">
      <c r="A469" s="213"/>
      <c r="B469" s="162"/>
    </row>
    <row r="470">
      <c r="A470" s="214"/>
      <c r="B470" s="158"/>
    </row>
    <row r="471">
      <c r="A471" s="213"/>
      <c r="B471" s="162"/>
    </row>
    <row r="472">
      <c r="A472" s="214"/>
      <c r="B472" s="158"/>
    </row>
    <row r="473">
      <c r="A473" s="213"/>
      <c r="B473" s="162"/>
    </row>
    <row r="474">
      <c r="A474" s="214"/>
      <c r="B474" s="158"/>
    </row>
    <row r="475">
      <c r="A475" s="213"/>
      <c r="B475" s="162"/>
    </row>
    <row r="476">
      <c r="A476" s="214"/>
      <c r="B476" s="158"/>
    </row>
    <row r="477">
      <c r="A477" s="213"/>
      <c r="B477" s="162"/>
    </row>
    <row r="478">
      <c r="A478" s="214"/>
      <c r="B478" s="158"/>
    </row>
    <row r="479">
      <c r="A479" s="213"/>
      <c r="B479" s="162"/>
    </row>
    <row r="480">
      <c r="A480" s="214"/>
      <c r="B480" s="158"/>
    </row>
    <row r="481">
      <c r="A481" s="213"/>
      <c r="B481" s="162"/>
    </row>
    <row r="482">
      <c r="A482" s="214"/>
      <c r="B482" s="158"/>
    </row>
    <row r="483">
      <c r="A483" s="213"/>
      <c r="B483" s="162"/>
    </row>
    <row r="484">
      <c r="A484" s="214"/>
      <c r="B484" s="158"/>
    </row>
    <row r="485">
      <c r="A485" s="213"/>
      <c r="B485" s="162"/>
    </row>
    <row r="486">
      <c r="A486" s="214"/>
      <c r="B486" s="158"/>
    </row>
    <row r="487">
      <c r="A487" s="213"/>
      <c r="B487" s="162"/>
    </row>
    <row r="488">
      <c r="A488" s="214"/>
      <c r="B488" s="158"/>
    </row>
    <row r="489">
      <c r="A489" s="213"/>
      <c r="B489" s="162"/>
    </row>
    <row r="490">
      <c r="A490" s="214"/>
      <c r="B490" s="158"/>
    </row>
    <row r="491">
      <c r="A491" s="213"/>
      <c r="B491" s="162"/>
    </row>
    <row r="492">
      <c r="A492" s="214"/>
      <c r="B492" s="158"/>
    </row>
    <row r="493">
      <c r="A493" s="213"/>
      <c r="B493" s="162"/>
    </row>
    <row r="494">
      <c r="A494" s="214"/>
      <c r="B494" s="158"/>
    </row>
    <row r="495">
      <c r="A495" s="213"/>
      <c r="B495" s="162"/>
    </row>
    <row r="496">
      <c r="A496" s="214"/>
      <c r="B496" s="158"/>
    </row>
    <row r="497">
      <c r="A497" s="213"/>
      <c r="B497" s="162"/>
    </row>
    <row r="498">
      <c r="A498" s="214"/>
      <c r="B498" s="158"/>
    </row>
    <row r="499">
      <c r="A499" s="213"/>
      <c r="B499" s="162"/>
    </row>
    <row r="500">
      <c r="A500" s="214"/>
      <c r="B500" s="158"/>
    </row>
    <row r="501">
      <c r="A501" s="213"/>
      <c r="B501" s="162"/>
    </row>
    <row r="502">
      <c r="A502" s="214"/>
      <c r="B502" s="158"/>
    </row>
    <row r="503">
      <c r="A503" s="213"/>
      <c r="B503" s="162"/>
    </row>
    <row r="504">
      <c r="A504" s="214"/>
      <c r="B504" s="158"/>
    </row>
    <row r="505">
      <c r="A505" s="213"/>
      <c r="B505" s="162"/>
    </row>
    <row r="506">
      <c r="A506" s="214"/>
      <c r="B506" s="158"/>
    </row>
    <row r="507">
      <c r="A507" s="213"/>
      <c r="B507" s="162"/>
    </row>
    <row r="508">
      <c r="A508" s="214"/>
      <c r="B508" s="158"/>
    </row>
    <row r="509">
      <c r="A509" s="213"/>
      <c r="B509" s="162"/>
    </row>
    <row r="510">
      <c r="A510" s="214"/>
      <c r="B510" s="158"/>
    </row>
    <row r="511">
      <c r="A511" s="213"/>
      <c r="B511" s="162"/>
    </row>
    <row r="512">
      <c r="A512" s="214"/>
      <c r="B512" s="158"/>
    </row>
    <row r="513">
      <c r="A513" s="213"/>
      <c r="B513" s="162"/>
    </row>
    <row r="514">
      <c r="A514" s="214"/>
      <c r="B514" s="158"/>
    </row>
    <row r="515">
      <c r="A515" s="213"/>
      <c r="B515" s="162"/>
    </row>
    <row r="516">
      <c r="A516" s="214"/>
      <c r="B516" s="158"/>
    </row>
    <row r="517">
      <c r="A517" s="213"/>
      <c r="B517" s="162"/>
    </row>
    <row r="518">
      <c r="A518" s="214"/>
      <c r="B518" s="158"/>
    </row>
    <row r="519">
      <c r="A519" s="213"/>
      <c r="B519" s="162"/>
    </row>
    <row r="520">
      <c r="A520" s="214"/>
      <c r="B520" s="158"/>
    </row>
    <row r="521">
      <c r="A521" s="213"/>
      <c r="B521" s="162"/>
    </row>
    <row r="522">
      <c r="A522" s="214"/>
      <c r="B522" s="158"/>
    </row>
    <row r="523">
      <c r="A523" s="213"/>
      <c r="B523" s="162"/>
    </row>
    <row r="524">
      <c r="A524" s="214"/>
      <c r="B524" s="158"/>
    </row>
    <row r="525">
      <c r="A525" s="213"/>
      <c r="B525" s="162"/>
    </row>
    <row r="526">
      <c r="A526" s="214"/>
      <c r="B526" s="158"/>
    </row>
    <row r="527">
      <c r="A527" s="213"/>
      <c r="B527" s="162"/>
    </row>
    <row r="528">
      <c r="A528" s="214"/>
      <c r="B528" s="158"/>
    </row>
    <row r="529">
      <c r="A529" s="213"/>
      <c r="B529" s="162"/>
    </row>
    <row r="530">
      <c r="A530" s="214"/>
      <c r="B530" s="158"/>
    </row>
    <row r="531">
      <c r="A531" s="213"/>
      <c r="B531" s="162"/>
    </row>
    <row r="532">
      <c r="A532" s="214"/>
      <c r="B532" s="158"/>
    </row>
    <row r="533">
      <c r="A533" s="213"/>
      <c r="B533" s="162"/>
    </row>
    <row r="534">
      <c r="A534" s="214"/>
      <c r="B534" s="158"/>
    </row>
    <row r="535">
      <c r="A535" s="213"/>
      <c r="B535" s="162"/>
    </row>
    <row r="536">
      <c r="A536" s="214"/>
      <c r="B536" s="158"/>
    </row>
    <row r="537">
      <c r="A537" s="213"/>
      <c r="B537" s="162"/>
    </row>
    <row r="538">
      <c r="A538" s="214"/>
      <c r="B538" s="158"/>
    </row>
    <row r="539">
      <c r="A539" s="213"/>
      <c r="B539" s="162"/>
    </row>
    <row r="540">
      <c r="A540" s="214"/>
      <c r="B540" s="158"/>
    </row>
    <row r="541">
      <c r="A541" s="213"/>
      <c r="B541" s="162"/>
    </row>
    <row r="542">
      <c r="A542" s="214"/>
      <c r="B542" s="158"/>
    </row>
    <row r="543">
      <c r="A543" s="213"/>
      <c r="B543" s="162"/>
    </row>
    <row r="544">
      <c r="A544" s="214"/>
      <c r="B544" s="158"/>
    </row>
    <row r="545">
      <c r="A545" s="213"/>
      <c r="B545" s="162"/>
    </row>
    <row r="546">
      <c r="A546" s="214"/>
      <c r="B546" s="158"/>
    </row>
    <row r="547">
      <c r="A547" s="213"/>
      <c r="B547" s="162"/>
    </row>
    <row r="548">
      <c r="A548" s="214"/>
      <c r="B548" s="158"/>
    </row>
    <row r="549">
      <c r="A549" s="213"/>
      <c r="B549" s="162"/>
    </row>
    <row r="550">
      <c r="A550" s="214"/>
      <c r="B550" s="158"/>
    </row>
    <row r="551">
      <c r="A551" s="213"/>
      <c r="B551" s="162"/>
    </row>
    <row r="552">
      <c r="A552" s="214"/>
      <c r="B552" s="158"/>
    </row>
    <row r="553">
      <c r="A553" s="213"/>
      <c r="B553" s="162"/>
    </row>
    <row r="554">
      <c r="A554" s="214"/>
      <c r="B554" s="158"/>
    </row>
    <row r="555">
      <c r="A555" s="213"/>
      <c r="B555" s="162"/>
    </row>
    <row r="556">
      <c r="A556" s="214"/>
      <c r="B556" s="158"/>
    </row>
    <row r="557">
      <c r="A557" s="213"/>
      <c r="B557" s="162"/>
    </row>
    <row r="558">
      <c r="A558" s="214"/>
      <c r="B558" s="158"/>
    </row>
    <row r="559">
      <c r="A559" s="213"/>
      <c r="B559" s="162"/>
    </row>
    <row r="560">
      <c r="A560" s="214"/>
      <c r="B560" s="158"/>
    </row>
    <row r="561">
      <c r="A561" s="213"/>
      <c r="B561" s="162"/>
    </row>
    <row r="562">
      <c r="A562" s="214"/>
      <c r="B562" s="158"/>
    </row>
    <row r="563">
      <c r="A563" s="213"/>
      <c r="B563" s="162"/>
    </row>
    <row r="564">
      <c r="A564" s="214"/>
      <c r="B564" s="158"/>
    </row>
    <row r="565">
      <c r="A565" s="213"/>
      <c r="B565" s="162"/>
    </row>
    <row r="566">
      <c r="A566" s="214"/>
      <c r="B566" s="158"/>
    </row>
    <row r="567">
      <c r="A567" s="213"/>
      <c r="B567" s="162"/>
    </row>
    <row r="568">
      <c r="A568" s="214"/>
      <c r="B568" s="158"/>
    </row>
    <row r="569">
      <c r="A569" s="213"/>
      <c r="B569" s="162"/>
    </row>
    <row r="570">
      <c r="A570" s="214"/>
      <c r="B570" s="158"/>
    </row>
    <row r="571">
      <c r="A571" s="213"/>
      <c r="B571" s="162"/>
    </row>
    <row r="572">
      <c r="A572" s="214"/>
      <c r="B572" s="158"/>
    </row>
    <row r="573">
      <c r="A573" s="213"/>
      <c r="B573" s="162"/>
    </row>
    <row r="574">
      <c r="A574" s="214"/>
      <c r="B574" s="158"/>
    </row>
    <row r="575">
      <c r="A575" s="213"/>
      <c r="B575" s="162"/>
    </row>
    <row r="576">
      <c r="A576" s="214"/>
      <c r="B576" s="158"/>
    </row>
    <row r="577">
      <c r="A577" s="213"/>
      <c r="B577" s="162"/>
    </row>
    <row r="578">
      <c r="A578" s="214"/>
      <c r="B578" s="158"/>
    </row>
    <row r="579">
      <c r="A579" s="213"/>
      <c r="B579" s="162"/>
    </row>
    <row r="580">
      <c r="A580" s="214"/>
      <c r="B580" s="158"/>
    </row>
    <row r="581">
      <c r="A581" s="213"/>
      <c r="B581" s="162"/>
    </row>
    <row r="582">
      <c r="A582" s="214"/>
      <c r="B582" s="158"/>
    </row>
    <row r="583">
      <c r="A583" s="213"/>
      <c r="B583" s="162"/>
    </row>
    <row r="584">
      <c r="A584" s="214"/>
      <c r="B584" s="158"/>
    </row>
    <row r="585">
      <c r="A585" s="213"/>
      <c r="B585" s="162"/>
    </row>
    <row r="586">
      <c r="A586" s="214"/>
      <c r="B586" s="158"/>
    </row>
    <row r="587">
      <c r="A587" s="213"/>
      <c r="B587" s="162"/>
    </row>
    <row r="588">
      <c r="A588" s="214"/>
      <c r="B588" s="158"/>
    </row>
    <row r="589">
      <c r="A589" s="213"/>
      <c r="B589" s="162"/>
    </row>
    <row r="590">
      <c r="A590" s="214"/>
      <c r="B590" s="158"/>
    </row>
    <row r="591">
      <c r="A591" s="213"/>
      <c r="B591" s="162"/>
    </row>
    <row r="592">
      <c r="A592" s="214"/>
      <c r="B592" s="158"/>
    </row>
    <row r="593">
      <c r="A593" s="213"/>
      <c r="B593" s="162"/>
    </row>
    <row r="594">
      <c r="A594" s="214"/>
      <c r="B594" s="158"/>
    </row>
    <row r="595">
      <c r="A595" s="213"/>
      <c r="B595" s="162"/>
    </row>
    <row r="596">
      <c r="A596" s="214"/>
      <c r="B596" s="158"/>
    </row>
    <row r="597">
      <c r="A597" s="213"/>
      <c r="B597" s="162"/>
    </row>
    <row r="598">
      <c r="A598" s="214"/>
      <c r="B598" s="158"/>
    </row>
    <row r="599">
      <c r="A599" s="213"/>
      <c r="B599" s="162"/>
    </row>
    <row r="600">
      <c r="A600" s="214"/>
      <c r="B600" s="158"/>
    </row>
    <row r="601">
      <c r="A601" s="213"/>
      <c r="B601" s="162"/>
    </row>
    <row r="602">
      <c r="A602" s="214"/>
      <c r="B602" s="158"/>
    </row>
    <row r="603">
      <c r="A603" s="213"/>
      <c r="B603" s="162"/>
    </row>
    <row r="604">
      <c r="A604" s="214"/>
      <c r="B604" s="158"/>
    </row>
    <row r="605">
      <c r="A605" s="213"/>
      <c r="B605" s="162"/>
    </row>
    <row r="606">
      <c r="A606" s="214"/>
      <c r="B606" s="158"/>
    </row>
    <row r="607">
      <c r="A607" s="213"/>
      <c r="B607" s="162"/>
    </row>
    <row r="608">
      <c r="A608" s="214"/>
      <c r="B608" s="158"/>
    </row>
    <row r="609">
      <c r="A609" s="213"/>
      <c r="B609" s="162"/>
    </row>
    <row r="610">
      <c r="A610" s="214"/>
      <c r="B610" s="158"/>
    </row>
    <row r="611">
      <c r="A611" s="213"/>
      <c r="B611" s="162"/>
    </row>
    <row r="612">
      <c r="A612" s="214"/>
      <c r="B612" s="158"/>
    </row>
    <row r="613">
      <c r="A613" s="213"/>
      <c r="B613" s="162"/>
    </row>
    <row r="614">
      <c r="A614" s="214"/>
      <c r="B614" s="158"/>
    </row>
    <row r="615">
      <c r="A615" s="213"/>
      <c r="B615" s="162"/>
    </row>
    <row r="616">
      <c r="A616" s="214"/>
      <c r="B616" s="158"/>
    </row>
    <row r="617">
      <c r="A617" s="213"/>
      <c r="B617" s="162"/>
    </row>
    <row r="618">
      <c r="A618" s="214"/>
      <c r="B618" s="158"/>
    </row>
    <row r="619">
      <c r="A619" s="213"/>
      <c r="B619" s="162"/>
    </row>
    <row r="620">
      <c r="A620" s="214"/>
      <c r="B620" s="158"/>
    </row>
    <row r="621">
      <c r="A621" s="213"/>
      <c r="B621" s="162"/>
    </row>
    <row r="622">
      <c r="A622" s="214"/>
      <c r="B622" s="158"/>
    </row>
    <row r="623">
      <c r="A623" s="213"/>
      <c r="B623" s="162"/>
    </row>
    <row r="624">
      <c r="A624" s="214"/>
      <c r="B624" s="158"/>
    </row>
    <row r="625">
      <c r="A625" s="213"/>
      <c r="B625" s="162"/>
    </row>
    <row r="626">
      <c r="A626" s="214"/>
      <c r="B626" s="158"/>
    </row>
    <row r="627">
      <c r="A627" s="213"/>
      <c r="B627" s="162"/>
    </row>
    <row r="628">
      <c r="A628" s="214"/>
      <c r="B628" s="158"/>
    </row>
    <row r="629">
      <c r="A629" s="213"/>
      <c r="B629" s="162"/>
    </row>
    <row r="630">
      <c r="A630" s="214"/>
      <c r="B630" s="158"/>
    </row>
    <row r="631">
      <c r="A631" s="213"/>
      <c r="B631" s="162"/>
    </row>
    <row r="632">
      <c r="A632" s="214"/>
      <c r="B632" s="158"/>
    </row>
    <row r="633">
      <c r="A633" s="213"/>
      <c r="B633" s="162"/>
    </row>
    <row r="634">
      <c r="A634" s="214"/>
      <c r="B634" s="158"/>
    </row>
    <row r="635">
      <c r="A635" s="213"/>
      <c r="B635" s="162"/>
    </row>
    <row r="636">
      <c r="A636" s="214"/>
      <c r="B636" s="158"/>
    </row>
    <row r="637">
      <c r="A637" s="213"/>
      <c r="B637" s="162"/>
    </row>
    <row r="638">
      <c r="A638" s="214"/>
      <c r="B638" s="158"/>
    </row>
    <row r="639">
      <c r="A639" s="213"/>
      <c r="B639" s="162"/>
    </row>
    <row r="640">
      <c r="A640" s="214"/>
      <c r="B640" s="158"/>
    </row>
    <row r="641">
      <c r="A641" s="213"/>
      <c r="B641" s="162"/>
    </row>
    <row r="642">
      <c r="A642" s="214"/>
      <c r="B642" s="158"/>
    </row>
    <row r="643">
      <c r="A643" s="213"/>
      <c r="B643" s="162"/>
    </row>
    <row r="644">
      <c r="A644" s="214"/>
      <c r="B644" s="158"/>
    </row>
    <row r="645">
      <c r="A645" s="213"/>
      <c r="B645" s="162"/>
    </row>
    <row r="646">
      <c r="A646" s="214"/>
      <c r="B646" s="158"/>
    </row>
    <row r="647">
      <c r="A647" s="213"/>
      <c r="B647" s="162"/>
    </row>
    <row r="648">
      <c r="A648" s="214"/>
      <c r="B648" s="158"/>
    </row>
    <row r="649">
      <c r="A649" s="213"/>
      <c r="B649" s="162"/>
    </row>
    <row r="650">
      <c r="A650" s="214"/>
      <c r="B650" s="158"/>
    </row>
    <row r="651">
      <c r="A651" s="213"/>
      <c r="B651" s="162"/>
    </row>
    <row r="652">
      <c r="A652" s="214"/>
      <c r="B652" s="158"/>
    </row>
    <row r="653">
      <c r="A653" s="213"/>
      <c r="B653" s="162"/>
    </row>
    <row r="654">
      <c r="A654" s="214"/>
      <c r="B654" s="158"/>
    </row>
    <row r="655">
      <c r="A655" s="213"/>
      <c r="B655" s="162"/>
    </row>
    <row r="656">
      <c r="A656" s="214"/>
      <c r="B656" s="158"/>
    </row>
    <row r="657">
      <c r="A657" s="213"/>
      <c r="B657" s="162"/>
    </row>
    <row r="658">
      <c r="A658" s="214"/>
      <c r="B658" s="158"/>
    </row>
    <row r="659">
      <c r="A659" s="213"/>
      <c r="B659" s="162"/>
    </row>
    <row r="660">
      <c r="A660" s="214"/>
      <c r="B660" s="158"/>
    </row>
    <row r="661">
      <c r="A661" s="213"/>
      <c r="B661" s="162"/>
    </row>
    <row r="662">
      <c r="A662" s="214"/>
      <c r="B662" s="158"/>
    </row>
    <row r="663">
      <c r="A663" s="213"/>
      <c r="B663" s="162"/>
    </row>
    <row r="664">
      <c r="A664" s="214"/>
      <c r="B664" s="158"/>
    </row>
    <row r="665">
      <c r="A665" s="213"/>
      <c r="B665" s="162"/>
    </row>
    <row r="666">
      <c r="A666" s="214"/>
      <c r="B666" s="158"/>
    </row>
    <row r="667">
      <c r="A667" s="213"/>
      <c r="B667" s="162"/>
    </row>
    <row r="668">
      <c r="A668" s="214"/>
      <c r="B668" s="158"/>
    </row>
    <row r="669">
      <c r="A669" s="213"/>
      <c r="B669" s="162"/>
    </row>
    <row r="670">
      <c r="A670" s="214"/>
      <c r="B670" s="158"/>
    </row>
    <row r="671">
      <c r="A671" s="213"/>
      <c r="B671" s="162"/>
    </row>
    <row r="672">
      <c r="A672" s="214"/>
      <c r="B672" s="158"/>
    </row>
    <row r="673">
      <c r="A673" s="213"/>
      <c r="B673" s="162"/>
    </row>
    <row r="674">
      <c r="A674" s="214"/>
      <c r="B674" s="158"/>
    </row>
    <row r="675">
      <c r="A675" s="213"/>
      <c r="B675" s="162"/>
    </row>
    <row r="676">
      <c r="A676" s="214"/>
      <c r="B676" s="158"/>
    </row>
    <row r="677">
      <c r="A677" s="213"/>
      <c r="B677" s="162"/>
    </row>
    <row r="678">
      <c r="A678" s="214"/>
      <c r="B678" s="158"/>
    </row>
    <row r="679">
      <c r="A679" s="213"/>
      <c r="B679" s="162"/>
    </row>
    <row r="680">
      <c r="A680" s="214"/>
      <c r="B680" s="158"/>
    </row>
    <row r="681">
      <c r="A681" s="213"/>
      <c r="B681" s="162"/>
    </row>
    <row r="682">
      <c r="A682" s="214"/>
      <c r="B682" s="158"/>
    </row>
    <row r="683">
      <c r="A683" s="213"/>
      <c r="B683" s="162"/>
    </row>
    <row r="684">
      <c r="A684" s="214"/>
      <c r="B684" s="158"/>
    </row>
    <row r="685">
      <c r="A685" s="213"/>
      <c r="B685" s="162"/>
    </row>
    <row r="686">
      <c r="A686" s="214"/>
      <c r="B686" s="158"/>
    </row>
    <row r="687">
      <c r="A687" s="213"/>
      <c r="B687" s="162"/>
    </row>
    <row r="688">
      <c r="A688" s="214"/>
      <c r="B688" s="158"/>
    </row>
    <row r="689">
      <c r="A689" s="213"/>
      <c r="B689" s="162"/>
    </row>
    <row r="690">
      <c r="A690" s="214"/>
      <c r="B690" s="158"/>
    </row>
    <row r="691">
      <c r="A691" s="213"/>
      <c r="B691" s="162"/>
    </row>
    <row r="692">
      <c r="A692" s="214"/>
      <c r="B692" s="158"/>
    </row>
    <row r="693">
      <c r="A693" s="213"/>
      <c r="B693" s="162"/>
    </row>
    <row r="694">
      <c r="A694" s="214"/>
      <c r="B694" s="158"/>
    </row>
    <row r="695">
      <c r="A695" s="213"/>
      <c r="B695" s="162"/>
    </row>
    <row r="696">
      <c r="A696" s="214"/>
      <c r="B696" s="158"/>
    </row>
    <row r="697">
      <c r="A697" s="213"/>
      <c r="B697" s="162"/>
    </row>
    <row r="698">
      <c r="A698" s="214"/>
      <c r="B698" s="158"/>
    </row>
    <row r="699">
      <c r="A699" s="213"/>
      <c r="B699" s="162"/>
    </row>
    <row r="700">
      <c r="A700" s="214"/>
      <c r="B700" s="158"/>
    </row>
    <row r="701">
      <c r="A701" s="213"/>
      <c r="B701" s="162"/>
    </row>
    <row r="702">
      <c r="A702" s="214"/>
      <c r="B702" s="158"/>
    </row>
    <row r="703">
      <c r="A703" s="213"/>
      <c r="B703" s="162"/>
    </row>
    <row r="704">
      <c r="A704" s="214"/>
      <c r="B704" s="158"/>
    </row>
    <row r="705">
      <c r="A705" s="213"/>
      <c r="B705" s="162"/>
    </row>
    <row r="706">
      <c r="A706" s="214"/>
      <c r="B706" s="158"/>
    </row>
    <row r="707">
      <c r="A707" s="213"/>
      <c r="B707" s="162"/>
    </row>
    <row r="708">
      <c r="A708" s="214"/>
      <c r="B708" s="158"/>
    </row>
    <row r="709">
      <c r="A709" s="213"/>
      <c r="B709" s="162"/>
    </row>
    <row r="710">
      <c r="A710" s="214"/>
      <c r="B710" s="158"/>
    </row>
    <row r="711">
      <c r="A711" s="213"/>
      <c r="B711" s="162"/>
    </row>
    <row r="712">
      <c r="A712" s="214"/>
      <c r="B712" s="158"/>
    </row>
    <row r="713">
      <c r="A713" s="213"/>
      <c r="B713" s="162"/>
    </row>
    <row r="714">
      <c r="A714" s="214"/>
      <c r="B714" s="158"/>
    </row>
    <row r="715">
      <c r="A715" s="213"/>
      <c r="B715" s="162"/>
    </row>
    <row r="716">
      <c r="A716" s="214"/>
      <c r="B716" s="158"/>
    </row>
    <row r="717">
      <c r="A717" s="213"/>
      <c r="B717" s="162"/>
    </row>
    <row r="718">
      <c r="A718" s="214"/>
      <c r="B718" s="158"/>
    </row>
    <row r="719">
      <c r="A719" s="213"/>
      <c r="B719" s="162"/>
    </row>
    <row r="720">
      <c r="A720" s="214"/>
      <c r="B720" s="158"/>
    </row>
    <row r="721">
      <c r="A721" s="213"/>
      <c r="B721" s="162"/>
    </row>
    <row r="722">
      <c r="A722" s="214"/>
      <c r="B722" s="158"/>
    </row>
    <row r="723">
      <c r="A723" s="213"/>
      <c r="B723" s="162"/>
    </row>
    <row r="724">
      <c r="A724" s="214"/>
      <c r="B724" s="158"/>
    </row>
    <row r="725">
      <c r="A725" s="213"/>
      <c r="B725" s="162"/>
    </row>
    <row r="726">
      <c r="A726" s="214"/>
      <c r="B726" s="158"/>
    </row>
    <row r="727">
      <c r="A727" s="213"/>
      <c r="B727" s="162"/>
    </row>
    <row r="728">
      <c r="A728" s="214"/>
      <c r="B728" s="158"/>
    </row>
    <row r="729">
      <c r="A729" s="213"/>
      <c r="B729" s="162"/>
    </row>
    <row r="730">
      <c r="A730" s="214"/>
      <c r="B730" s="158"/>
    </row>
    <row r="731">
      <c r="A731" s="213"/>
      <c r="B731" s="162"/>
    </row>
    <row r="732">
      <c r="A732" s="214"/>
      <c r="B732" s="158"/>
    </row>
    <row r="733">
      <c r="A733" s="213"/>
      <c r="B733" s="162"/>
    </row>
    <row r="734">
      <c r="A734" s="214"/>
      <c r="B734" s="158"/>
    </row>
    <row r="735">
      <c r="A735" s="213"/>
      <c r="B735" s="162"/>
    </row>
    <row r="736">
      <c r="A736" s="214"/>
      <c r="B736" s="158"/>
    </row>
    <row r="737">
      <c r="A737" s="213"/>
      <c r="B737" s="162"/>
    </row>
    <row r="738">
      <c r="A738" s="214"/>
      <c r="B738" s="158"/>
    </row>
    <row r="739">
      <c r="A739" s="213"/>
      <c r="B739" s="162"/>
    </row>
    <row r="740">
      <c r="A740" s="214"/>
      <c r="B740" s="158"/>
    </row>
    <row r="741">
      <c r="A741" s="213"/>
      <c r="B741" s="162"/>
    </row>
    <row r="742">
      <c r="A742" s="214"/>
      <c r="B742" s="158"/>
    </row>
    <row r="743">
      <c r="A743" s="213"/>
      <c r="B743" s="162"/>
    </row>
    <row r="744">
      <c r="A744" s="214"/>
      <c r="B744" s="158"/>
    </row>
    <row r="745">
      <c r="A745" s="213"/>
      <c r="B745" s="162"/>
    </row>
    <row r="746">
      <c r="A746" s="214"/>
      <c r="B746" s="158"/>
    </row>
    <row r="747">
      <c r="A747" s="213"/>
      <c r="B747" s="162"/>
    </row>
    <row r="748">
      <c r="A748" s="214"/>
      <c r="B748" s="158"/>
    </row>
    <row r="749">
      <c r="A749" s="213"/>
      <c r="B749" s="162"/>
    </row>
    <row r="750">
      <c r="A750" s="214"/>
      <c r="B750" s="158"/>
    </row>
    <row r="751">
      <c r="A751" s="213"/>
      <c r="B751" s="162"/>
    </row>
    <row r="752">
      <c r="A752" s="214"/>
      <c r="B752" s="158"/>
    </row>
    <row r="753">
      <c r="A753" s="213"/>
      <c r="B753" s="162"/>
    </row>
    <row r="754">
      <c r="A754" s="214"/>
      <c r="B754" s="158"/>
    </row>
    <row r="755">
      <c r="A755" s="213"/>
      <c r="B755" s="162"/>
    </row>
    <row r="756">
      <c r="A756" s="214"/>
      <c r="B756" s="158"/>
    </row>
    <row r="757">
      <c r="A757" s="213"/>
      <c r="B757" s="162"/>
    </row>
    <row r="758">
      <c r="A758" s="214"/>
      <c r="B758" s="158"/>
    </row>
    <row r="759">
      <c r="A759" s="213"/>
      <c r="B759" s="162"/>
    </row>
    <row r="760">
      <c r="A760" s="214"/>
      <c r="B760" s="158"/>
    </row>
    <row r="761">
      <c r="A761" s="213"/>
      <c r="B761" s="162"/>
    </row>
    <row r="762">
      <c r="A762" s="214"/>
      <c r="B762" s="158"/>
    </row>
    <row r="763">
      <c r="A763" s="213"/>
      <c r="B763" s="162"/>
    </row>
    <row r="764">
      <c r="A764" s="214"/>
      <c r="B764" s="158"/>
    </row>
    <row r="765">
      <c r="A765" s="213"/>
      <c r="B765" s="162"/>
    </row>
    <row r="766">
      <c r="A766" s="214"/>
      <c r="B766" s="158"/>
    </row>
    <row r="767">
      <c r="A767" s="213"/>
      <c r="B767" s="162"/>
    </row>
    <row r="768">
      <c r="A768" s="214"/>
      <c r="B768" s="158"/>
    </row>
    <row r="769">
      <c r="A769" s="213"/>
      <c r="B769" s="162"/>
    </row>
    <row r="770">
      <c r="A770" s="214"/>
      <c r="B770" s="158"/>
    </row>
    <row r="771">
      <c r="A771" s="213"/>
      <c r="B771" s="162"/>
    </row>
    <row r="772">
      <c r="A772" s="214"/>
      <c r="B772" s="158"/>
    </row>
    <row r="773">
      <c r="A773" s="213"/>
      <c r="B773" s="162"/>
    </row>
    <row r="774">
      <c r="A774" s="214"/>
      <c r="B774" s="158"/>
    </row>
    <row r="775">
      <c r="A775" s="213"/>
      <c r="B775" s="162"/>
    </row>
    <row r="776">
      <c r="A776" s="214"/>
      <c r="B776" s="158"/>
    </row>
    <row r="777">
      <c r="A777" s="213"/>
      <c r="B777" s="162"/>
    </row>
    <row r="778">
      <c r="A778" s="214"/>
      <c r="B778" s="158"/>
    </row>
    <row r="779">
      <c r="A779" s="213"/>
      <c r="B779" s="162"/>
    </row>
    <row r="780">
      <c r="A780" s="214"/>
      <c r="B780" s="158"/>
    </row>
    <row r="781">
      <c r="A781" s="213"/>
      <c r="B781" s="162"/>
    </row>
    <row r="782">
      <c r="A782" s="214"/>
      <c r="B782" s="158"/>
    </row>
    <row r="783">
      <c r="A783" s="213"/>
      <c r="B783" s="162"/>
    </row>
    <row r="784">
      <c r="A784" s="214"/>
      <c r="B784" s="158"/>
    </row>
    <row r="785">
      <c r="A785" s="213"/>
      <c r="B785" s="162"/>
    </row>
    <row r="786">
      <c r="A786" s="214"/>
      <c r="B786" s="158"/>
    </row>
    <row r="787">
      <c r="A787" s="213"/>
      <c r="B787" s="162"/>
    </row>
    <row r="788">
      <c r="A788" s="214"/>
      <c r="B788" s="158"/>
    </row>
    <row r="789">
      <c r="A789" s="213"/>
      <c r="B789" s="162"/>
    </row>
    <row r="790">
      <c r="A790" s="214"/>
      <c r="B790" s="158"/>
    </row>
    <row r="791">
      <c r="A791" s="213"/>
      <c r="B791" s="162"/>
    </row>
    <row r="792">
      <c r="A792" s="214"/>
      <c r="B792" s="158"/>
    </row>
    <row r="793">
      <c r="A793" s="213"/>
      <c r="B793" s="162"/>
    </row>
    <row r="794">
      <c r="A794" s="214"/>
      <c r="B794" s="158"/>
    </row>
    <row r="795">
      <c r="A795" s="213"/>
      <c r="B795" s="162"/>
    </row>
    <row r="796">
      <c r="A796" s="214"/>
      <c r="B796" s="158"/>
    </row>
    <row r="797">
      <c r="A797" s="213"/>
      <c r="B797" s="162"/>
    </row>
    <row r="798">
      <c r="A798" s="214"/>
      <c r="B798" s="158"/>
    </row>
    <row r="799">
      <c r="A799" s="213"/>
      <c r="B799" s="162"/>
    </row>
    <row r="800">
      <c r="A800" s="214"/>
      <c r="B800" s="158"/>
    </row>
    <row r="801">
      <c r="A801" s="213"/>
      <c r="B801" s="162"/>
    </row>
    <row r="802">
      <c r="A802" s="214"/>
      <c r="B802" s="158"/>
    </row>
    <row r="803">
      <c r="A803" s="213"/>
      <c r="B803" s="162"/>
    </row>
    <row r="804">
      <c r="A804" s="214"/>
      <c r="B804" s="158"/>
    </row>
    <row r="805">
      <c r="A805" s="213"/>
      <c r="B805" s="162"/>
    </row>
    <row r="806">
      <c r="A806" s="214"/>
      <c r="B806" s="158"/>
    </row>
    <row r="807">
      <c r="A807" s="213"/>
      <c r="B807" s="162"/>
    </row>
    <row r="808">
      <c r="A808" s="214"/>
      <c r="B808" s="158"/>
    </row>
    <row r="809">
      <c r="A809" s="213"/>
      <c r="B809" s="162"/>
    </row>
    <row r="810">
      <c r="A810" s="214"/>
      <c r="B810" s="158"/>
    </row>
    <row r="811">
      <c r="A811" s="213"/>
      <c r="B811" s="162"/>
    </row>
    <row r="812">
      <c r="A812" s="214"/>
      <c r="B812" s="158"/>
    </row>
    <row r="813">
      <c r="A813" s="213"/>
      <c r="B813" s="162"/>
    </row>
    <row r="814">
      <c r="A814" s="214"/>
      <c r="B814" s="158"/>
    </row>
    <row r="815">
      <c r="A815" s="213"/>
      <c r="B815" s="162"/>
    </row>
    <row r="816">
      <c r="B816" s="158"/>
    </row>
    <row r="817">
      <c r="B817" s="162"/>
    </row>
    <row r="818">
      <c r="B818" s="158"/>
    </row>
    <row r="819">
      <c r="B819" s="162"/>
    </row>
    <row r="820">
      <c r="B820" s="158"/>
    </row>
    <row r="821">
      <c r="B821" s="162"/>
    </row>
    <row r="822">
      <c r="B822" s="158"/>
    </row>
    <row r="823">
      <c r="B823" s="162"/>
    </row>
    <row r="824">
      <c r="B824" s="158"/>
    </row>
    <row r="825">
      <c r="B825" s="162"/>
    </row>
    <row r="826">
      <c r="B826" s="158"/>
    </row>
    <row r="827">
      <c r="B827" s="162"/>
    </row>
    <row r="828">
      <c r="B828" s="158"/>
    </row>
    <row r="829">
      <c r="B829" s="162"/>
    </row>
    <row r="830">
      <c r="B830" s="158"/>
    </row>
    <row r="831">
      <c r="B831" s="162"/>
    </row>
    <row r="832">
      <c r="B832" s="158"/>
    </row>
    <row r="833">
      <c r="B833" s="162"/>
    </row>
    <row r="834">
      <c r="B834" s="158"/>
    </row>
    <row r="835">
      <c r="B835" s="162"/>
    </row>
    <row r="836">
      <c r="B836" s="158"/>
    </row>
    <row r="837">
      <c r="B837" s="162"/>
    </row>
    <row r="838">
      <c r="B838" s="158"/>
    </row>
    <row r="839">
      <c r="B839" s="162"/>
    </row>
    <row r="840">
      <c r="B840" s="158"/>
    </row>
    <row r="841">
      <c r="B841" s="162"/>
    </row>
    <row r="842">
      <c r="B842" s="158"/>
    </row>
    <row r="843">
      <c r="B843" s="162"/>
    </row>
    <row r="844">
      <c r="B844" s="158"/>
    </row>
    <row r="845">
      <c r="B845" s="162"/>
    </row>
    <row r="846">
      <c r="B846" s="158"/>
    </row>
    <row r="847">
      <c r="B847" s="162"/>
    </row>
    <row r="848">
      <c r="B848" s="158"/>
    </row>
    <row r="849">
      <c r="B849" s="162"/>
    </row>
    <row r="850">
      <c r="B850" s="158"/>
    </row>
    <row r="851">
      <c r="B851" s="162"/>
    </row>
    <row r="852">
      <c r="B852" s="158"/>
    </row>
    <row r="853">
      <c r="B853" s="162"/>
    </row>
    <row r="854">
      <c r="B854" s="158"/>
    </row>
    <row r="855">
      <c r="B855" s="162"/>
    </row>
    <row r="856">
      <c r="B856" s="158"/>
    </row>
    <row r="857">
      <c r="B857" s="162"/>
    </row>
    <row r="858">
      <c r="B858" s="158"/>
    </row>
    <row r="859">
      <c r="B859" s="162"/>
    </row>
    <row r="860">
      <c r="B860" s="158"/>
    </row>
    <row r="861">
      <c r="B861" s="162"/>
    </row>
    <row r="862">
      <c r="B862" s="158"/>
    </row>
    <row r="863">
      <c r="B863" s="162"/>
    </row>
    <row r="864">
      <c r="B864" s="158"/>
    </row>
    <row r="865">
      <c r="B865" s="162"/>
    </row>
    <row r="866">
      <c r="B866" s="158"/>
    </row>
    <row r="867">
      <c r="B867" s="162"/>
    </row>
    <row r="868">
      <c r="B868" s="158"/>
    </row>
    <row r="869">
      <c r="B869" s="162"/>
    </row>
    <row r="870">
      <c r="B870" s="158"/>
    </row>
    <row r="871">
      <c r="B871" s="162"/>
    </row>
    <row r="872">
      <c r="B872" s="158"/>
    </row>
    <row r="873">
      <c r="B873" s="162"/>
    </row>
    <row r="874">
      <c r="B874" s="158"/>
    </row>
    <row r="875">
      <c r="B875" s="162"/>
    </row>
    <row r="876">
      <c r="B876" s="158"/>
    </row>
    <row r="877">
      <c r="B877" s="162"/>
    </row>
    <row r="878">
      <c r="B878" s="158"/>
    </row>
    <row r="879">
      <c r="B879" s="162"/>
    </row>
    <row r="880">
      <c r="B880" s="158"/>
    </row>
    <row r="881">
      <c r="B881" s="162"/>
    </row>
    <row r="882">
      <c r="B882" s="158"/>
    </row>
    <row r="883">
      <c r="B883" s="162"/>
    </row>
    <row r="884">
      <c r="B884" s="158"/>
    </row>
    <row r="885">
      <c r="B885" s="162"/>
    </row>
    <row r="886">
      <c r="B886" s="158"/>
    </row>
    <row r="887">
      <c r="B887" s="162"/>
    </row>
    <row r="888">
      <c r="B888" s="158"/>
    </row>
    <row r="889">
      <c r="B889" s="162"/>
    </row>
    <row r="890">
      <c r="B890" s="158"/>
    </row>
    <row r="891">
      <c r="B891" s="162"/>
    </row>
    <row r="892">
      <c r="B892" s="158"/>
    </row>
    <row r="893">
      <c r="B893" s="162"/>
    </row>
    <row r="894">
      <c r="B894" s="158"/>
    </row>
    <row r="895">
      <c r="B895" s="162"/>
    </row>
    <row r="896">
      <c r="B896" s="158"/>
    </row>
    <row r="897">
      <c r="B897" s="162"/>
    </row>
    <row r="898">
      <c r="B898" s="158"/>
    </row>
    <row r="899">
      <c r="B899" s="162"/>
    </row>
    <row r="900">
      <c r="B900" s="158"/>
    </row>
    <row r="901">
      <c r="B901" s="162"/>
    </row>
    <row r="902">
      <c r="B902" s="158"/>
    </row>
    <row r="903">
      <c r="B903" s="162"/>
    </row>
    <row r="904">
      <c r="B904" s="158"/>
    </row>
    <row r="905">
      <c r="B905" s="162"/>
    </row>
    <row r="906">
      <c r="B906" s="158"/>
    </row>
    <row r="907">
      <c r="B907" s="162"/>
    </row>
    <row r="908">
      <c r="B908" s="158"/>
    </row>
    <row r="909">
      <c r="B909" s="162"/>
    </row>
    <row r="910">
      <c r="B910" s="158"/>
    </row>
    <row r="911">
      <c r="B911" s="162"/>
    </row>
    <row r="912">
      <c r="B912" s="158"/>
    </row>
    <row r="913">
      <c r="B913" s="162"/>
    </row>
    <row r="914">
      <c r="B914" s="158"/>
    </row>
    <row r="915">
      <c r="B915" s="162"/>
    </row>
    <row r="916">
      <c r="B916" s="158"/>
    </row>
    <row r="917">
      <c r="B917" s="162"/>
    </row>
    <row r="918">
      <c r="B918" s="158"/>
    </row>
    <row r="919">
      <c r="B919" s="162"/>
    </row>
    <row r="920">
      <c r="B920" s="158"/>
    </row>
    <row r="921">
      <c r="B921" s="162"/>
    </row>
    <row r="922">
      <c r="B922" s="158"/>
    </row>
    <row r="923">
      <c r="B923" s="162"/>
    </row>
    <row r="924">
      <c r="B924" s="158"/>
    </row>
    <row r="925">
      <c r="B925" s="162"/>
    </row>
    <row r="926">
      <c r="B926" s="158"/>
    </row>
    <row r="927">
      <c r="B927" s="162"/>
    </row>
    <row r="928">
      <c r="B928" s="158"/>
    </row>
    <row r="929">
      <c r="B929" s="162"/>
    </row>
    <row r="930">
      <c r="B930" s="158"/>
    </row>
    <row r="931">
      <c r="B931" s="162"/>
    </row>
    <row r="932">
      <c r="B932" s="158"/>
    </row>
    <row r="933">
      <c r="B933" s="162"/>
    </row>
    <row r="934">
      <c r="B934" s="158"/>
    </row>
    <row r="935">
      <c r="B935" s="162"/>
    </row>
    <row r="936">
      <c r="B936" s="158"/>
    </row>
    <row r="937">
      <c r="B937" s="162"/>
    </row>
    <row r="938">
      <c r="B938" s="158"/>
    </row>
    <row r="939">
      <c r="B939" s="162"/>
    </row>
    <row r="940">
      <c r="B940" s="158"/>
    </row>
    <row r="941">
      <c r="B941" s="162"/>
    </row>
    <row r="942">
      <c r="B942" s="158"/>
    </row>
    <row r="943">
      <c r="B943" s="162"/>
    </row>
    <row r="944">
      <c r="B944" s="158"/>
    </row>
    <row r="945">
      <c r="B945" s="162"/>
    </row>
    <row r="946">
      <c r="B946" s="158"/>
    </row>
    <row r="947">
      <c r="B947" s="162"/>
    </row>
    <row r="948">
      <c r="B948" s="158"/>
    </row>
    <row r="949">
      <c r="B949" s="162"/>
    </row>
    <row r="950">
      <c r="B950" s="158"/>
    </row>
    <row r="951">
      <c r="B951" s="162"/>
    </row>
    <row r="952">
      <c r="B952" s="158"/>
    </row>
    <row r="953">
      <c r="B953" s="162"/>
    </row>
    <row r="954">
      <c r="B954" s="158"/>
    </row>
    <row r="955">
      <c r="B955" s="162"/>
    </row>
    <row r="956">
      <c r="B956" s="158"/>
    </row>
    <row r="957">
      <c r="B957" s="162"/>
    </row>
    <row r="958">
      <c r="B958" s="158"/>
    </row>
    <row r="959">
      <c r="B959" s="162"/>
    </row>
    <row r="960">
      <c r="B960" s="158"/>
    </row>
    <row r="961">
      <c r="B961" s="162"/>
    </row>
    <row r="962">
      <c r="B962" s="158"/>
    </row>
    <row r="963">
      <c r="B963" s="162"/>
    </row>
    <row r="964">
      <c r="B964" s="158"/>
    </row>
    <row r="965">
      <c r="B965" s="162"/>
    </row>
    <row r="966">
      <c r="B966" s="158"/>
    </row>
    <row r="967">
      <c r="B967" s="162"/>
    </row>
    <row r="968">
      <c r="B968" s="158"/>
    </row>
    <row r="969">
      <c r="B969" s="162"/>
    </row>
    <row r="970">
      <c r="B970" s="158"/>
    </row>
    <row r="971">
      <c r="B971" s="162"/>
    </row>
    <row r="972">
      <c r="B972" s="158"/>
    </row>
    <row r="973">
      <c r="B973" s="162"/>
    </row>
    <row r="974">
      <c r="B974" s="158"/>
    </row>
    <row r="975">
      <c r="B975" s="162"/>
    </row>
    <row r="976">
      <c r="B976" s="158"/>
    </row>
    <row r="977">
      <c r="B977" s="162"/>
    </row>
    <row r="978">
      <c r="B978" s="158"/>
    </row>
    <row r="979">
      <c r="B979" s="162"/>
    </row>
    <row r="980">
      <c r="B980" s="158"/>
    </row>
    <row r="981">
      <c r="B981" s="162"/>
    </row>
    <row r="982">
      <c r="B982" s="158"/>
    </row>
    <row r="983">
      <c r="B983" s="162"/>
    </row>
    <row r="984">
      <c r="B984" s="158"/>
    </row>
    <row r="985">
      <c r="B985" s="162"/>
    </row>
    <row r="986">
      <c r="B986" s="158"/>
    </row>
    <row r="987">
      <c r="B987" s="162"/>
    </row>
    <row r="988">
      <c r="B988" s="158"/>
    </row>
    <row r="989">
      <c r="B989" s="162"/>
    </row>
    <row r="990">
      <c r="B990" s="158"/>
    </row>
    <row r="991">
      <c r="B991" s="162"/>
    </row>
    <row r="992">
      <c r="B992" s="158"/>
    </row>
    <row r="993">
      <c r="B993" s="162"/>
    </row>
    <row r="994">
      <c r="B994" s="158"/>
    </row>
    <row r="995">
      <c r="B995" s="162"/>
    </row>
    <row r="996">
      <c r="B996" s="158"/>
    </row>
    <row r="997">
      <c r="B997" s="162"/>
    </row>
    <row r="998">
      <c r="B998" s="158"/>
    </row>
    <row r="999">
      <c r="B999" s="215"/>
    </row>
  </sheetData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20.0"/>
    <col customWidth="1" min="3" max="3" width="39.0"/>
    <col customWidth="1" min="4" max="4" width="12.0"/>
    <col customWidth="1" min="5" max="5" width="22.29"/>
    <col customWidth="1" min="6" max="6" width="11.43"/>
    <col customWidth="1" min="7" max="7" width="19.43"/>
    <col customWidth="1" min="8" max="8" width="21.29"/>
    <col customWidth="1" min="9" max="12" width="11.57"/>
    <col customWidth="1" min="13" max="25" width="10.71"/>
  </cols>
  <sheetData>
    <row r="1" ht="30.75" customHeight="1">
      <c r="A1" s="1" t="s">
        <v>0</v>
      </c>
      <c r="B1" s="2" t="s">
        <v>1127</v>
      </c>
      <c r="C1" s="2" t="s">
        <v>1128</v>
      </c>
      <c r="D1" s="2" t="s">
        <v>3</v>
      </c>
      <c r="E1" s="26" t="s">
        <v>1567</v>
      </c>
      <c r="F1" s="62" t="s">
        <v>1568</v>
      </c>
      <c r="G1" s="62" t="s">
        <v>1569</v>
      </c>
      <c r="H1" s="216" t="s">
        <v>1570</v>
      </c>
      <c r="I1" s="216" t="s">
        <v>1571</v>
      </c>
      <c r="J1" s="216" t="s">
        <v>1572</v>
      </c>
      <c r="K1" s="216" t="s">
        <v>1573</v>
      </c>
      <c r="L1" s="217" t="s">
        <v>1574</v>
      </c>
    </row>
    <row r="2">
      <c r="A2" s="5">
        <v>1.0</v>
      </c>
      <c r="B2" s="6">
        <v>2.172633E7</v>
      </c>
      <c r="C2" s="6" t="s">
        <v>1575</v>
      </c>
      <c r="D2" s="6"/>
      <c r="E2" s="28">
        <v>39868.0</v>
      </c>
      <c r="F2" s="218">
        <f t="shared" ref="F2:F159" si="1">YEAR(NOW())-YEAR(E2)</f>
        <v>16</v>
      </c>
      <c r="G2" s="218" t="s">
        <v>1576</v>
      </c>
      <c r="H2" s="166"/>
      <c r="I2" s="219">
        <f t="shared" ref="I2:I159" si="2">IF(F2&lt;4,0,IF(F2&lt;=5,1,IF(F2&lt;=8,0,IF(F2&lt;=11,0,IF(F2&lt;=19,0,0)))))</f>
        <v>0</v>
      </c>
      <c r="J2" s="219">
        <f t="shared" ref="J2:J159" si="3">IF(F2&lt;4,0,IF(F2&lt;=5,0,IF(F2&lt;=8,1,IF(F2&lt;=11,0,IF(F2&lt;=19,0,0)))))</f>
        <v>0</v>
      </c>
      <c r="K2" s="219">
        <f t="shared" ref="K2:K159" si="4">IF(F2&lt;4,0,IF(F2&lt;=5,0,IF(F2&lt;=8,0,IF(F2&lt;=11,1,IF(F2&lt;=19,0,0)))))</f>
        <v>0</v>
      </c>
      <c r="L2" s="220">
        <f t="shared" ref="L2:L159" si="5">IF(F2&lt;4,0,IF(F2&lt;=5,0,IF(F2&lt;=8,0,IF(F2&lt;=11,0,IF(F2&lt;=19,1,0)))))</f>
        <v>1</v>
      </c>
    </row>
    <row r="3">
      <c r="A3" s="9">
        <v>2.0</v>
      </c>
      <c r="B3" s="10">
        <v>3.1963497E7</v>
      </c>
      <c r="C3" s="10" t="s">
        <v>1577</v>
      </c>
      <c r="D3" s="10">
        <v>5.4185111E7</v>
      </c>
      <c r="E3" s="30">
        <v>41872.0</v>
      </c>
      <c r="F3" s="221">
        <f t="shared" si="1"/>
        <v>11</v>
      </c>
      <c r="G3" s="221" t="s">
        <v>1576</v>
      </c>
      <c r="H3" s="161"/>
      <c r="I3" s="219">
        <f t="shared" si="2"/>
        <v>0</v>
      </c>
      <c r="J3" s="219">
        <f t="shared" si="3"/>
        <v>0</v>
      </c>
      <c r="K3" s="222">
        <f t="shared" si="4"/>
        <v>1</v>
      </c>
      <c r="L3" s="223">
        <f t="shared" si="5"/>
        <v>0</v>
      </c>
    </row>
    <row r="4">
      <c r="A4" s="5">
        <v>3.0</v>
      </c>
      <c r="B4" s="6">
        <v>3.1963497E7</v>
      </c>
      <c r="C4" s="6" t="s">
        <v>1578</v>
      </c>
      <c r="D4" s="6">
        <v>4.9002653E7</v>
      </c>
      <c r="E4" s="28">
        <v>39879.0</v>
      </c>
      <c r="F4" s="218">
        <f t="shared" si="1"/>
        <v>16</v>
      </c>
      <c r="G4" s="218" t="s">
        <v>1576</v>
      </c>
      <c r="H4" s="166"/>
      <c r="I4" s="219">
        <f t="shared" si="2"/>
        <v>0</v>
      </c>
      <c r="J4" s="219">
        <f t="shared" si="3"/>
        <v>0</v>
      </c>
      <c r="K4" s="219">
        <f t="shared" si="4"/>
        <v>0</v>
      </c>
      <c r="L4" s="220">
        <f t="shared" si="5"/>
        <v>1</v>
      </c>
    </row>
    <row r="5">
      <c r="A5" s="9">
        <v>4.0</v>
      </c>
      <c r="B5" s="10">
        <v>2.5379033E7</v>
      </c>
      <c r="C5" s="10" t="s">
        <v>1579</v>
      </c>
      <c r="D5" s="10">
        <v>5.3171566E7</v>
      </c>
      <c r="E5" s="30">
        <v>41358.0</v>
      </c>
      <c r="F5" s="221">
        <f t="shared" si="1"/>
        <v>12</v>
      </c>
      <c r="G5" s="221" t="s">
        <v>1576</v>
      </c>
      <c r="H5" s="161"/>
      <c r="I5" s="219">
        <f t="shared" si="2"/>
        <v>0</v>
      </c>
      <c r="J5" s="219">
        <f t="shared" si="3"/>
        <v>0</v>
      </c>
      <c r="K5" s="219">
        <f t="shared" si="4"/>
        <v>0</v>
      </c>
      <c r="L5" s="220">
        <f t="shared" si="5"/>
        <v>1</v>
      </c>
    </row>
    <row r="6">
      <c r="A6" s="5">
        <v>5.0</v>
      </c>
      <c r="B6" s="6">
        <v>3.8184089E7</v>
      </c>
      <c r="C6" s="6" t="s">
        <v>1580</v>
      </c>
      <c r="D6" s="6">
        <v>5.8254918E7</v>
      </c>
      <c r="E6" s="28">
        <v>43954.0</v>
      </c>
      <c r="F6" s="218">
        <f t="shared" si="1"/>
        <v>5</v>
      </c>
      <c r="G6" s="218" t="s">
        <v>1576</v>
      </c>
      <c r="H6" s="166"/>
      <c r="I6" s="222">
        <f t="shared" si="2"/>
        <v>1</v>
      </c>
      <c r="J6" s="219">
        <f t="shared" si="3"/>
        <v>0</v>
      </c>
      <c r="K6" s="219">
        <f t="shared" si="4"/>
        <v>0</v>
      </c>
      <c r="L6" s="223">
        <f t="shared" si="5"/>
        <v>0</v>
      </c>
    </row>
    <row r="7">
      <c r="A7" s="9">
        <v>6.0</v>
      </c>
      <c r="B7" s="10">
        <v>3.8184089E7</v>
      </c>
      <c r="C7" s="10" t="s">
        <v>1581</v>
      </c>
      <c r="D7" s="10">
        <v>5.9036365E7</v>
      </c>
      <c r="E7" s="30">
        <v>44469.0</v>
      </c>
      <c r="F7" s="221">
        <f t="shared" si="1"/>
        <v>4</v>
      </c>
      <c r="G7" s="221" t="s">
        <v>1576</v>
      </c>
      <c r="H7" s="161"/>
      <c r="I7" s="222">
        <f t="shared" si="2"/>
        <v>1</v>
      </c>
      <c r="J7" s="219">
        <f t="shared" si="3"/>
        <v>0</v>
      </c>
      <c r="K7" s="219">
        <f t="shared" si="4"/>
        <v>0</v>
      </c>
      <c r="L7" s="223">
        <f t="shared" si="5"/>
        <v>0</v>
      </c>
    </row>
    <row r="8">
      <c r="A8" s="5">
        <v>7.0</v>
      </c>
      <c r="B8" s="6">
        <v>3.8894668E7</v>
      </c>
      <c r="C8" s="6" t="s">
        <v>1582</v>
      </c>
      <c r="D8" s="6">
        <v>5.4881018E7</v>
      </c>
      <c r="E8" s="28">
        <v>42177.0</v>
      </c>
      <c r="F8" s="218">
        <f t="shared" si="1"/>
        <v>10</v>
      </c>
      <c r="G8" s="218" t="s">
        <v>1576</v>
      </c>
      <c r="H8" s="166"/>
      <c r="I8" s="219">
        <f t="shared" si="2"/>
        <v>0</v>
      </c>
      <c r="J8" s="219">
        <f t="shared" si="3"/>
        <v>0</v>
      </c>
      <c r="K8" s="222">
        <f t="shared" si="4"/>
        <v>1</v>
      </c>
      <c r="L8" s="223">
        <f t="shared" si="5"/>
        <v>0</v>
      </c>
    </row>
    <row r="9">
      <c r="A9" s="9">
        <v>8.0</v>
      </c>
      <c r="B9" s="10">
        <v>4.2012262E7</v>
      </c>
      <c r="C9" s="10" t="s">
        <v>1583</v>
      </c>
      <c r="D9" s="10">
        <v>5.6664434E7</v>
      </c>
      <c r="E9" s="30">
        <v>43052.0</v>
      </c>
      <c r="F9" s="221">
        <f t="shared" si="1"/>
        <v>8</v>
      </c>
      <c r="G9" s="221" t="s">
        <v>1576</v>
      </c>
      <c r="H9" s="161"/>
      <c r="I9" s="219">
        <f t="shared" si="2"/>
        <v>0</v>
      </c>
      <c r="J9" s="222">
        <f t="shared" si="3"/>
        <v>1</v>
      </c>
      <c r="K9" s="219">
        <f t="shared" si="4"/>
        <v>0</v>
      </c>
      <c r="L9" s="223">
        <f t="shared" si="5"/>
        <v>0</v>
      </c>
    </row>
    <row r="10">
      <c r="A10" s="5">
        <v>9.0</v>
      </c>
      <c r="B10" s="6">
        <v>3.3155103E7</v>
      </c>
      <c r="C10" s="6" t="s">
        <v>1584</v>
      </c>
      <c r="D10" s="6">
        <v>4.9008586E7</v>
      </c>
      <c r="E10" s="28">
        <v>39710.0</v>
      </c>
      <c r="F10" s="218">
        <f t="shared" si="1"/>
        <v>17</v>
      </c>
      <c r="G10" s="218" t="s">
        <v>1576</v>
      </c>
      <c r="H10" s="166"/>
      <c r="I10" s="219">
        <f t="shared" si="2"/>
        <v>0</v>
      </c>
      <c r="J10" s="219">
        <f t="shared" si="3"/>
        <v>0</v>
      </c>
      <c r="K10" s="219">
        <f t="shared" si="4"/>
        <v>0</v>
      </c>
      <c r="L10" s="220">
        <f t="shared" si="5"/>
        <v>1</v>
      </c>
    </row>
    <row r="11">
      <c r="A11" s="9">
        <v>10.0</v>
      </c>
      <c r="B11" s="10">
        <v>9.3996095E7</v>
      </c>
      <c r="C11" s="10" t="s">
        <v>1585</v>
      </c>
      <c r="D11" s="10">
        <v>5.6385774E7</v>
      </c>
      <c r="E11" s="30">
        <v>42893.0</v>
      </c>
      <c r="F11" s="221">
        <f t="shared" si="1"/>
        <v>8</v>
      </c>
      <c r="G11" s="221" t="s">
        <v>1576</v>
      </c>
      <c r="H11" s="161"/>
      <c r="I11" s="219">
        <f t="shared" si="2"/>
        <v>0</v>
      </c>
      <c r="J11" s="222">
        <f t="shared" si="3"/>
        <v>1</v>
      </c>
      <c r="K11" s="219">
        <f t="shared" si="4"/>
        <v>0</v>
      </c>
      <c r="L11" s="223">
        <f t="shared" si="5"/>
        <v>0</v>
      </c>
    </row>
    <row r="12">
      <c r="A12" s="5">
        <v>11.0</v>
      </c>
      <c r="B12" s="6">
        <v>9.3996095E7</v>
      </c>
      <c r="C12" s="6" t="s">
        <v>1586</v>
      </c>
      <c r="D12" s="6">
        <v>4.9002705E7</v>
      </c>
      <c r="E12" s="28">
        <v>39910.0</v>
      </c>
      <c r="F12" s="218">
        <f t="shared" si="1"/>
        <v>16</v>
      </c>
      <c r="G12" s="218" t="s">
        <v>1576</v>
      </c>
      <c r="H12" s="166"/>
      <c r="I12" s="219">
        <f t="shared" si="2"/>
        <v>0</v>
      </c>
      <c r="J12" s="219">
        <f t="shared" si="3"/>
        <v>0</v>
      </c>
      <c r="K12" s="219">
        <f t="shared" si="4"/>
        <v>0</v>
      </c>
      <c r="L12" s="220">
        <f t="shared" si="5"/>
        <v>1</v>
      </c>
    </row>
    <row r="13">
      <c r="A13" s="9">
        <v>12.0</v>
      </c>
      <c r="B13" s="10">
        <v>9.3996095E7</v>
      </c>
      <c r="C13" s="10" t="s">
        <v>1587</v>
      </c>
      <c r="D13" s="10">
        <v>5.0289552E7</v>
      </c>
      <c r="E13" s="30">
        <v>40323.0</v>
      </c>
      <c r="F13" s="221">
        <f t="shared" si="1"/>
        <v>15</v>
      </c>
      <c r="G13" s="221" t="s">
        <v>1576</v>
      </c>
      <c r="H13" s="161"/>
      <c r="I13" s="219">
        <f t="shared" si="2"/>
        <v>0</v>
      </c>
      <c r="J13" s="219">
        <f t="shared" si="3"/>
        <v>0</v>
      </c>
      <c r="K13" s="219">
        <f t="shared" si="4"/>
        <v>0</v>
      </c>
      <c r="L13" s="220">
        <f t="shared" si="5"/>
        <v>1</v>
      </c>
    </row>
    <row r="14">
      <c r="A14" s="5">
        <v>13.0</v>
      </c>
      <c r="B14" s="6">
        <v>9.5102089E7</v>
      </c>
      <c r="C14" s="6" t="s">
        <v>1588</v>
      </c>
      <c r="D14" s="6">
        <v>9.5028129E7</v>
      </c>
      <c r="E14" s="28">
        <v>36046.0</v>
      </c>
      <c r="F14" s="218">
        <f t="shared" si="1"/>
        <v>27</v>
      </c>
      <c r="G14" s="218" t="s">
        <v>1576</v>
      </c>
      <c r="H14" s="166"/>
      <c r="I14" s="219">
        <f t="shared" si="2"/>
        <v>0</v>
      </c>
      <c r="J14" s="219">
        <f t="shared" si="3"/>
        <v>0</v>
      </c>
      <c r="K14" s="219">
        <f t="shared" si="4"/>
        <v>0</v>
      </c>
      <c r="L14" s="223">
        <f t="shared" si="5"/>
        <v>0</v>
      </c>
    </row>
    <row r="15">
      <c r="A15" s="9">
        <v>14.0</v>
      </c>
      <c r="B15" s="10">
        <v>9.5102089E7</v>
      </c>
      <c r="C15" s="10" t="s">
        <v>1589</v>
      </c>
      <c r="D15" s="10">
        <v>9.5102102E7</v>
      </c>
      <c r="E15" s="30">
        <v>38543.0</v>
      </c>
      <c r="F15" s="221">
        <f t="shared" si="1"/>
        <v>20</v>
      </c>
      <c r="G15" s="221" t="s">
        <v>1576</v>
      </c>
      <c r="H15" s="161"/>
      <c r="I15" s="219">
        <f t="shared" si="2"/>
        <v>0</v>
      </c>
      <c r="J15" s="219">
        <f t="shared" si="3"/>
        <v>0</v>
      </c>
      <c r="K15" s="219">
        <f t="shared" si="4"/>
        <v>0</v>
      </c>
      <c r="L15" s="223">
        <f t="shared" si="5"/>
        <v>0</v>
      </c>
    </row>
    <row r="16">
      <c r="A16" s="5">
        <v>15.0</v>
      </c>
      <c r="B16" s="6">
        <v>9.5189729E7</v>
      </c>
      <c r="C16" s="6" t="s">
        <v>1590</v>
      </c>
      <c r="D16" s="6">
        <v>5.5389451E7</v>
      </c>
      <c r="E16" s="28">
        <v>42398.0</v>
      </c>
      <c r="F16" s="218">
        <f t="shared" si="1"/>
        <v>9</v>
      </c>
      <c r="G16" s="218" t="s">
        <v>1576</v>
      </c>
      <c r="H16" s="166"/>
      <c r="I16" s="219">
        <f t="shared" si="2"/>
        <v>0</v>
      </c>
      <c r="J16" s="219">
        <f t="shared" si="3"/>
        <v>0</v>
      </c>
      <c r="K16" s="222">
        <f t="shared" si="4"/>
        <v>1</v>
      </c>
      <c r="L16" s="223">
        <f t="shared" si="5"/>
        <v>0</v>
      </c>
    </row>
    <row r="17">
      <c r="A17" s="9">
        <v>16.0</v>
      </c>
      <c r="B17" s="10">
        <v>9.5189729E7</v>
      </c>
      <c r="C17" s="10" t="s">
        <v>1591</v>
      </c>
      <c r="D17" s="10">
        <v>5.3649865E7</v>
      </c>
      <c r="E17" s="30">
        <v>41651.0</v>
      </c>
      <c r="F17" s="221">
        <f t="shared" si="1"/>
        <v>11</v>
      </c>
      <c r="G17" s="221" t="s">
        <v>1576</v>
      </c>
      <c r="H17" s="161"/>
      <c r="I17" s="219">
        <f t="shared" si="2"/>
        <v>0</v>
      </c>
      <c r="J17" s="219">
        <f t="shared" si="3"/>
        <v>0</v>
      </c>
      <c r="K17" s="222">
        <f t="shared" si="4"/>
        <v>1</v>
      </c>
      <c r="L17" s="223">
        <f t="shared" si="5"/>
        <v>0</v>
      </c>
    </row>
    <row r="18">
      <c r="A18" s="5">
        <v>17.0</v>
      </c>
      <c r="B18" s="6">
        <v>9.5189729E7</v>
      </c>
      <c r="C18" s="6" t="s">
        <v>1592</v>
      </c>
      <c r="D18" s="6">
        <v>9.5189737E7</v>
      </c>
      <c r="E18" s="28">
        <v>40095.0</v>
      </c>
      <c r="F18" s="218">
        <f t="shared" si="1"/>
        <v>16</v>
      </c>
      <c r="G18" s="218" t="s">
        <v>1576</v>
      </c>
      <c r="H18" s="166"/>
      <c r="I18" s="219">
        <f t="shared" si="2"/>
        <v>0</v>
      </c>
      <c r="J18" s="219">
        <f t="shared" si="3"/>
        <v>0</v>
      </c>
      <c r="K18" s="219">
        <f t="shared" si="4"/>
        <v>0</v>
      </c>
      <c r="L18" s="220">
        <f t="shared" si="5"/>
        <v>1</v>
      </c>
    </row>
    <row r="19">
      <c r="A19" s="9">
        <v>18.0</v>
      </c>
      <c r="B19" s="10">
        <v>9.5189729E7</v>
      </c>
      <c r="C19" s="10" t="s">
        <v>1593</v>
      </c>
      <c r="D19" s="10">
        <v>9.5189738E7</v>
      </c>
      <c r="E19" s="30">
        <v>39336.0</v>
      </c>
      <c r="F19" s="221">
        <f t="shared" si="1"/>
        <v>18</v>
      </c>
      <c r="G19" s="221" t="s">
        <v>1576</v>
      </c>
      <c r="H19" s="161"/>
      <c r="I19" s="219">
        <f t="shared" si="2"/>
        <v>0</v>
      </c>
      <c r="J19" s="219">
        <f t="shared" si="3"/>
        <v>0</v>
      </c>
      <c r="K19" s="219">
        <f t="shared" si="4"/>
        <v>0</v>
      </c>
      <c r="L19" s="220">
        <f t="shared" si="5"/>
        <v>1</v>
      </c>
    </row>
    <row r="20">
      <c r="A20" s="5">
        <v>19.0</v>
      </c>
      <c r="B20" s="6">
        <v>9.5189729E7</v>
      </c>
      <c r="C20" s="6" t="s">
        <v>1594</v>
      </c>
      <c r="D20" s="6">
        <v>9.5189739E7</v>
      </c>
      <c r="E20" s="28">
        <v>38842.0</v>
      </c>
      <c r="F20" s="218">
        <f t="shared" si="1"/>
        <v>19</v>
      </c>
      <c r="G20" s="218" t="s">
        <v>1576</v>
      </c>
      <c r="H20" s="166"/>
      <c r="I20" s="219">
        <f t="shared" si="2"/>
        <v>0</v>
      </c>
      <c r="J20" s="219">
        <f t="shared" si="3"/>
        <v>0</v>
      </c>
      <c r="K20" s="219">
        <f t="shared" si="4"/>
        <v>0</v>
      </c>
      <c r="L20" s="220">
        <f t="shared" si="5"/>
        <v>1</v>
      </c>
    </row>
    <row r="21" ht="15.75" customHeight="1">
      <c r="A21" s="9">
        <v>20.0</v>
      </c>
      <c r="B21" s="10">
        <v>2.0009014E7</v>
      </c>
      <c r="C21" s="10" t="s">
        <v>1595</v>
      </c>
      <c r="D21" s="10">
        <v>4.8313602E7</v>
      </c>
      <c r="E21" s="30">
        <v>39406.0</v>
      </c>
      <c r="F21" s="221">
        <f t="shared" si="1"/>
        <v>18</v>
      </c>
      <c r="G21" s="221" t="s">
        <v>1576</v>
      </c>
      <c r="H21" s="161"/>
      <c r="I21" s="219">
        <f t="shared" si="2"/>
        <v>0</v>
      </c>
      <c r="J21" s="219">
        <f t="shared" si="3"/>
        <v>0</v>
      </c>
      <c r="K21" s="219">
        <f t="shared" si="4"/>
        <v>0</v>
      </c>
      <c r="L21" s="220">
        <f t="shared" si="5"/>
        <v>1</v>
      </c>
    </row>
    <row r="22" ht="15.75" customHeight="1">
      <c r="A22" s="5">
        <v>21.0</v>
      </c>
      <c r="B22" s="6">
        <v>2.0009014E7</v>
      </c>
      <c r="C22" s="6" t="s">
        <v>1596</v>
      </c>
      <c r="D22" s="6">
        <v>4.4554988E7</v>
      </c>
      <c r="E22" s="28">
        <v>37624.0</v>
      </c>
      <c r="F22" s="218">
        <f t="shared" si="1"/>
        <v>22</v>
      </c>
      <c r="G22" s="218" t="s">
        <v>1576</v>
      </c>
      <c r="H22" s="166"/>
      <c r="I22" s="219">
        <f t="shared" si="2"/>
        <v>0</v>
      </c>
      <c r="J22" s="219">
        <f t="shared" si="3"/>
        <v>0</v>
      </c>
      <c r="K22" s="219">
        <f t="shared" si="4"/>
        <v>0</v>
      </c>
      <c r="L22" s="223">
        <f t="shared" si="5"/>
        <v>0</v>
      </c>
    </row>
    <row r="23" ht="15.75" customHeight="1">
      <c r="A23" s="9">
        <v>22.0</v>
      </c>
      <c r="B23" s="10">
        <v>2.0009014E7</v>
      </c>
      <c r="C23" s="10" t="s">
        <v>1597</v>
      </c>
      <c r="D23" s="10">
        <v>3.7904714E7</v>
      </c>
      <c r="E23" s="30">
        <v>34229.0</v>
      </c>
      <c r="F23" s="221">
        <f t="shared" si="1"/>
        <v>32</v>
      </c>
      <c r="G23" s="221" t="s">
        <v>1576</v>
      </c>
      <c r="H23" s="161"/>
      <c r="I23" s="219">
        <f t="shared" si="2"/>
        <v>0</v>
      </c>
      <c r="J23" s="219">
        <f t="shared" si="3"/>
        <v>0</v>
      </c>
      <c r="K23" s="219">
        <f t="shared" si="4"/>
        <v>0</v>
      </c>
      <c r="L23" s="223">
        <f t="shared" si="5"/>
        <v>0</v>
      </c>
    </row>
    <row r="24" ht="15.75" customHeight="1">
      <c r="A24" s="5">
        <v>23.0</v>
      </c>
      <c r="B24" s="6">
        <v>3.3905319E7</v>
      </c>
      <c r="C24" s="6" t="s">
        <v>1598</v>
      </c>
      <c r="D24" s="6">
        <v>5.3815519E7</v>
      </c>
      <c r="E24" s="28">
        <v>44373.0</v>
      </c>
      <c r="F24" s="218">
        <f t="shared" si="1"/>
        <v>4</v>
      </c>
      <c r="G24" s="218" t="s">
        <v>1576</v>
      </c>
      <c r="H24" s="166"/>
      <c r="I24" s="222">
        <f t="shared" si="2"/>
        <v>1</v>
      </c>
      <c r="J24" s="219">
        <f t="shared" si="3"/>
        <v>0</v>
      </c>
      <c r="K24" s="219">
        <f t="shared" si="4"/>
        <v>0</v>
      </c>
      <c r="L24" s="223">
        <f t="shared" si="5"/>
        <v>0</v>
      </c>
    </row>
    <row r="25" ht="15.75" customHeight="1">
      <c r="A25" s="9">
        <v>25.0</v>
      </c>
      <c r="B25" s="10">
        <v>3.2554313E7</v>
      </c>
      <c r="C25" s="10" t="s">
        <v>1599</v>
      </c>
      <c r="D25" s="10">
        <v>5.6177284E7</v>
      </c>
      <c r="E25" s="30">
        <v>39901.0</v>
      </c>
      <c r="F25" s="221">
        <f t="shared" si="1"/>
        <v>16</v>
      </c>
      <c r="G25" s="221" t="s">
        <v>1576</v>
      </c>
      <c r="H25" s="161"/>
      <c r="I25" s="219">
        <f t="shared" si="2"/>
        <v>0</v>
      </c>
      <c r="J25" s="219">
        <f t="shared" si="3"/>
        <v>0</v>
      </c>
      <c r="K25" s="219">
        <f t="shared" si="4"/>
        <v>0</v>
      </c>
      <c r="L25" s="220">
        <f t="shared" si="5"/>
        <v>1</v>
      </c>
    </row>
    <row r="26" ht="15.75" customHeight="1">
      <c r="A26" s="5">
        <v>26.0</v>
      </c>
      <c r="B26" s="6">
        <v>2.5060598E7</v>
      </c>
      <c r="C26" s="6" t="s">
        <v>1600</v>
      </c>
      <c r="D26" s="6">
        <v>5.4386305E7</v>
      </c>
      <c r="E26" s="32">
        <v>41638.0</v>
      </c>
      <c r="F26" s="218">
        <f t="shared" si="1"/>
        <v>12</v>
      </c>
      <c r="G26" s="218" t="s">
        <v>1576</v>
      </c>
      <c r="H26" s="166"/>
      <c r="I26" s="219">
        <f t="shared" si="2"/>
        <v>0</v>
      </c>
      <c r="J26" s="219">
        <f t="shared" si="3"/>
        <v>0</v>
      </c>
      <c r="K26" s="219">
        <f t="shared" si="4"/>
        <v>0</v>
      </c>
      <c r="L26" s="220">
        <f t="shared" si="5"/>
        <v>1</v>
      </c>
    </row>
    <row r="27" ht="15.75" customHeight="1">
      <c r="A27" s="9">
        <v>27.0</v>
      </c>
      <c r="B27" s="10">
        <v>2.9635937E7</v>
      </c>
      <c r="C27" s="10" t="s">
        <v>1601</v>
      </c>
      <c r="D27" s="10">
        <v>4.7170109E7</v>
      </c>
      <c r="E27" s="30">
        <v>38780.0</v>
      </c>
      <c r="F27" s="221">
        <f t="shared" si="1"/>
        <v>19</v>
      </c>
      <c r="G27" s="221" t="s">
        <v>1576</v>
      </c>
      <c r="H27" s="161"/>
      <c r="I27" s="219">
        <f t="shared" si="2"/>
        <v>0</v>
      </c>
      <c r="J27" s="219">
        <f t="shared" si="3"/>
        <v>0</v>
      </c>
      <c r="K27" s="219">
        <f t="shared" si="4"/>
        <v>0</v>
      </c>
      <c r="L27" s="220">
        <f t="shared" si="5"/>
        <v>1</v>
      </c>
    </row>
    <row r="28" ht="15.75" customHeight="1">
      <c r="A28" s="5">
        <v>28.0</v>
      </c>
      <c r="B28" s="6">
        <v>2.5060598E7</v>
      </c>
      <c r="C28" s="6" t="s">
        <v>1602</v>
      </c>
      <c r="D28" s="6">
        <v>5.1140548E7</v>
      </c>
      <c r="E28" s="32">
        <v>40907.0</v>
      </c>
      <c r="F28" s="218">
        <f t="shared" si="1"/>
        <v>14</v>
      </c>
      <c r="G28" s="218" t="s">
        <v>1576</v>
      </c>
      <c r="H28" s="166"/>
      <c r="I28" s="219">
        <f t="shared" si="2"/>
        <v>0</v>
      </c>
      <c r="J28" s="219">
        <f t="shared" si="3"/>
        <v>0</v>
      </c>
      <c r="K28" s="219">
        <f t="shared" si="4"/>
        <v>0</v>
      </c>
      <c r="L28" s="220">
        <f t="shared" si="5"/>
        <v>1</v>
      </c>
    </row>
    <row r="29" ht="15.75" customHeight="1">
      <c r="A29" s="9">
        <v>29.0</v>
      </c>
      <c r="B29" s="10">
        <v>2.5060598E7</v>
      </c>
      <c r="C29" s="10" t="s">
        <v>1603</v>
      </c>
      <c r="D29" s="10">
        <v>4.8715443E7</v>
      </c>
      <c r="E29" s="33">
        <v>39446.0</v>
      </c>
      <c r="F29" s="221">
        <f t="shared" si="1"/>
        <v>18</v>
      </c>
      <c r="G29" s="221" t="s">
        <v>1576</v>
      </c>
      <c r="H29" s="161"/>
      <c r="I29" s="219">
        <f t="shared" si="2"/>
        <v>0</v>
      </c>
      <c r="J29" s="219">
        <f t="shared" si="3"/>
        <v>0</v>
      </c>
      <c r="K29" s="219">
        <f t="shared" si="4"/>
        <v>0</v>
      </c>
      <c r="L29" s="220">
        <f t="shared" si="5"/>
        <v>1</v>
      </c>
    </row>
    <row r="30" ht="15.75" customHeight="1">
      <c r="A30" s="5">
        <v>30.0</v>
      </c>
      <c r="B30" s="6">
        <v>3.1896263E7</v>
      </c>
      <c r="C30" s="6" t="s">
        <v>1604</v>
      </c>
      <c r="D30" s="6">
        <v>4.8677298E7</v>
      </c>
      <c r="E30" s="28">
        <v>39559.0</v>
      </c>
      <c r="F30" s="218">
        <f t="shared" si="1"/>
        <v>17</v>
      </c>
      <c r="G30" s="218" t="s">
        <v>1576</v>
      </c>
      <c r="H30" s="166"/>
      <c r="I30" s="219">
        <f t="shared" si="2"/>
        <v>0</v>
      </c>
      <c r="J30" s="219">
        <f t="shared" si="3"/>
        <v>0</v>
      </c>
      <c r="K30" s="219">
        <f t="shared" si="4"/>
        <v>0</v>
      </c>
      <c r="L30" s="220">
        <f t="shared" si="5"/>
        <v>1</v>
      </c>
    </row>
    <row r="31" ht="15.75" customHeight="1">
      <c r="A31" s="9">
        <v>31.0</v>
      </c>
      <c r="B31" s="10">
        <v>3.2554313E7</v>
      </c>
      <c r="C31" s="10" t="s">
        <v>1605</v>
      </c>
      <c r="D31" s="10">
        <v>4.9373859E7</v>
      </c>
      <c r="E31" s="30">
        <v>39936.0</v>
      </c>
      <c r="F31" s="221">
        <f t="shared" si="1"/>
        <v>16</v>
      </c>
      <c r="G31" s="221" t="s">
        <v>1576</v>
      </c>
      <c r="H31" s="161"/>
      <c r="I31" s="219">
        <f t="shared" si="2"/>
        <v>0</v>
      </c>
      <c r="J31" s="219">
        <f t="shared" si="3"/>
        <v>0</v>
      </c>
      <c r="K31" s="219">
        <f t="shared" si="4"/>
        <v>0</v>
      </c>
      <c r="L31" s="220">
        <f t="shared" si="5"/>
        <v>1</v>
      </c>
    </row>
    <row r="32" ht="15.75" customHeight="1">
      <c r="A32" s="5">
        <v>32.0</v>
      </c>
      <c r="B32" s="6">
        <v>3.3905319E7</v>
      </c>
      <c r="C32" s="6" t="s">
        <v>1606</v>
      </c>
      <c r="D32" s="6">
        <v>5.3815519E7</v>
      </c>
      <c r="E32" s="28">
        <v>41746.0</v>
      </c>
      <c r="F32" s="218">
        <f t="shared" si="1"/>
        <v>11</v>
      </c>
      <c r="G32" s="218" t="s">
        <v>1576</v>
      </c>
      <c r="H32" s="166"/>
      <c r="I32" s="219">
        <f t="shared" si="2"/>
        <v>0</v>
      </c>
      <c r="J32" s="219">
        <f t="shared" si="3"/>
        <v>0</v>
      </c>
      <c r="K32" s="222">
        <f t="shared" si="4"/>
        <v>1</v>
      </c>
      <c r="L32" s="223">
        <f t="shared" si="5"/>
        <v>0</v>
      </c>
    </row>
    <row r="33" ht="15.75" customHeight="1">
      <c r="A33" s="9">
        <v>33.0</v>
      </c>
      <c r="B33" s="10">
        <v>3.0211914E7</v>
      </c>
      <c r="C33" s="10" t="s">
        <v>1607</v>
      </c>
      <c r="D33" s="10">
        <v>4.937386E7</v>
      </c>
      <c r="E33" s="30">
        <v>40520.0</v>
      </c>
      <c r="F33" s="221">
        <f t="shared" si="1"/>
        <v>15</v>
      </c>
      <c r="G33" s="221" t="s">
        <v>1576</v>
      </c>
      <c r="H33" s="161"/>
      <c r="I33" s="219">
        <f t="shared" si="2"/>
        <v>0</v>
      </c>
      <c r="J33" s="219">
        <f t="shared" si="3"/>
        <v>0</v>
      </c>
      <c r="K33" s="219">
        <f t="shared" si="4"/>
        <v>0</v>
      </c>
      <c r="L33" s="220">
        <f t="shared" si="5"/>
        <v>1</v>
      </c>
    </row>
    <row r="34" ht="15.75" customHeight="1">
      <c r="A34" s="5">
        <v>34.0</v>
      </c>
      <c r="B34" s="6">
        <v>4.0873767E7</v>
      </c>
      <c r="C34" s="6" t="s">
        <v>1608</v>
      </c>
      <c r="D34" s="6"/>
      <c r="E34" s="28">
        <v>41691.0</v>
      </c>
      <c r="F34" s="218">
        <f t="shared" si="1"/>
        <v>11</v>
      </c>
      <c r="G34" s="218" t="s">
        <v>1576</v>
      </c>
      <c r="H34" s="166"/>
      <c r="I34" s="219">
        <f t="shared" si="2"/>
        <v>0</v>
      </c>
      <c r="J34" s="219">
        <f t="shared" si="3"/>
        <v>0</v>
      </c>
      <c r="K34" s="222">
        <f t="shared" si="4"/>
        <v>1</v>
      </c>
      <c r="L34" s="223">
        <f t="shared" si="5"/>
        <v>0</v>
      </c>
    </row>
    <row r="35" ht="15.75" customHeight="1">
      <c r="A35" s="9">
        <v>35.0</v>
      </c>
      <c r="B35" s="10">
        <v>4.0873767E7</v>
      </c>
      <c r="C35" s="10" t="s">
        <v>1609</v>
      </c>
      <c r="D35" s="10"/>
      <c r="E35" s="30">
        <v>39970.0</v>
      </c>
      <c r="F35" s="221">
        <f t="shared" si="1"/>
        <v>16</v>
      </c>
      <c r="G35" s="221" t="s">
        <v>1576</v>
      </c>
      <c r="H35" s="161"/>
      <c r="I35" s="219">
        <f t="shared" si="2"/>
        <v>0</v>
      </c>
      <c r="J35" s="219">
        <f t="shared" si="3"/>
        <v>0</v>
      </c>
      <c r="K35" s="219">
        <f t="shared" si="4"/>
        <v>0</v>
      </c>
      <c r="L35" s="220">
        <f t="shared" si="5"/>
        <v>1</v>
      </c>
    </row>
    <row r="36" ht="15.75" customHeight="1">
      <c r="A36" s="5">
        <v>36.0</v>
      </c>
      <c r="B36" s="6">
        <v>2.9064893E7</v>
      </c>
      <c r="C36" s="6" t="s">
        <v>1610</v>
      </c>
      <c r="D36" s="6">
        <v>5.299061E7</v>
      </c>
      <c r="E36" s="28">
        <v>41330.0</v>
      </c>
      <c r="F36" s="218">
        <f t="shared" si="1"/>
        <v>12</v>
      </c>
      <c r="G36" s="218" t="s">
        <v>1576</v>
      </c>
      <c r="H36" s="166"/>
      <c r="I36" s="219">
        <f t="shared" si="2"/>
        <v>0</v>
      </c>
      <c r="J36" s="219">
        <f t="shared" si="3"/>
        <v>0</v>
      </c>
      <c r="K36" s="219">
        <f t="shared" si="4"/>
        <v>0</v>
      </c>
      <c r="L36" s="220">
        <f t="shared" si="5"/>
        <v>1</v>
      </c>
    </row>
    <row r="37" ht="15.75" customHeight="1">
      <c r="A37" s="9">
        <v>37.0</v>
      </c>
      <c r="B37" s="10">
        <v>2.9064893E7</v>
      </c>
      <c r="C37" s="10" t="s">
        <v>1611</v>
      </c>
      <c r="D37" s="10">
        <v>5.4039861E7</v>
      </c>
      <c r="E37" s="30">
        <v>41741.0</v>
      </c>
      <c r="F37" s="221">
        <f t="shared" si="1"/>
        <v>11</v>
      </c>
      <c r="G37" s="221" t="s">
        <v>1576</v>
      </c>
      <c r="H37" s="161"/>
      <c r="I37" s="219">
        <f t="shared" si="2"/>
        <v>0</v>
      </c>
      <c r="J37" s="219">
        <f t="shared" si="3"/>
        <v>0</v>
      </c>
      <c r="K37" s="222">
        <f t="shared" si="4"/>
        <v>1</v>
      </c>
      <c r="L37" s="223">
        <f t="shared" si="5"/>
        <v>0</v>
      </c>
    </row>
    <row r="38" ht="15.75" customHeight="1">
      <c r="A38" s="5">
        <v>38.0</v>
      </c>
      <c r="B38" s="6">
        <v>2.9064893E7</v>
      </c>
      <c r="C38" s="6" t="s">
        <v>1612</v>
      </c>
      <c r="D38" s="6">
        <v>5.2915598E7</v>
      </c>
      <c r="E38" s="28">
        <v>41312.0</v>
      </c>
      <c r="F38" s="218">
        <f t="shared" si="1"/>
        <v>12</v>
      </c>
      <c r="G38" s="218" t="s">
        <v>1576</v>
      </c>
      <c r="H38" s="166"/>
      <c r="I38" s="219">
        <f t="shared" si="2"/>
        <v>0</v>
      </c>
      <c r="J38" s="219">
        <f t="shared" si="3"/>
        <v>0</v>
      </c>
      <c r="K38" s="219">
        <f t="shared" si="4"/>
        <v>0</v>
      </c>
      <c r="L38" s="220">
        <f t="shared" si="5"/>
        <v>1</v>
      </c>
    </row>
    <row r="39" ht="15.75" customHeight="1">
      <c r="A39" s="9">
        <v>39.0</v>
      </c>
      <c r="B39" s="10">
        <v>1.0000001E7</v>
      </c>
      <c r="C39" s="10" t="s">
        <v>1613</v>
      </c>
      <c r="D39" s="10">
        <v>5.6252686E7</v>
      </c>
      <c r="E39" s="30">
        <v>42837.0</v>
      </c>
      <c r="F39" s="221">
        <f t="shared" si="1"/>
        <v>8</v>
      </c>
      <c r="G39" s="221" t="s">
        <v>1576</v>
      </c>
      <c r="H39" s="161"/>
      <c r="I39" s="219">
        <f t="shared" si="2"/>
        <v>0</v>
      </c>
      <c r="J39" s="222">
        <f t="shared" si="3"/>
        <v>1</v>
      </c>
      <c r="K39" s="219">
        <f t="shared" si="4"/>
        <v>0</v>
      </c>
      <c r="L39" s="223">
        <f t="shared" si="5"/>
        <v>0</v>
      </c>
    </row>
    <row r="40" ht="15.75" customHeight="1">
      <c r="A40" s="5">
        <v>40.0</v>
      </c>
      <c r="B40" s="6">
        <v>1.0000002E7</v>
      </c>
      <c r="C40" s="6" t="s">
        <v>1614</v>
      </c>
      <c r="D40" s="6">
        <v>5.2696388E7</v>
      </c>
      <c r="E40" s="28">
        <v>41149.0</v>
      </c>
      <c r="F40" s="218">
        <f t="shared" si="1"/>
        <v>13</v>
      </c>
      <c r="G40" s="218" t="s">
        <v>1576</v>
      </c>
      <c r="H40" s="166"/>
      <c r="I40" s="219">
        <f t="shared" si="2"/>
        <v>0</v>
      </c>
      <c r="J40" s="219">
        <f t="shared" si="3"/>
        <v>0</v>
      </c>
      <c r="K40" s="219">
        <f t="shared" si="4"/>
        <v>0</v>
      </c>
      <c r="L40" s="220">
        <f t="shared" si="5"/>
        <v>1</v>
      </c>
    </row>
    <row r="41" ht="15.75" customHeight="1">
      <c r="A41" s="9">
        <v>41.0</v>
      </c>
      <c r="B41" s="10">
        <v>1.0000003E7</v>
      </c>
      <c r="C41" s="10" t="s">
        <v>1615</v>
      </c>
      <c r="D41" s="10">
        <v>5.5075344E7</v>
      </c>
      <c r="E41" s="30">
        <v>42291.0</v>
      </c>
      <c r="F41" s="221">
        <f t="shared" si="1"/>
        <v>10</v>
      </c>
      <c r="G41" s="221" t="s">
        <v>1576</v>
      </c>
      <c r="H41" s="161"/>
      <c r="I41" s="219">
        <f t="shared" si="2"/>
        <v>0</v>
      </c>
      <c r="J41" s="219">
        <f t="shared" si="3"/>
        <v>0</v>
      </c>
      <c r="K41" s="222">
        <f t="shared" si="4"/>
        <v>1</v>
      </c>
      <c r="L41" s="223">
        <f t="shared" si="5"/>
        <v>0</v>
      </c>
    </row>
    <row r="42" ht="15.75" customHeight="1">
      <c r="A42" s="5">
        <v>42.0</v>
      </c>
      <c r="B42" s="6">
        <v>1.0000004E7</v>
      </c>
      <c r="C42" s="6" t="s">
        <v>1616</v>
      </c>
      <c r="D42" s="6">
        <v>5.7103234E7</v>
      </c>
      <c r="E42" s="28">
        <v>43246.0</v>
      </c>
      <c r="F42" s="218">
        <f t="shared" si="1"/>
        <v>7</v>
      </c>
      <c r="G42" s="218" t="s">
        <v>1576</v>
      </c>
      <c r="H42" s="166"/>
      <c r="I42" s="219">
        <f t="shared" si="2"/>
        <v>0</v>
      </c>
      <c r="J42" s="222">
        <f t="shared" si="3"/>
        <v>1</v>
      </c>
      <c r="K42" s="219">
        <f t="shared" si="4"/>
        <v>0</v>
      </c>
      <c r="L42" s="223">
        <f t="shared" si="5"/>
        <v>0</v>
      </c>
    </row>
    <row r="43" ht="15.75" customHeight="1">
      <c r="A43" s="9">
        <v>43.0</v>
      </c>
      <c r="B43" s="10">
        <v>1.0000005E7</v>
      </c>
      <c r="C43" s="10" t="s">
        <v>1617</v>
      </c>
      <c r="D43" s="10">
        <v>4.7170109E7</v>
      </c>
      <c r="E43" s="30">
        <v>38780.0</v>
      </c>
      <c r="F43" s="221">
        <f t="shared" si="1"/>
        <v>19</v>
      </c>
      <c r="G43" s="221" t="s">
        <v>1576</v>
      </c>
      <c r="H43" s="161"/>
      <c r="I43" s="219">
        <f t="shared" si="2"/>
        <v>0</v>
      </c>
      <c r="J43" s="219">
        <f t="shared" si="3"/>
        <v>0</v>
      </c>
      <c r="K43" s="219">
        <f t="shared" si="4"/>
        <v>0</v>
      </c>
      <c r="L43" s="220">
        <f t="shared" si="5"/>
        <v>1</v>
      </c>
    </row>
    <row r="44" ht="15.75" customHeight="1">
      <c r="A44" s="5">
        <v>44.0</v>
      </c>
      <c r="B44" s="6">
        <v>1.0000006E7</v>
      </c>
      <c r="C44" s="6" t="s">
        <v>1618</v>
      </c>
      <c r="D44" s="6">
        <v>5.4215352E7</v>
      </c>
      <c r="E44" s="28">
        <v>41894.0</v>
      </c>
      <c r="F44" s="218">
        <f t="shared" si="1"/>
        <v>11</v>
      </c>
      <c r="G44" s="218" t="s">
        <v>1576</v>
      </c>
      <c r="H44" s="166"/>
      <c r="I44" s="219">
        <f t="shared" si="2"/>
        <v>0</v>
      </c>
      <c r="J44" s="219">
        <f t="shared" si="3"/>
        <v>0</v>
      </c>
      <c r="K44" s="222">
        <f t="shared" si="4"/>
        <v>1</v>
      </c>
      <c r="L44" s="223">
        <f t="shared" si="5"/>
        <v>0</v>
      </c>
    </row>
    <row r="45" ht="15.75" customHeight="1">
      <c r="A45" s="9">
        <v>45.0</v>
      </c>
      <c r="B45" s="10">
        <v>1.0000006E7</v>
      </c>
      <c r="C45" s="10" t="s">
        <v>1619</v>
      </c>
      <c r="D45" s="10">
        <v>5.6784336E7</v>
      </c>
      <c r="E45" s="30">
        <v>43134.0</v>
      </c>
      <c r="F45" s="221">
        <f t="shared" si="1"/>
        <v>7</v>
      </c>
      <c r="G45" s="221" t="s">
        <v>1576</v>
      </c>
      <c r="H45" s="161"/>
      <c r="I45" s="219">
        <f t="shared" si="2"/>
        <v>0</v>
      </c>
      <c r="J45" s="222">
        <f t="shared" si="3"/>
        <v>1</v>
      </c>
      <c r="K45" s="219">
        <f t="shared" si="4"/>
        <v>0</v>
      </c>
      <c r="L45" s="223">
        <f t="shared" si="5"/>
        <v>0</v>
      </c>
    </row>
    <row r="46" ht="15.75" customHeight="1">
      <c r="A46" s="5">
        <v>46.0</v>
      </c>
      <c r="B46" s="6">
        <v>1.0000006E7</v>
      </c>
      <c r="C46" s="6" t="s">
        <v>1620</v>
      </c>
      <c r="D46" s="6">
        <v>5.95585E7</v>
      </c>
      <c r="E46" s="28">
        <v>44610.0</v>
      </c>
      <c r="F46" s="218">
        <f t="shared" si="1"/>
        <v>3</v>
      </c>
      <c r="G46" s="218" t="s">
        <v>1576</v>
      </c>
      <c r="H46" s="166"/>
      <c r="I46" s="219">
        <f t="shared" si="2"/>
        <v>0</v>
      </c>
      <c r="J46" s="219">
        <f t="shared" si="3"/>
        <v>0</v>
      </c>
      <c r="K46" s="219">
        <f t="shared" si="4"/>
        <v>0</v>
      </c>
      <c r="L46" s="223">
        <f t="shared" si="5"/>
        <v>0</v>
      </c>
    </row>
    <row r="47" ht="15.75" customHeight="1">
      <c r="A47" s="9">
        <v>47.0</v>
      </c>
      <c r="B47" s="10">
        <v>1.0000007E7</v>
      </c>
      <c r="C47" s="10" t="s">
        <v>1621</v>
      </c>
      <c r="D47" s="10">
        <v>5.3878036E7</v>
      </c>
      <c r="E47" s="30">
        <v>41694.0</v>
      </c>
      <c r="F47" s="221">
        <f t="shared" si="1"/>
        <v>11</v>
      </c>
      <c r="G47" s="221" t="s">
        <v>1576</v>
      </c>
      <c r="H47" s="161"/>
      <c r="I47" s="219">
        <f t="shared" si="2"/>
        <v>0</v>
      </c>
      <c r="J47" s="219">
        <f t="shared" si="3"/>
        <v>0</v>
      </c>
      <c r="K47" s="222">
        <f t="shared" si="4"/>
        <v>1</v>
      </c>
      <c r="L47" s="223">
        <f t="shared" si="5"/>
        <v>0</v>
      </c>
    </row>
    <row r="48" ht="15.75" customHeight="1">
      <c r="A48" s="5">
        <v>48.0</v>
      </c>
      <c r="B48" s="6">
        <v>1.0000007E7</v>
      </c>
      <c r="C48" s="6" t="s">
        <v>1622</v>
      </c>
      <c r="D48" s="6">
        <v>5.6865794E7</v>
      </c>
      <c r="E48" s="28">
        <v>43143.0</v>
      </c>
      <c r="F48" s="218">
        <f t="shared" si="1"/>
        <v>7</v>
      </c>
      <c r="G48" s="218" t="s">
        <v>1576</v>
      </c>
      <c r="H48" s="166"/>
      <c r="I48" s="219">
        <f t="shared" si="2"/>
        <v>0</v>
      </c>
      <c r="J48" s="222">
        <f t="shared" si="3"/>
        <v>1</v>
      </c>
      <c r="K48" s="219">
        <f t="shared" si="4"/>
        <v>0</v>
      </c>
      <c r="L48" s="223">
        <f t="shared" si="5"/>
        <v>0</v>
      </c>
    </row>
    <row r="49" ht="15.75" customHeight="1">
      <c r="A49" s="9">
        <v>49.0</v>
      </c>
      <c r="B49" s="10">
        <v>1.0000008E7</v>
      </c>
      <c r="C49" s="10" t="s">
        <v>1623</v>
      </c>
      <c r="D49" s="10">
        <v>5.7172279E7</v>
      </c>
      <c r="E49" s="30">
        <v>43316.0</v>
      </c>
      <c r="F49" s="221">
        <f t="shared" si="1"/>
        <v>7</v>
      </c>
      <c r="G49" s="221" t="s">
        <v>1576</v>
      </c>
      <c r="H49" s="161"/>
      <c r="I49" s="219">
        <f t="shared" si="2"/>
        <v>0</v>
      </c>
      <c r="J49" s="222">
        <f t="shared" si="3"/>
        <v>1</v>
      </c>
      <c r="K49" s="219">
        <f t="shared" si="4"/>
        <v>0</v>
      </c>
      <c r="L49" s="223">
        <f t="shared" si="5"/>
        <v>0</v>
      </c>
    </row>
    <row r="50" ht="15.75" customHeight="1">
      <c r="A50" s="5">
        <v>50.0</v>
      </c>
      <c r="B50" s="6">
        <v>1.0000009E7</v>
      </c>
      <c r="C50" s="6" t="s">
        <v>1624</v>
      </c>
      <c r="D50" s="6">
        <v>5.5690082E7</v>
      </c>
      <c r="E50" s="28">
        <v>42557.0</v>
      </c>
      <c r="F50" s="218">
        <f t="shared" si="1"/>
        <v>9</v>
      </c>
      <c r="G50" s="218" t="s">
        <v>1576</v>
      </c>
      <c r="H50" s="166"/>
      <c r="I50" s="219">
        <f t="shared" si="2"/>
        <v>0</v>
      </c>
      <c r="J50" s="219">
        <f t="shared" si="3"/>
        <v>0</v>
      </c>
      <c r="K50" s="222">
        <f t="shared" si="4"/>
        <v>1</v>
      </c>
      <c r="L50" s="223">
        <f t="shared" si="5"/>
        <v>0</v>
      </c>
    </row>
    <row r="51" ht="15.75" customHeight="1">
      <c r="A51" s="9">
        <v>51.0</v>
      </c>
      <c r="B51" s="10">
        <v>1.000001E7</v>
      </c>
      <c r="C51" s="10" t="s">
        <v>1625</v>
      </c>
      <c r="D51" s="10">
        <v>5.5070052E7</v>
      </c>
      <c r="E51" s="30">
        <v>42265.0</v>
      </c>
      <c r="F51" s="221">
        <f t="shared" si="1"/>
        <v>10</v>
      </c>
      <c r="G51" s="221" t="s">
        <v>1576</v>
      </c>
      <c r="H51" s="161"/>
      <c r="I51" s="219">
        <f t="shared" si="2"/>
        <v>0</v>
      </c>
      <c r="J51" s="219">
        <f t="shared" si="3"/>
        <v>0</v>
      </c>
      <c r="K51" s="222">
        <f t="shared" si="4"/>
        <v>1</v>
      </c>
      <c r="L51" s="223">
        <f t="shared" si="5"/>
        <v>0</v>
      </c>
    </row>
    <row r="52" ht="15.75" customHeight="1">
      <c r="A52" s="5">
        <v>52.0</v>
      </c>
      <c r="B52" s="6">
        <v>1.000001E7</v>
      </c>
      <c r="C52" s="6" t="s">
        <v>1626</v>
      </c>
      <c r="D52" s="6">
        <v>5.1220905E7</v>
      </c>
      <c r="E52" s="28">
        <v>40712.0</v>
      </c>
      <c r="F52" s="218">
        <f t="shared" si="1"/>
        <v>14</v>
      </c>
      <c r="G52" s="218" t="s">
        <v>1576</v>
      </c>
      <c r="H52" s="166"/>
      <c r="I52" s="219">
        <f t="shared" si="2"/>
        <v>0</v>
      </c>
      <c r="J52" s="219">
        <f t="shared" si="3"/>
        <v>0</v>
      </c>
      <c r="K52" s="219">
        <f t="shared" si="4"/>
        <v>0</v>
      </c>
      <c r="L52" s="220">
        <f t="shared" si="5"/>
        <v>1</v>
      </c>
    </row>
    <row r="53" ht="15.75" customHeight="1">
      <c r="A53" s="9">
        <v>53.0</v>
      </c>
      <c r="B53" s="10">
        <v>1.0000011E7</v>
      </c>
      <c r="C53" s="10" t="s">
        <v>1627</v>
      </c>
      <c r="D53" s="10">
        <v>5.5604251E7</v>
      </c>
      <c r="E53" s="30">
        <v>42524.0</v>
      </c>
      <c r="F53" s="221">
        <f t="shared" si="1"/>
        <v>9</v>
      </c>
      <c r="G53" s="221" t="s">
        <v>1576</v>
      </c>
      <c r="H53" s="161"/>
      <c r="I53" s="219">
        <f t="shared" si="2"/>
        <v>0</v>
      </c>
      <c r="J53" s="219">
        <f t="shared" si="3"/>
        <v>0</v>
      </c>
      <c r="K53" s="222">
        <f t="shared" si="4"/>
        <v>1</v>
      </c>
      <c r="L53" s="223">
        <f t="shared" si="5"/>
        <v>0</v>
      </c>
    </row>
    <row r="54" ht="15.75" customHeight="1">
      <c r="A54" s="5">
        <v>54.0</v>
      </c>
      <c r="B54" s="6">
        <v>1.0000012E7</v>
      </c>
      <c r="C54" s="6" t="s">
        <v>1628</v>
      </c>
      <c r="D54" s="6">
        <v>4.8239121E7</v>
      </c>
      <c r="E54" s="28">
        <v>39364.0</v>
      </c>
      <c r="F54" s="218">
        <f t="shared" si="1"/>
        <v>18</v>
      </c>
      <c r="G54" s="218" t="s">
        <v>1576</v>
      </c>
      <c r="H54" s="166"/>
      <c r="I54" s="219">
        <f t="shared" si="2"/>
        <v>0</v>
      </c>
      <c r="J54" s="219">
        <f t="shared" si="3"/>
        <v>0</v>
      </c>
      <c r="K54" s="219">
        <f t="shared" si="4"/>
        <v>0</v>
      </c>
      <c r="L54" s="220">
        <f t="shared" si="5"/>
        <v>1</v>
      </c>
    </row>
    <row r="55" ht="15.75" customHeight="1">
      <c r="A55" s="9">
        <v>55.0</v>
      </c>
      <c r="B55" s="10">
        <v>1.0000012E7</v>
      </c>
      <c r="C55" s="10" t="s">
        <v>1629</v>
      </c>
      <c r="D55" s="10">
        <v>5.3085021E7</v>
      </c>
      <c r="E55" s="30">
        <v>41377.0</v>
      </c>
      <c r="F55" s="221">
        <f t="shared" si="1"/>
        <v>12</v>
      </c>
      <c r="G55" s="221" t="s">
        <v>1576</v>
      </c>
      <c r="H55" s="161"/>
      <c r="I55" s="219">
        <f t="shared" si="2"/>
        <v>0</v>
      </c>
      <c r="J55" s="219">
        <f t="shared" si="3"/>
        <v>0</v>
      </c>
      <c r="K55" s="219">
        <f t="shared" si="4"/>
        <v>0</v>
      </c>
      <c r="L55" s="220">
        <f t="shared" si="5"/>
        <v>1</v>
      </c>
    </row>
    <row r="56" ht="15.75" customHeight="1">
      <c r="A56" s="5">
        <v>56.0</v>
      </c>
      <c r="B56" s="6">
        <v>1.0000013E7</v>
      </c>
      <c r="C56" s="6" t="s">
        <v>1630</v>
      </c>
      <c r="D56" s="6">
        <v>5.4631191E7</v>
      </c>
      <c r="E56" s="28">
        <v>42067.0</v>
      </c>
      <c r="F56" s="218">
        <f t="shared" si="1"/>
        <v>10</v>
      </c>
      <c r="G56" s="218" t="s">
        <v>1576</v>
      </c>
      <c r="H56" s="166"/>
      <c r="I56" s="219">
        <f t="shared" si="2"/>
        <v>0</v>
      </c>
      <c r="J56" s="219">
        <f t="shared" si="3"/>
        <v>0</v>
      </c>
      <c r="K56" s="222">
        <f t="shared" si="4"/>
        <v>1</v>
      </c>
      <c r="L56" s="223">
        <f t="shared" si="5"/>
        <v>0</v>
      </c>
    </row>
    <row r="57" ht="15.75" customHeight="1">
      <c r="A57" s="9">
        <v>59.0</v>
      </c>
      <c r="B57" s="10">
        <v>1.0000015E7</v>
      </c>
      <c r="C57" s="10" t="s">
        <v>1631</v>
      </c>
      <c r="D57" s="10">
        <v>5.5696264E7</v>
      </c>
      <c r="E57" s="30">
        <v>42576.0</v>
      </c>
      <c r="F57" s="221">
        <f t="shared" si="1"/>
        <v>9</v>
      </c>
      <c r="G57" s="221" t="s">
        <v>1576</v>
      </c>
      <c r="H57" s="161"/>
      <c r="I57" s="219">
        <f t="shared" si="2"/>
        <v>0</v>
      </c>
      <c r="J57" s="219">
        <f t="shared" si="3"/>
        <v>0</v>
      </c>
      <c r="K57" s="222">
        <f t="shared" si="4"/>
        <v>1</v>
      </c>
      <c r="L57" s="223">
        <f t="shared" si="5"/>
        <v>0</v>
      </c>
    </row>
    <row r="58" ht="15.75" customHeight="1">
      <c r="A58" s="5">
        <v>60.0</v>
      </c>
      <c r="B58" s="6">
        <v>1.0000015E7</v>
      </c>
      <c r="C58" s="6" t="s">
        <v>1632</v>
      </c>
      <c r="D58" s="6">
        <v>5.6992871E7</v>
      </c>
      <c r="E58" s="28">
        <v>43170.0</v>
      </c>
      <c r="F58" s="218">
        <f t="shared" si="1"/>
        <v>7</v>
      </c>
      <c r="G58" s="218" t="s">
        <v>1576</v>
      </c>
      <c r="H58" s="166"/>
      <c r="I58" s="219">
        <f t="shared" si="2"/>
        <v>0</v>
      </c>
      <c r="J58" s="222">
        <f t="shared" si="3"/>
        <v>1</v>
      </c>
      <c r="K58" s="219">
        <f t="shared" si="4"/>
        <v>0</v>
      </c>
      <c r="L58" s="223">
        <f t="shared" si="5"/>
        <v>0</v>
      </c>
    </row>
    <row r="59" ht="15.75" customHeight="1">
      <c r="A59" s="9">
        <v>61.0</v>
      </c>
      <c r="B59" s="10">
        <v>1.906315E7</v>
      </c>
      <c r="C59" s="10" t="s">
        <v>1633</v>
      </c>
      <c r="D59" s="10">
        <v>4.8463113E7</v>
      </c>
      <c r="E59" s="30">
        <v>39475.0</v>
      </c>
      <c r="F59" s="221">
        <f t="shared" si="1"/>
        <v>17</v>
      </c>
      <c r="G59" s="221" t="s">
        <v>1576</v>
      </c>
      <c r="H59" s="161"/>
      <c r="I59" s="219">
        <f t="shared" si="2"/>
        <v>0</v>
      </c>
      <c r="J59" s="219">
        <f t="shared" si="3"/>
        <v>0</v>
      </c>
      <c r="K59" s="219">
        <f t="shared" si="4"/>
        <v>0</v>
      </c>
      <c r="L59" s="220">
        <f t="shared" si="5"/>
        <v>1</v>
      </c>
    </row>
    <row r="60" ht="15.75" customHeight="1">
      <c r="A60" s="5">
        <v>62.0</v>
      </c>
      <c r="B60" s="6">
        <v>1.906315E7</v>
      </c>
      <c r="C60" s="6" t="s">
        <v>1634</v>
      </c>
      <c r="D60" s="6">
        <v>5.0437489E7</v>
      </c>
      <c r="E60" s="28">
        <v>40381.0</v>
      </c>
      <c r="F60" s="218">
        <f t="shared" si="1"/>
        <v>15</v>
      </c>
      <c r="G60" s="218" t="s">
        <v>1576</v>
      </c>
      <c r="H60" s="166"/>
      <c r="I60" s="219">
        <f t="shared" si="2"/>
        <v>0</v>
      </c>
      <c r="J60" s="219">
        <f t="shared" si="3"/>
        <v>0</v>
      </c>
      <c r="K60" s="219">
        <f t="shared" si="4"/>
        <v>0</v>
      </c>
      <c r="L60" s="220">
        <f t="shared" si="5"/>
        <v>1</v>
      </c>
    </row>
    <row r="61" ht="15.75" customHeight="1">
      <c r="A61" s="9">
        <v>63.0</v>
      </c>
      <c r="B61" s="10">
        <v>2.2447579E7</v>
      </c>
      <c r="C61" s="10" t="s">
        <v>1635</v>
      </c>
      <c r="D61" s="10">
        <v>4.7489951E7</v>
      </c>
      <c r="E61" s="30">
        <v>39005.0</v>
      </c>
      <c r="F61" s="221">
        <f t="shared" si="1"/>
        <v>19</v>
      </c>
      <c r="G61" s="221" t="s">
        <v>1576</v>
      </c>
      <c r="H61" s="161"/>
      <c r="I61" s="219">
        <f t="shared" si="2"/>
        <v>0</v>
      </c>
      <c r="J61" s="219">
        <f t="shared" si="3"/>
        <v>0</v>
      </c>
      <c r="K61" s="219">
        <f t="shared" si="4"/>
        <v>0</v>
      </c>
      <c r="L61" s="220">
        <f t="shared" si="5"/>
        <v>1</v>
      </c>
    </row>
    <row r="62" ht="15.75" customHeight="1">
      <c r="A62" s="5">
        <v>64.0</v>
      </c>
      <c r="B62" s="6">
        <v>2.2447579E7</v>
      </c>
      <c r="C62" s="6" t="s">
        <v>1636</v>
      </c>
      <c r="D62" s="6">
        <v>4.900615E7</v>
      </c>
      <c r="E62" s="28">
        <v>39713.0</v>
      </c>
      <c r="F62" s="218">
        <f t="shared" si="1"/>
        <v>17</v>
      </c>
      <c r="G62" s="218" t="s">
        <v>1576</v>
      </c>
      <c r="H62" s="166"/>
      <c r="I62" s="219">
        <f t="shared" si="2"/>
        <v>0</v>
      </c>
      <c r="J62" s="219">
        <f t="shared" si="3"/>
        <v>0</v>
      </c>
      <c r="K62" s="219">
        <f t="shared" si="4"/>
        <v>0</v>
      </c>
      <c r="L62" s="220">
        <f t="shared" si="5"/>
        <v>1</v>
      </c>
    </row>
    <row r="63" ht="15.75" customHeight="1">
      <c r="A63" s="9">
        <v>65.0</v>
      </c>
      <c r="B63" s="10">
        <v>2.2826482E7</v>
      </c>
      <c r="C63" s="10" t="s">
        <v>1637</v>
      </c>
      <c r="D63" s="10">
        <v>5.2139693E7</v>
      </c>
      <c r="E63" s="30">
        <v>40920.0</v>
      </c>
      <c r="F63" s="221">
        <f t="shared" si="1"/>
        <v>13</v>
      </c>
      <c r="G63" s="221" t="s">
        <v>1576</v>
      </c>
      <c r="H63" s="161"/>
      <c r="I63" s="219">
        <f t="shared" si="2"/>
        <v>0</v>
      </c>
      <c r="J63" s="219">
        <f t="shared" si="3"/>
        <v>0</v>
      </c>
      <c r="K63" s="219">
        <f t="shared" si="4"/>
        <v>0</v>
      </c>
      <c r="L63" s="220">
        <f t="shared" si="5"/>
        <v>1</v>
      </c>
    </row>
    <row r="64" ht="15.75" customHeight="1">
      <c r="A64" s="5">
        <v>66.0</v>
      </c>
      <c r="B64" s="6">
        <v>2.2826482E7</v>
      </c>
      <c r="C64" s="6" t="s">
        <v>1638</v>
      </c>
      <c r="D64" s="6"/>
      <c r="E64" s="28">
        <v>40163.0</v>
      </c>
      <c r="F64" s="218">
        <f t="shared" si="1"/>
        <v>16</v>
      </c>
      <c r="G64" s="218" t="s">
        <v>1576</v>
      </c>
      <c r="H64" s="166"/>
      <c r="I64" s="219">
        <f t="shared" si="2"/>
        <v>0</v>
      </c>
      <c r="J64" s="219">
        <f t="shared" si="3"/>
        <v>0</v>
      </c>
      <c r="K64" s="219">
        <f t="shared" si="4"/>
        <v>0</v>
      </c>
      <c r="L64" s="220">
        <f t="shared" si="5"/>
        <v>1</v>
      </c>
    </row>
    <row r="65" ht="15.75" customHeight="1">
      <c r="A65" s="9">
        <v>67.0</v>
      </c>
      <c r="B65" s="10">
        <v>2.2982124E7</v>
      </c>
      <c r="C65" s="10" t="s">
        <v>1639</v>
      </c>
      <c r="D65" s="10">
        <v>4.9982218E7</v>
      </c>
      <c r="E65" s="30">
        <v>40191.0</v>
      </c>
      <c r="F65" s="221">
        <f t="shared" si="1"/>
        <v>15</v>
      </c>
      <c r="G65" s="221" t="s">
        <v>1576</v>
      </c>
      <c r="H65" s="161"/>
      <c r="I65" s="219">
        <f t="shared" si="2"/>
        <v>0</v>
      </c>
      <c r="J65" s="219">
        <f t="shared" si="3"/>
        <v>0</v>
      </c>
      <c r="K65" s="219">
        <f t="shared" si="4"/>
        <v>0</v>
      </c>
      <c r="L65" s="220">
        <f t="shared" si="5"/>
        <v>1</v>
      </c>
    </row>
    <row r="66" ht="15.75" customHeight="1">
      <c r="A66" s="5">
        <v>68.0</v>
      </c>
      <c r="B66" s="6">
        <v>2.2986617E7</v>
      </c>
      <c r="C66" s="6" t="s">
        <v>1640</v>
      </c>
      <c r="D66" s="6">
        <v>5.5761712E7</v>
      </c>
      <c r="E66" s="28">
        <v>43410.0</v>
      </c>
      <c r="F66" s="218">
        <f t="shared" si="1"/>
        <v>7</v>
      </c>
      <c r="G66" s="218" t="s">
        <v>1576</v>
      </c>
      <c r="H66" s="166"/>
      <c r="I66" s="219">
        <f t="shared" si="2"/>
        <v>0</v>
      </c>
      <c r="J66" s="222">
        <f t="shared" si="3"/>
        <v>1</v>
      </c>
      <c r="K66" s="219">
        <f t="shared" si="4"/>
        <v>0</v>
      </c>
      <c r="L66" s="223">
        <f t="shared" si="5"/>
        <v>0</v>
      </c>
    </row>
    <row r="67" ht="15.75" customHeight="1">
      <c r="A67" s="9">
        <v>69.0</v>
      </c>
      <c r="B67" s="10">
        <v>2.3506497E7</v>
      </c>
      <c r="C67" s="10" t="s">
        <v>1641</v>
      </c>
      <c r="D67" s="10">
        <v>4.7575244E7</v>
      </c>
      <c r="E67" s="30">
        <v>39062.0</v>
      </c>
      <c r="F67" s="221">
        <f t="shared" si="1"/>
        <v>19</v>
      </c>
      <c r="G67" s="221" t="s">
        <v>1576</v>
      </c>
      <c r="H67" s="161"/>
      <c r="I67" s="219">
        <f t="shared" si="2"/>
        <v>0</v>
      </c>
      <c r="J67" s="219">
        <f t="shared" si="3"/>
        <v>0</v>
      </c>
      <c r="K67" s="219">
        <f t="shared" si="4"/>
        <v>0</v>
      </c>
      <c r="L67" s="220">
        <f t="shared" si="5"/>
        <v>1</v>
      </c>
    </row>
    <row r="68" ht="15.75" customHeight="1">
      <c r="A68" s="5">
        <v>70.0</v>
      </c>
      <c r="B68" s="6">
        <v>2.3506497E7</v>
      </c>
      <c r="C68" s="6" t="s">
        <v>1642</v>
      </c>
      <c r="D68" s="6"/>
      <c r="E68" s="28">
        <v>36500.0</v>
      </c>
      <c r="F68" s="218">
        <f t="shared" si="1"/>
        <v>26</v>
      </c>
      <c r="G68" s="218" t="s">
        <v>1576</v>
      </c>
      <c r="H68" s="166"/>
      <c r="I68" s="219">
        <f t="shared" si="2"/>
        <v>0</v>
      </c>
      <c r="J68" s="219">
        <f t="shared" si="3"/>
        <v>0</v>
      </c>
      <c r="K68" s="219">
        <f t="shared" si="4"/>
        <v>0</v>
      </c>
      <c r="L68" s="223">
        <f t="shared" si="5"/>
        <v>0</v>
      </c>
    </row>
    <row r="69" ht="15.75" customHeight="1">
      <c r="A69" s="9">
        <v>71.0</v>
      </c>
      <c r="B69" s="10">
        <v>2.3696368E7</v>
      </c>
      <c r="C69" s="10" t="s">
        <v>1643</v>
      </c>
      <c r="D69" s="10">
        <v>5.1221884E7</v>
      </c>
      <c r="E69" s="30">
        <v>40757.0</v>
      </c>
      <c r="F69" s="221">
        <f t="shared" si="1"/>
        <v>14</v>
      </c>
      <c r="G69" s="221" t="s">
        <v>1576</v>
      </c>
      <c r="H69" s="161"/>
      <c r="I69" s="219">
        <f t="shared" si="2"/>
        <v>0</v>
      </c>
      <c r="J69" s="219">
        <f t="shared" si="3"/>
        <v>0</v>
      </c>
      <c r="K69" s="219">
        <f t="shared" si="4"/>
        <v>0</v>
      </c>
      <c r="L69" s="220">
        <f t="shared" si="5"/>
        <v>1</v>
      </c>
    </row>
    <row r="70" ht="15.75" customHeight="1">
      <c r="A70" s="5">
        <v>72.0</v>
      </c>
      <c r="B70" s="6">
        <v>2.4033237E7</v>
      </c>
      <c r="C70" s="6" t="s">
        <v>1644</v>
      </c>
      <c r="D70" s="6"/>
      <c r="E70" s="28">
        <v>39448.0</v>
      </c>
      <c r="F70" s="218">
        <f t="shared" si="1"/>
        <v>17</v>
      </c>
      <c r="G70" s="218" t="s">
        <v>1576</v>
      </c>
      <c r="H70" s="166"/>
      <c r="I70" s="219">
        <f t="shared" si="2"/>
        <v>0</v>
      </c>
      <c r="J70" s="219">
        <f t="shared" si="3"/>
        <v>0</v>
      </c>
      <c r="K70" s="219">
        <f t="shared" si="4"/>
        <v>0</v>
      </c>
      <c r="L70" s="220">
        <f t="shared" si="5"/>
        <v>1</v>
      </c>
    </row>
    <row r="71" ht="15.75" customHeight="1">
      <c r="A71" s="9">
        <v>73.0</v>
      </c>
      <c r="B71" s="10">
        <v>2.4033237E7</v>
      </c>
      <c r="C71" s="10" t="s">
        <v>1645</v>
      </c>
      <c r="D71" s="10"/>
      <c r="E71" s="30">
        <v>40909.0</v>
      </c>
      <c r="F71" s="221">
        <f t="shared" si="1"/>
        <v>13</v>
      </c>
      <c r="G71" s="221" t="s">
        <v>1576</v>
      </c>
      <c r="H71" s="161"/>
      <c r="I71" s="219">
        <f t="shared" si="2"/>
        <v>0</v>
      </c>
      <c r="J71" s="219">
        <f t="shared" si="3"/>
        <v>0</v>
      </c>
      <c r="K71" s="219">
        <f t="shared" si="4"/>
        <v>0</v>
      </c>
      <c r="L71" s="220">
        <f t="shared" si="5"/>
        <v>1</v>
      </c>
    </row>
    <row r="72" ht="15.75" customHeight="1">
      <c r="A72" s="5">
        <v>75.0</v>
      </c>
      <c r="B72" s="6">
        <v>2.5681364E7</v>
      </c>
      <c r="C72" s="6" t="s">
        <v>1646</v>
      </c>
      <c r="D72" s="6">
        <v>5.2768578E7</v>
      </c>
      <c r="E72" s="28">
        <v>41242.0</v>
      </c>
      <c r="F72" s="218">
        <f t="shared" si="1"/>
        <v>13</v>
      </c>
      <c r="G72" s="218" t="s">
        <v>1576</v>
      </c>
      <c r="H72" s="166"/>
      <c r="I72" s="219">
        <f t="shared" si="2"/>
        <v>0</v>
      </c>
      <c r="J72" s="219">
        <f t="shared" si="3"/>
        <v>0</v>
      </c>
      <c r="K72" s="219">
        <f t="shared" si="4"/>
        <v>0</v>
      </c>
      <c r="L72" s="220">
        <f t="shared" si="5"/>
        <v>1</v>
      </c>
    </row>
    <row r="73" ht="15.75" customHeight="1">
      <c r="A73" s="9">
        <v>76.0</v>
      </c>
      <c r="B73" s="10">
        <v>2.5847688E7</v>
      </c>
      <c r="C73" s="10" t="s">
        <v>1647</v>
      </c>
      <c r="D73" s="10">
        <v>4.8446084E7</v>
      </c>
      <c r="E73" s="30">
        <v>39469.0</v>
      </c>
      <c r="F73" s="221">
        <f t="shared" si="1"/>
        <v>17</v>
      </c>
      <c r="G73" s="221" t="s">
        <v>1576</v>
      </c>
      <c r="H73" s="161"/>
      <c r="I73" s="219">
        <f t="shared" si="2"/>
        <v>0</v>
      </c>
      <c r="J73" s="219">
        <f t="shared" si="3"/>
        <v>0</v>
      </c>
      <c r="K73" s="219">
        <f t="shared" si="4"/>
        <v>0</v>
      </c>
      <c r="L73" s="220">
        <f t="shared" si="5"/>
        <v>1</v>
      </c>
    </row>
    <row r="74" ht="15.75" customHeight="1">
      <c r="A74" s="5">
        <v>77.0</v>
      </c>
      <c r="B74" s="6">
        <v>2.5847688E7</v>
      </c>
      <c r="C74" s="6" t="s">
        <v>1648</v>
      </c>
      <c r="D74" s="6">
        <v>5.7018907E7</v>
      </c>
      <c r="E74" s="28">
        <v>43220.0</v>
      </c>
      <c r="F74" s="218">
        <f t="shared" si="1"/>
        <v>7</v>
      </c>
      <c r="G74" s="218" t="s">
        <v>1576</v>
      </c>
      <c r="H74" s="166"/>
      <c r="I74" s="219">
        <f t="shared" si="2"/>
        <v>0</v>
      </c>
      <c r="J74" s="222">
        <f t="shared" si="3"/>
        <v>1</v>
      </c>
      <c r="K74" s="219">
        <f t="shared" si="4"/>
        <v>0</v>
      </c>
      <c r="L74" s="223">
        <f t="shared" si="5"/>
        <v>0</v>
      </c>
    </row>
    <row r="75" ht="15.75" customHeight="1">
      <c r="A75" s="9">
        <v>78.0</v>
      </c>
      <c r="B75" s="10">
        <v>2.7259537E7</v>
      </c>
      <c r="C75" s="10" t="s">
        <v>1649</v>
      </c>
      <c r="D75" s="10">
        <v>5.0678363E7</v>
      </c>
      <c r="E75" s="30">
        <v>40455.0</v>
      </c>
      <c r="F75" s="221">
        <f t="shared" si="1"/>
        <v>15</v>
      </c>
      <c r="G75" s="221" t="s">
        <v>1576</v>
      </c>
      <c r="H75" s="161"/>
      <c r="I75" s="219">
        <f t="shared" si="2"/>
        <v>0</v>
      </c>
      <c r="J75" s="219">
        <f t="shared" si="3"/>
        <v>0</v>
      </c>
      <c r="K75" s="219">
        <f t="shared" si="4"/>
        <v>0</v>
      </c>
      <c r="L75" s="220">
        <f t="shared" si="5"/>
        <v>1</v>
      </c>
    </row>
    <row r="76" ht="15.75" customHeight="1">
      <c r="A76" s="5">
        <v>79.0</v>
      </c>
      <c r="B76" s="6">
        <v>2.7259537E7</v>
      </c>
      <c r="C76" s="6" t="s">
        <v>1650</v>
      </c>
      <c r="D76" s="6">
        <v>5.2656821E7</v>
      </c>
      <c r="E76" s="28">
        <v>41121.0</v>
      </c>
      <c r="F76" s="218">
        <f t="shared" si="1"/>
        <v>13</v>
      </c>
      <c r="G76" s="218" t="s">
        <v>1576</v>
      </c>
      <c r="H76" s="166"/>
      <c r="I76" s="219">
        <f t="shared" si="2"/>
        <v>0</v>
      </c>
      <c r="J76" s="219">
        <f t="shared" si="3"/>
        <v>0</v>
      </c>
      <c r="K76" s="219">
        <f t="shared" si="4"/>
        <v>0</v>
      </c>
      <c r="L76" s="220">
        <f t="shared" si="5"/>
        <v>1</v>
      </c>
    </row>
    <row r="77" ht="15.75" customHeight="1">
      <c r="A77" s="9">
        <v>80.0</v>
      </c>
      <c r="B77" s="10">
        <v>2.7767903E7</v>
      </c>
      <c r="C77" s="10" t="s">
        <v>1651</v>
      </c>
      <c r="D77" s="10"/>
      <c r="E77" s="30">
        <v>43496.0</v>
      </c>
      <c r="F77" s="221">
        <f t="shared" si="1"/>
        <v>6</v>
      </c>
      <c r="G77" s="221" t="s">
        <v>1576</v>
      </c>
      <c r="H77" s="161"/>
      <c r="I77" s="219">
        <f t="shared" si="2"/>
        <v>0</v>
      </c>
      <c r="J77" s="222">
        <f t="shared" si="3"/>
        <v>1</v>
      </c>
      <c r="K77" s="219">
        <f t="shared" si="4"/>
        <v>0</v>
      </c>
      <c r="L77" s="223">
        <f t="shared" si="5"/>
        <v>0</v>
      </c>
    </row>
    <row r="78" ht="15.75" customHeight="1">
      <c r="A78" s="5">
        <v>81.0</v>
      </c>
      <c r="B78" s="6">
        <v>2.8054001E7</v>
      </c>
      <c r="C78" s="6" t="s">
        <v>1652</v>
      </c>
      <c r="D78" s="6"/>
      <c r="E78" s="28">
        <v>37825.0</v>
      </c>
      <c r="F78" s="218">
        <f t="shared" si="1"/>
        <v>22</v>
      </c>
      <c r="G78" s="218" t="s">
        <v>1576</v>
      </c>
      <c r="H78" s="166"/>
      <c r="I78" s="219">
        <f t="shared" si="2"/>
        <v>0</v>
      </c>
      <c r="J78" s="219">
        <f t="shared" si="3"/>
        <v>0</v>
      </c>
      <c r="K78" s="219">
        <f t="shared" si="4"/>
        <v>0</v>
      </c>
      <c r="L78" s="223">
        <f t="shared" si="5"/>
        <v>0</v>
      </c>
    </row>
    <row r="79" ht="15.75" customHeight="1">
      <c r="A79" s="9">
        <v>82.0</v>
      </c>
      <c r="B79" s="10">
        <v>2.8168835E7</v>
      </c>
      <c r="C79" s="10" t="s">
        <v>1653</v>
      </c>
      <c r="D79" s="10"/>
      <c r="E79" s="30">
        <v>37736.0</v>
      </c>
      <c r="F79" s="221">
        <f t="shared" si="1"/>
        <v>22</v>
      </c>
      <c r="G79" s="221" t="s">
        <v>1576</v>
      </c>
      <c r="H79" s="161"/>
      <c r="I79" s="219">
        <f t="shared" si="2"/>
        <v>0</v>
      </c>
      <c r="J79" s="219">
        <f t="shared" si="3"/>
        <v>0</v>
      </c>
      <c r="K79" s="219">
        <f t="shared" si="4"/>
        <v>0</v>
      </c>
      <c r="L79" s="223">
        <f t="shared" si="5"/>
        <v>0</v>
      </c>
    </row>
    <row r="80" ht="15.75" customHeight="1">
      <c r="A80" s="5">
        <v>83.0</v>
      </c>
      <c r="B80" s="6">
        <v>2.8168835E7</v>
      </c>
      <c r="C80" s="6" t="s">
        <v>1654</v>
      </c>
      <c r="D80" s="6"/>
      <c r="E80" s="28">
        <v>39596.0</v>
      </c>
      <c r="F80" s="218">
        <f t="shared" si="1"/>
        <v>17</v>
      </c>
      <c r="G80" s="218" t="s">
        <v>1576</v>
      </c>
      <c r="H80" s="166"/>
      <c r="I80" s="219">
        <f t="shared" si="2"/>
        <v>0</v>
      </c>
      <c r="J80" s="219">
        <f t="shared" si="3"/>
        <v>0</v>
      </c>
      <c r="K80" s="219">
        <f t="shared" si="4"/>
        <v>0</v>
      </c>
      <c r="L80" s="220">
        <f t="shared" si="5"/>
        <v>1</v>
      </c>
    </row>
    <row r="81" ht="15.75" customHeight="1">
      <c r="A81" s="9">
        <v>84.0</v>
      </c>
      <c r="B81" s="10">
        <v>2.8168835E7</v>
      </c>
      <c r="C81" s="10" t="s">
        <v>1655</v>
      </c>
      <c r="D81" s="10"/>
      <c r="E81" s="30">
        <v>40584.0</v>
      </c>
      <c r="F81" s="221">
        <f t="shared" si="1"/>
        <v>14</v>
      </c>
      <c r="G81" s="221" t="s">
        <v>1576</v>
      </c>
      <c r="H81" s="161"/>
      <c r="I81" s="219">
        <f t="shared" si="2"/>
        <v>0</v>
      </c>
      <c r="J81" s="219">
        <f t="shared" si="3"/>
        <v>0</v>
      </c>
      <c r="K81" s="219">
        <f t="shared" si="4"/>
        <v>0</v>
      </c>
      <c r="L81" s="220">
        <f t="shared" si="5"/>
        <v>1</v>
      </c>
    </row>
    <row r="82" ht="15.75" customHeight="1">
      <c r="A82" s="5">
        <v>85.0</v>
      </c>
      <c r="B82" s="6">
        <v>2.8418896E7</v>
      </c>
      <c r="C82" s="6" t="s">
        <v>1656</v>
      </c>
      <c r="D82" s="6">
        <v>5.1576533E7</v>
      </c>
      <c r="E82" s="28">
        <v>40903.0</v>
      </c>
      <c r="F82" s="218">
        <f t="shared" si="1"/>
        <v>14</v>
      </c>
      <c r="G82" s="218" t="s">
        <v>1576</v>
      </c>
      <c r="H82" s="166"/>
      <c r="I82" s="219">
        <f t="shared" si="2"/>
        <v>0</v>
      </c>
      <c r="J82" s="219">
        <f t="shared" si="3"/>
        <v>0</v>
      </c>
      <c r="K82" s="219">
        <f t="shared" si="4"/>
        <v>0</v>
      </c>
      <c r="L82" s="220">
        <f t="shared" si="5"/>
        <v>1</v>
      </c>
    </row>
    <row r="83" ht="15.75" customHeight="1">
      <c r="A83" s="9">
        <v>86.0</v>
      </c>
      <c r="B83" s="10">
        <v>2.8683156E7</v>
      </c>
      <c r="C83" s="10" t="s">
        <v>1657</v>
      </c>
      <c r="D83" s="10">
        <v>4.6122212E7</v>
      </c>
      <c r="E83" s="30">
        <v>38494.0</v>
      </c>
      <c r="F83" s="221">
        <f t="shared" si="1"/>
        <v>20</v>
      </c>
      <c r="G83" s="221" t="s">
        <v>1576</v>
      </c>
      <c r="H83" s="161"/>
      <c r="I83" s="219">
        <f t="shared" si="2"/>
        <v>0</v>
      </c>
      <c r="J83" s="219">
        <f t="shared" si="3"/>
        <v>0</v>
      </c>
      <c r="K83" s="219">
        <f t="shared" si="4"/>
        <v>0</v>
      </c>
      <c r="L83" s="223">
        <f t="shared" si="5"/>
        <v>0</v>
      </c>
    </row>
    <row r="84" ht="15.75" customHeight="1">
      <c r="A84" s="5">
        <v>87.0</v>
      </c>
      <c r="B84" s="6">
        <v>2.8683156E7</v>
      </c>
      <c r="C84" s="6" t="s">
        <v>1658</v>
      </c>
      <c r="D84" s="6">
        <v>5.028852E7</v>
      </c>
      <c r="E84" s="28">
        <v>40303.0</v>
      </c>
      <c r="F84" s="218">
        <f t="shared" si="1"/>
        <v>15</v>
      </c>
      <c r="G84" s="218" t="s">
        <v>1576</v>
      </c>
      <c r="H84" s="166"/>
      <c r="I84" s="219">
        <f t="shared" si="2"/>
        <v>0</v>
      </c>
      <c r="J84" s="219">
        <f t="shared" si="3"/>
        <v>0</v>
      </c>
      <c r="K84" s="219">
        <f t="shared" si="4"/>
        <v>0</v>
      </c>
      <c r="L84" s="220">
        <f t="shared" si="5"/>
        <v>1</v>
      </c>
    </row>
    <row r="85" ht="15.75" customHeight="1">
      <c r="A85" s="9">
        <v>88.0</v>
      </c>
      <c r="B85" s="10">
        <v>2.873501E7</v>
      </c>
      <c r="C85" s="10" t="s">
        <v>1659</v>
      </c>
      <c r="D85" s="10">
        <v>5.5070128E7</v>
      </c>
      <c r="E85" s="30">
        <v>42255.0</v>
      </c>
      <c r="F85" s="221">
        <f t="shared" si="1"/>
        <v>10</v>
      </c>
      <c r="G85" s="221" t="s">
        <v>1576</v>
      </c>
      <c r="H85" s="161"/>
      <c r="I85" s="219">
        <f t="shared" si="2"/>
        <v>0</v>
      </c>
      <c r="J85" s="219">
        <f t="shared" si="3"/>
        <v>0</v>
      </c>
      <c r="K85" s="222">
        <f t="shared" si="4"/>
        <v>1</v>
      </c>
      <c r="L85" s="223">
        <f t="shared" si="5"/>
        <v>0</v>
      </c>
    </row>
    <row r="86" ht="15.75" customHeight="1">
      <c r="A86" s="5">
        <v>89.0</v>
      </c>
      <c r="B86" s="6">
        <v>2.873501E7</v>
      </c>
      <c r="C86" s="6" t="s">
        <v>1660</v>
      </c>
      <c r="D86" s="6">
        <v>5.6480283E7</v>
      </c>
      <c r="E86" s="28">
        <v>42736.0</v>
      </c>
      <c r="F86" s="218">
        <f t="shared" si="1"/>
        <v>8</v>
      </c>
      <c r="G86" s="218" t="s">
        <v>1576</v>
      </c>
      <c r="H86" s="166"/>
      <c r="I86" s="219">
        <f t="shared" si="2"/>
        <v>0</v>
      </c>
      <c r="J86" s="222">
        <f t="shared" si="3"/>
        <v>1</v>
      </c>
      <c r="K86" s="219">
        <f t="shared" si="4"/>
        <v>0</v>
      </c>
      <c r="L86" s="223">
        <f t="shared" si="5"/>
        <v>0</v>
      </c>
    </row>
    <row r="87" ht="15.75" customHeight="1">
      <c r="A87" s="9">
        <v>90.0</v>
      </c>
      <c r="B87" s="10">
        <v>2.9319005E7</v>
      </c>
      <c r="C87" s="10" t="s">
        <v>1661</v>
      </c>
      <c r="D87" s="10">
        <v>5.5481578E7</v>
      </c>
      <c r="E87" s="30">
        <v>42442.0</v>
      </c>
      <c r="F87" s="221">
        <f t="shared" si="1"/>
        <v>9</v>
      </c>
      <c r="G87" s="221" t="s">
        <v>1576</v>
      </c>
      <c r="H87" s="161"/>
      <c r="I87" s="219">
        <f t="shared" si="2"/>
        <v>0</v>
      </c>
      <c r="J87" s="219">
        <f t="shared" si="3"/>
        <v>0</v>
      </c>
      <c r="K87" s="222">
        <f t="shared" si="4"/>
        <v>1</v>
      </c>
      <c r="L87" s="223">
        <f t="shared" si="5"/>
        <v>0</v>
      </c>
    </row>
    <row r="88" ht="15.75" customHeight="1">
      <c r="A88" s="5">
        <v>91.0</v>
      </c>
      <c r="B88" s="6">
        <v>2.9400848E7</v>
      </c>
      <c r="C88" s="6" t="s">
        <v>1662</v>
      </c>
      <c r="D88" s="6">
        <v>5.7094406E7</v>
      </c>
      <c r="E88" s="28">
        <v>43295.0</v>
      </c>
      <c r="F88" s="218">
        <f t="shared" si="1"/>
        <v>7</v>
      </c>
      <c r="G88" s="218" t="s">
        <v>1576</v>
      </c>
      <c r="H88" s="166"/>
      <c r="I88" s="219">
        <f t="shared" si="2"/>
        <v>0</v>
      </c>
      <c r="J88" s="222">
        <f t="shared" si="3"/>
        <v>1</v>
      </c>
      <c r="K88" s="219">
        <f t="shared" si="4"/>
        <v>0</v>
      </c>
      <c r="L88" s="223">
        <f t="shared" si="5"/>
        <v>0</v>
      </c>
    </row>
    <row r="89" ht="15.75" customHeight="1">
      <c r="A89" s="9">
        <v>92.0</v>
      </c>
      <c r="B89" s="10">
        <v>2.9697288E7</v>
      </c>
      <c r="C89" s="10" t="s">
        <v>1663</v>
      </c>
      <c r="D89" s="10"/>
      <c r="E89" s="30">
        <v>40878.0</v>
      </c>
      <c r="F89" s="221">
        <f t="shared" si="1"/>
        <v>14</v>
      </c>
      <c r="G89" s="221" t="s">
        <v>1576</v>
      </c>
      <c r="H89" s="161"/>
      <c r="I89" s="219">
        <f t="shared" si="2"/>
        <v>0</v>
      </c>
      <c r="J89" s="219">
        <f t="shared" si="3"/>
        <v>0</v>
      </c>
      <c r="K89" s="219">
        <f t="shared" si="4"/>
        <v>0</v>
      </c>
      <c r="L89" s="220">
        <f t="shared" si="5"/>
        <v>1</v>
      </c>
    </row>
    <row r="90" ht="15.75" customHeight="1">
      <c r="A90" s="5">
        <v>93.0</v>
      </c>
      <c r="B90" s="6">
        <v>2.9697288E7</v>
      </c>
      <c r="C90" s="6" t="s">
        <v>1664</v>
      </c>
      <c r="D90" s="6"/>
      <c r="E90" s="28">
        <v>42482.0</v>
      </c>
      <c r="F90" s="218">
        <f t="shared" si="1"/>
        <v>9</v>
      </c>
      <c r="G90" s="218" t="s">
        <v>1576</v>
      </c>
      <c r="H90" s="166"/>
      <c r="I90" s="219">
        <f t="shared" si="2"/>
        <v>0</v>
      </c>
      <c r="J90" s="219">
        <f t="shared" si="3"/>
        <v>0</v>
      </c>
      <c r="K90" s="222">
        <f t="shared" si="4"/>
        <v>1</v>
      </c>
      <c r="L90" s="223">
        <f t="shared" si="5"/>
        <v>0</v>
      </c>
    </row>
    <row r="91" ht="15.75" customHeight="1">
      <c r="A91" s="9">
        <v>96.0</v>
      </c>
      <c r="B91" s="10">
        <v>3.0455729E7</v>
      </c>
      <c r="C91" s="10" t="s">
        <v>1665</v>
      </c>
      <c r="D91" s="10">
        <v>4.6758287E7</v>
      </c>
      <c r="E91" s="30"/>
      <c r="F91" s="221">
        <f t="shared" si="1"/>
        <v>126</v>
      </c>
      <c r="G91" s="221" t="s">
        <v>1576</v>
      </c>
      <c r="H91" s="161"/>
      <c r="I91" s="219">
        <f t="shared" si="2"/>
        <v>0</v>
      </c>
      <c r="J91" s="219">
        <f t="shared" si="3"/>
        <v>0</v>
      </c>
      <c r="K91" s="219">
        <f t="shared" si="4"/>
        <v>0</v>
      </c>
      <c r="L91" s="223">
        <f t="shared" si="5"/>
        <v>0</v>
      </c>
    </row>
    <row r="92" ht="15.75" customHeight="1">
      <c r="A92" s="5">
        <v>97.0</v>
      </c>
      <c r="B92" s="6">
        <v>3.0455729E7</v>
      </c>
      <c r="C92" s="6" t="s">
        <v>1666</v>
      </c>
      <c r="D92" s="6">
        <v>4.8338318E7</v>
      </c>
      <c r="E92" s="28"/>
      <c r="F92" s="218">
        <f t="shared" si="1"/>
        <v>126</v>
      </c>
      <c r="G92" s="218" t="s">
        <v>1576</v>
      </c>
      <c r="H92" s="166"/>
      <c r="I92" s="219">
        <f t="shared" si="2"/>
        <v>0</v>
      </c>
      <c r="J92" s="219">
        <f t="shared" si="3"/>
        <v>0</v>
      </c>
      <c r="K92" s="219">
        <f t="shared" si="4"/>
        <v>0</v>
      </c>
      <c r="L92" s="223">
        <f t="shared" si="5"/>
        <v>0</v>
      </c>
    </row>
    <row r="93" ht="15.75" customHeight="1">
      <c r="A93" s="9">
        <v>98.0</v>
      </c>
      <c r="B93" s="10">
        <v>3.0455729E7</v>
      </c>
      <c r="C93" s="10" t="s">
        <v>1667</v>
      </c>
      <c r="D93" s="10">
        <v>5.0257321E7</v>
      </c>
      <c r="E93" s="30"/>
      <c r="F93" s="221">
        <f t="shared" si="1"/>
        <v>126</v>
      </c>
      <c r="G93" s="221" t="s">
        <v>1576</v>
      </c>
      <c r="H93" s="161"/>
      <c r="I93" s="219">
        <f t="shared" si="2"/>
        <v>0</v>
      </c>
      <c r="J93" s="219">
        <f t="shared" si="3"/>
        <v>0</v>
      </c>
      <c r="K93" s="219">
        <f t="shared" si="4"/>
        <v>0</v>
      </c>
      <c r="L93" s="223">
        <f t="shared" si="5"/>
        <v>0</v>
      </c>
    </row>
    <row r="94" ht="15.75" customHeight="1">
      <c r="A94" s="5">
        <v>99.0</v>
      </c>
      <c r="B94" s="6">
        <v>3.0465419E7</v>
      </c>
      <c r="C94" s="6" t="s">
        <v>1668</v>
      </c>
      <c r="D94" s="6">
        <v>5.6141902E7</v>
      </c>
      <c r="E94" s="28">
        <v>40666.0</v>
      </c>
      <c r="F94" s="218">
        <f t="shared" si="1"/>
        <v>14</v>
      </c>
      <c r="G94" s="218" t="s">
        <v>1576</v>
      </c>
      <c r="H94" s="166"/>
      <c r="I94" s="219">
        <f t="shared" si="2"/>
        <v>0</v>
      </c>
      <c r="J94" s="219">
        <f t="shared" si="3"/>
        <v>0</v>
      </c>
      <c r="K94" s="219">
        <f t="shared" si="4"/>
        <v>0</v>
      </c>
      <c r="L94" s="220">
        <f t="shared" si="5"/>
        <v>1</v>
      </c>
    </row>
    <row r="95" ht="15.75" customHeight="1">
      <c r="A95" s="9">
        <v>100.0</v>
      </c>
      <c r="B95" s="10">
        <v>3.0465419E7</v>
      </c>
      <c r="C95" s="10" t="s">
        <v>1669</v>
      </c>
      <c r="D95" s="10">
        <v>5.6475149E7</v>
      </c>
      <c r="E95" s="30">
        <v>42908.0</v>
      </c>
      <c r="F95" s="221">
        <f t="shared" si="1"/>
        <v>8</v>
      </c>
      <c r="G95" s="221" t="s">
        <v>1576</v>
      </c>
      <c r="H95" s="161"/>
      <c r="I95" s="219">
        <f t="shared" si="2"/>
        <v>0</v>
      </c>
      <c r="J95" s="222">
        <f t="shared" si="3"/>
        <v>1</v>
      </c>
      <c r="K95" s="219">
        <f t="shared" si="4"/>
        <v>0</v>
      </c>
      <c r="L95" s="223">
        <f t="shared" si="5"/>
        <v>0</v>
      </c>
    </row>
    <row r="96" ht="15.75" customHeight="1">
      <c r="A96" s="5">
        <v>101.0</v>
      </c>
      <c r="B96" s="6">
        <v>3.1137587E7</v>
      </c>
      <c r="C96" s="6" t="s">
        <v>1670</v>
      </c>
      <c r="D96" s="6">
        <v>5.0156592E7</v>
      </c>
      <c r="E96" s="28">
        <v>40234.0</v>
      </c>
      <c r="F96" s="218">
        <f t="shared" si="1"/>
        <v>15</v>
      </c>
      <c r="G96" s="218" t="s">
        <v>1576</v>
      </c>
      <c r="H96" s="166"/>
      <c r="I96" s="219">
        <f t="shared" si="2"/>
        <v>0</v>
      </c>
      <c r="J96" s="219">
        <f t="shared" si="3"/>
        <v>0</v>
      </c>
      <c r="K96" s="219">
        <f t="shared" si="4"/>
        <v>0</v>
      </c>
      <c r="L96" s="220">
        <f t="shared" si="5"/>
        <v>1</v>
      </c>
    </row>
    <row r="97" ht="15.75" customHeight="1">
      <c r="A97" s="9">
        <v>102.0</v>
      </c>
      <c r="B97" s="10">
        <v>3.1164406E7</v>
      </c>
      <c r="C97" s="10" t="s">
        <v>1671</v>
      </c>
      <c r="D97" s="10">
        <v>5.0707822E7</v>
      </c>
      <c r="E97" s="30">
        <v>40481.0</v>
      </c>
      <c r="F97" s="221">
        <f t="shared" si="1"/>
        <v>15</v>
      </c>
      <c r="G97" s="221" t="s">
        <v>1576</v>
      </c>
      <c r="H97" s="161"/>
      <c r="I97" s="219">
        <f t="shared" si="2"/>
        <v>0</v>
      </c>
      <c r="J97" s="219">
        <f t="shared" si="3"/>
        <v>0</v>
      </c>
      <c r="K97" s="219">
        <f t="shared" si="4"/>
        <v>0</v>
      </c>
      <c r="L97" s="220">
        <f t="shared" si="5"/>
        <v>1</v>
      </c>
    </row>
    <row r="98" ht="15.75" customHeight="1">
      <c r="A98" s="5">
        <v>103.0</v>
      </c>
      <c r="B98" s="6">
        <v>3.1164406E7</v>
      </c>
      <c r="C98" s="6" t="s">
        <v>1672</v>
      </c>
      <c r="D98" s="6">
        <v>4.8524959E7</v>
      </c>
      <c r="E98" s="28">
        <v>39627.0</v>
      </c>
      <c r="F98" s="218">
        <f t="shared" si="1"/>
        <v>17</v>
      </c>
      <c r="G98" s="218" t="s">
        <v>1576</v>
      </c>
      <c r="H98" s="166"/>
      <c r="I98" s="219">
        <f t="shared" si="2"/>
        <v>0</v>
      </c>
      <c r="J98" s="219">
        <f t="shared" si="3"/>
        <v>0</v>
      </c>
      <c r="K98" s="219">
        <f t="shared" si="4"/>
        <v>0</v>
      </c>
      <c r="L98" s="220">
        <f t="shared" si="5"/>
        <v>1</v>
      </c>
    </row>
    <row r="99" ht="15.75" customHeight="1">
      <c r="A99" s="9">
        <v>104.0</v>
      </c>
      <c r="B99" s="10">
        <v>3.1164406E7</v>
      </c>
      <c r="C99" s="10" t="s">
        <v>1673</v>
      </c>
      <c r="D99" s="10">
        <v>5.6280438E7</v>
      </c>
      <c r="E99" s="30">
        <v>42863.0</v>
      </c>
      <c r="F99" s="221">
        <f t="shared" si="1"/>
        <v>8</v>
      </c>
      <c r="G99" s="221" t="s">
        <v>1576</v>
      </c>
      <c r="H99" s="161"/>
      <c r="I99" s="219">
        <f t="shared" si="2"/>
        <v>0</v>
      </c>
      <c r="J99" s="222">
        <f t="shared" si="3"/>
        <v>1</v>
      </c>
      <c r="K99" s="219">
        <f t="shared" si="4"/>
        <v>0</v>
      </c>
      <c r="L99" s="223">
        <f t="shared" si="5"/>
        <v>0</v>
      </c>
    </row>
    <row r="100" ht="15.75" customHeight="1">
      <c r="A100" s="5">
        <v>105.0</v>
      </c>
      <c r="B100" s="6">
        <v>3.1302984E7</v>
      </c>
      <c r="C100" s="6" t="s">
        <v>1674</v>
      </c>
      <c r="D100" s="6">
        <v>5.4699167E7</v>
      </c>
      <c r="E100" s="28">
        <v>42117.0</v>
      </c>
      <c r="F100" s="218">
        <f t="shared" si="1"/>
        <v>10</v>
      </c>
      <c r="G100" s="218" t="s">
        <v>1576</v>
      </c>
      <c r="H100" s="166"/>
      <c r="I100" s="219">
        <f t="shared" si="2"/>
        <v>0</v>
      </c>
      <c r="J100" s="219">
        <f t="shared" si="3"/>
        <v>0</v>
      </c>
      <c r="K100" s="222">
        <f t="shared" si="4"/>
        <v>1</v>
      </c>
      <c r="L100" s="223">
        <f t="shared" si="5"/>
        <v>0</v>
      </c>
    </row>
    <row r="101" ht="15.75" customHeight="1">
      <c r="A101" s="9">
        <v>106.0</v>
      </c>
      <c r="B101" s="10">
        <v>3.140378E7</v>
      </c>
      <c r="C101" s="10" t="s">
        <v>1675</v>
      </c>
      <c r="D101" s="10"/>
      <c r="E101" s="30">
        <v>40115.0</v>
      </c>
      <c r="F101" s="221">
        <f t="shared" si="1"/>
        <v>16</v>
      </c>
      <c r="G101" s="221" t="s">
        <v>1576</v>
      </c>
      <c r="H101" s="161"/>
      <c r="I101" s="219">
        <f t="shared" si="2"/>
        <v>0</v>
      </c>
      <c r="J101" s="219">
        <f t="shared" si="3"/>
        <v>0</v>
      </c>
      <c r="K101" s="219">
        <f t="shared" si="4"/>
        <v>0</v>
      </c>
      <c r="L101" s="220">
        <f t="shared" si="5"/>
        <v>1</v>
      </c>
    </row>
    <row r="102" ht="15.75" customHeight="1">
      <c r="A102" s="5">
        <v>107.0</v>
      </c>
      <c r="B102" s="6">
        <v>3.140378E7</v>
      </c>
      <c r="C102" s="6" t="s">
        <v>1676</v>
      </c>
      <c r="D102" s="6"/>
      <c r="E102" s="28">
        <v>41745.0</v>
      </c>
      <c r="F102" s="218">
        <f t="shared" si="1"/>
        <v>11</v>
      </c>
      <c r="G102" s="218" t="s">
        <v>1576</v>
      </c>
      <c r="H102" s="166"/>
      <c r="I102" s="219">
        <f t="shared" si="2"/>
        <v>0</v>
      </c>
      <c r="J102" s="219">
        <f t="shared" si="3"/>
        <v>0</v>
      </c>
      <c r="K102" s="222">
        <f t="shared" si="4"/>
        <v>1</v>
      </c>
      <c r="L102" s="223">
        <f t="shared" si="5"/>
        <v>0</v>
      </c>
    </row>
    <row r="103" ht="15.75" customHeight="1">
      <c r="A103" s="9">
        <v>108.0</v>
      </c>
      <c r="B103" s="10">
        <v>3.1575604E7</v>
      </c>
      <c r="C103" s="10" t="s">
        <v>1677</v>
      </c>
      <c r="D103" s="10"/>
      <c r="E103" s="30">
        <v>40044.0</v>
      </c>
      <c r="F103" s="221">
        <f t="shared" si="1"/>
        <v>16</v>
      </c>
      <c r="G103" s="221" t="s">
        <v>1576</v>
      </c>
      <c r="H103" s="161"/>
      <c r="I103" s="219">
        <f t="shared" si="2"/>
        <v>0</v>
      </c>
      <c r="J103" s="219">
        <f t="shared" si="3"/>
        <v>0</v>
      </c>
      <c r="K103" s="219">
        <f t="shared" si="4"/>
        <v>0</v>
      </c>
      <c r="L103" s="220">
        <f t="shared" si="5"/>
        <v>1</v>
      </c>
    </row>
    <row r="104" ht="15.75" customHeight="1">
      <c r="A104" s="5">
        <v>109.0</v>
      </c>
      <c r="B104" s="6">
        <v>3.2554313E7</v>
      </c>
      <c r="C104" s="6" t="s">
        <v>1678</v>
      </c>
      <c r="D104" s="6"/>
      <c r="E104" s="28">
        <v>39936.0</v>
      </c>
      <c r="F104" s="218">
        <f t="shared" si="1"/>
        <v>16</v>
      </c>
      <c r="G104" s="218" t="s">
        <v>1576</v>
      </c>
      <c r="H104" s="166"/>
      <c r="I104" s="219">
        <f t="shared" si="2"/>
        <v>0</v>
      </c>
      <c r="J104" s="219">
        <f t="shared" si="3"/>
        <v>0</v>
      </c>
      <c r="K104" s="219">
        <f t="shared" si="4"/>
        <v>0</v>
      </c>
      <c r="L104" s="220">
        <f t="shared" si="5"/>
        <v>1</v>
      </c>
    </row>
    <row r="105" ht="15.75" customHeight="1">
      <c r="A105" s="9">
        <v>110.0</v>
      </c>
      <c r="B105" s="10">
        <v>3.2554313E7</v>
      </c>
      <c r="C105" s="10" t="s">
        <v>1679</v>
      </c>
      <c r="D105" s="10"/>
      <c r="E105" s="30">
        <v>42823.0</v>
      </c>
      <c r="F105" s="221">
        <f t="shared" si="1"/>
        <v>8</v>
      </c>
      <c r="G105" s="221" t="s">
        <v>1576</v>
      </c>
      <c r="H105" s="161"/>
      <c r="I105" s="219">
        <f t="shared" si="2"/>
        <v>0</v>
      </c>
      <c r="J105" s="222">
        <f t="shared" si="3"/>
        <v>1</v>
      </c>
      <c r="K105" s="219">
        <f t="shared" si="4"/>
        <v>0</v>
      </c>
      <c r="L105" s="223">
        <f t="shared" si="5"/>
        <v>0</v>
      </c>
    </row>
    <row r="106" ht="15.75" customHeight="1">
      <c r="A106" s="5">
        <v>111.0</v>
      </c>
      <c r="B106" s="6">
        <v>3.3155103E7</v>
      </c>
      <c r="C106" s="6" t="s">
        <v>1680</v>
      </c>
      <c r="D106" s="6">
        <v>4.9008586E7</v>
      </c>
      <c r="E106" s="28">
        <v>39710.0</v>
      </c>
      <c r="F106" s="218">
        <f t="shared" si="1"/>
        <v>17</v>
      </c>
      <c r="G106" s="218" t="s">
        <v>1576</v>
      </c>
      <c r="H106" s="166"/>
      <c r="I106" s="219">
        <f t="shared" si="2"/>
        <v>0</v>
      </c>
      <c r="J106" s="219">
        <f t="shared" si="3"/>
        <v>0</v>
      </c>
      <c r="K106" s="219">
        <f t="shared" si="4"/>
        <v>0</v>
      </c>
      <c r="L106" s="220">
        <f t="shared" si="5"/>
        <v>1</v>
      </c>
    </row>
    <row r="107" ht="15.75" customHeight="1">
      <c r="A107" s="9">
        <v>112.0</v>
      </c>
      <c r="B107" s="10">
        <v>3.442385E7</v>
      </c>
      <c r="C107" s="10" t="s">
        <v>1681</v>
      </c>
      <c r="D107" s="10">
        <v>4.8802503E7</v>
      </c>
      <c r="E107" s="30">
        <v>39658.0</v>
      </c>
      <c r="F107" s="221">
        <f t="shared" si="1"/>
        <v>17</v>
      </c>
      <c r="G107" s="221" t="s">
        <v>1576</v>
      </c>
      <c r="H107" s="161"/>
      <c r="I107" s="219">
        <f t="shared" si="2"/>
        <v>0</v>
      </c>
      <c r="J107" s="219">
        <f t="shared" si="3"/>
        <v>0</v>
      </c>
      <c r="K107" s="219">
        <f t="shared" si="4"/>
        <v>0</v>
      </c>
      <c r="L107" s="220">
        <f t="shared" si="5"/>
        <v>1</v>
      </c>
    </row>
    <row r="108" ht="15.75" customHeight="1">
      <c r="A108" s="5">
        <v>113.0</v>
      </c>
      <c r="B108" s="6">
        <v>3.4436156E7</v>
      </c>
      <c r="C108" s="6" t="s">
        <v>1682</v>
      </c>
      <c r="D108" s="6">
        <v>5.4301982E7</v>
      </c>
      <c r="E108" s="28">
        <v>41911.0</v>
      </c>
      <c r="F108" s="218">
        <f t="shared" si="1"/>
        <v>11</v>
      </c>
      <c r="G108" s="218" t="s">
        <v>1576</v>
      </c>
      <c r="H108" s="166"/>
      <c r="I108" s="219">
        <f t="shared" si="2"/>
        <v>0</v>
      </c>
      <c r="J108" s="219">
        <f t="shared" si="3"/>
        <v>0</v>
      </c>
      <c r="K108" s="222">
        <f t="shared" si="4"/>
        <v>1</v>
      </c>
      <c r="L108" s="223">
        <f t="shared" si="5"/>
        <v>0</v>
      </c>
    </row>
    <row r="109" ht="15.75" customHeight="1">
      <c r="A109" s="9">
        <v>115.0</v>
      </c>
      <c r="B109" s="10">
        <v>3.4871654E7</v>
      </c>
      <c r="C109" s="10" t="s">
        <v>1683</v>
      </c>
      <c r="D109" s="10">
        <v>5.277023E7</v>
      </c>
      <c r="E109" s="30">
        <v>41184.0</v>
      </c>
      <c r="F109" s="221">
        <f t="shared" si="1"/>
        <v>13</v>
      </c>
      <c r="G109" s="224" t="s">
        <v>1576</v>
      </c>
      <c r="H109" s="161"/>
      <c r="I109" s="219">
        <f t="shared" si="2"/>
        <v>0</v>
      </c>
      <c r="J109" s="219">
        <f t="shared" si="3"/>
        <v>0</v>
      </c>
      <c r="K109" s="219">
        <f t="shared" si="4"/>
        <v>0</v>
      </c>
      <c r="L109" s="220">
        <f t="shared" si="5"/>
        <v>1</v>
      </c>
    </row>
    <row r="110" ht="15.75" customHeight="1">
      <c r="A110" s="5">
        <v>116.0</v>
      </c>
      <c r="B110" s="6">
        <v>3.4871654E7</v>
      </c>
      <c r="C110" s="6" t="s">
        <v>1684</v>
      </c>
      <c r="D110" s="6">
        <v>5.8454841E7</v>
      </c>
      <c r="E110" s="28">
        <v>44048.0</v>
      </c>
      <c r="F110" s="218">
        <f t="shared" si="1"/>
        <v>5</v>
      </c>
      <c r="G110" s="225" t="s">
        <v>1576</v>
      </c>
      <c r="H110" s="166"/>
      <c r="I110" s="222">
        <f t="shared" si="2"/>
        <v>1</v>
      </c>
      <c r="J110" s="219">
        <f t="shared" si="3"/>
        <v>0</v>
      </c>
      <c r="K110" s="219">
        <f t="shared" si="4"/>
        <v>0</v>
      </c>
      <c r="L110" s="223">
        <f t="shared" si="5"/>
        <v>0</v>
      </c>
    </row>
    <row r="111" ht="15.75" customHeight="1">
      <c r="A111" s="9">
        <v>118.0</v>
      </c>
      <c r="B111" s="10">
        <v>3.5973296E7</v>
      </c>
      <c r="C111" s="10" t="s">
        <v>1685</v>
      </c>
      <c r="D111" s="10">
        <v>5.1267277E7</v>
      </c>
      <c r="E111" s="30">
        <v>40728.0</v>
      </c>
      <c r="F111" s="221">
        <f t="shared" si="1"/>
        <v>14</v>
      </c>
      <c r="G111" s="224" t="s">
        <v>1576</v>
      </c>
      <c r="H111" s="161"/>
      <c r="I111" s="219">
        <f t="shared" si="2"/>
        <v>0</v>
      </c>
      <c r="J111" s="219">
        <f t="shared" si="3"/>
        <v>0</v>
      </c>
      <c r="K111" s="219">
        <f t="shared" si="4"/>
        <v>0</v>
      </c>
      <c r="L111" s="220">
        <f t="shared" si="5"/>
        <v>1</v>
      </c>
    </row>
    <row r="112" ht="15.75" customHeight="1">
      <c r="A112" s="5">
        <v>119.0</v>
      </c>
      <c r="B112" s="6">
        <v>3.5979324E7</v>
      </c>
      <c r="C112" s="6" t="s">
        <v>1686</v>
      </c>
      <c r="D112" s="6">
        <v>5.0322706E7</v>
      </c>
      <c r="E112" s="28">
        <v>40312.0</v>
      </c>
      <c r="F112" s="218">
        <f t="shared" si="1"/>
        <v>15</v>
      </c>
      <c r="G112" s="225" t="s">
        <v>1576</v>
      </c>
      <c r="H112" s="166"/>
      <c r="I112" s="219">
        <f t="shared" si="2"/>
        <v>0</v>
      </c>
      <c r="J112" s="219">
        <f t="shared" si="3"/>
        <v>0</v>
      </c>
      <c r="K112" s="219">
        <f t="shared" si="4"/>
        <v>0</v>
      </c>
      <c r="L112" s="220">
        <f t="shared" si="5"/>
        <v>1</v>
      </c>
    </row>
    <row r="113" ht="15.75" customHeight="1">
      <c r="A113" s="9">
        <v>120.0</v>
      </c>
      <c r="B113" s="10">
        <v>3.6162205E7</v>
      </c>
      <c r="C113" s="10" t="s">
        <v>1687</v>
      </c>
      <c r="D113" s="10">
        <v>5.0289674E7</v>
      </c>
      <c r="E113" s="30">
        <v>40323.0</v>
      </c>
      <c r="F113" s="221">
        <f t="shared" si="1"/>
        <v>15</v>
      </c>
      <c r="G113" s="224" t="s">
        <v>1576</v>
      </c>
      <c r="H113" s="161"/>
      <c r="I113" s="219">
        <f t="shared" si="2"/>
        <v>0</v>
      </c>
      <c r="J113" s="219">
        <f t="shared" si="3"/>
        <v>0</v>
      </c>
      <c r="K113" s="219">
        <f t="shared" si="4"/>
        <v>0</v>
      </c>
      <c r="L113" s="220">
        <f t="shared" si="5"/>
        <v>1</v>
      </c>
    </row>
    <row r="114" ht="15.75" customHeight="1">
      <c r="A114" s="5">
        <v>121.0</v>
      </c>
      <c r="B114" s="6">
        <v>3.6162205E7</v>
      </c>
      <c r="C114" s="6" t="s">
        <v>1688</v>
      </c>
      <c r="D114" s="6">
        <v>5.6482394E7</v>
      </c>
      <c r="E114" s="28">
        <v>42981.0</v>
      </c>
      <c r="F114" s="218">
        <f t="shared" si="1"/>
        <v>8</v>
      </c>
      <c r="G114" s="225" t="s">
        <v>1576</v>
      </c>
      <c r="H114" s="166"/>
      <c r="I114" s="219">
        <f t="shared" si="2"/>
        <v>0</v>
      </c>
      <c r="J114" s="222">
        <f t="shared" si="3"/>
        <v>1</v>
      </c>
      <c r="K114" s="219">
        <f t="shared" si="4"/>
        <v>0</v>
      </c>
      <c r="L114" s="223">
        <f t="shared" si="5"/>
        <v>0</v>
      </c>
    </row>
    <row r="115" ht="15.75" customHeight="1">
      <c r="A115" s="9">
        <v>122.0</v>
      </c>
      <c r="B115" s="10">
        <v>3.6162205E7</v>
      </c>
      <c r="C115" s="10" t="s">
        <v>1689</v>
      </c>
      <c r="D115" s="10">
        <v>5.2446826E7</v>
      </c>
      <c r="E115" s="30">
        <v>40979.0</v>
      </c>
      <c r="F115" s="221">
        <f t="shared" si="1"/>
        <v>13</v>
      </c>
      <c r="G115" s="224" t="s">
        <v>1576</v>
      </c>
      <c r="H115" s="161"/>
      <c r="I115" s="219">
        <f t="shared" si="2"/>
        <v>0</v>
      </c>
      <c r="J115" s="219">
        <f t="shared" si="3"/>
        <v>0</v>
      </c>
      <c r="K115" s="219">
        <f t="shared" si="4"/>
        <v>0</v>
      </c>
      <c r="L115" s="220">
        <f t="shared" si="5"/>
        <v>1</v>
      </c>
    </row>
    <row r="116" ht="15.75" customHeight="1">
      <c r="A116" s="5">
        <v>123.0</v>
      </c>
      <c r="B116" s="6">
        <v>3.6297487E7</v>
      </c>
      <c r="C116" s="6" t="s">
        <v>1690</v>
      </c>
      <c r="D116" s="6">
        <v>5.479255E7</v>
      </c>
      <c r="E116" s="28">
        <v>42108.0</v>
      </c>
      <c r="F116" s="218">
        <f t="shared" si="1"/>
        <v>10</v>
      </c>
      <c r="G116" s="225" t="s">
        <v>1576</v>
      </c>
      <c r="H116" s="166"/>
      <c r="I116" s="219">
        <f t="shared" si="2"/>
        <v>0</v>
      </c>
      <c r="J116" s="219">
        <f t="shared" si="3"/>
        <v>0</v>
      </c>
      <c r="K116" s="222">
        <f t="shared" si="4"/>
        <v>1</v>
      </c>
      <c r="L116" s="223">
        <f t="shared" si="5"/>
        <v>0</v>
      </c>
    </row>
    <row r="117" ht="15.75" customHeight="1">
      <c r="A117" s="9">
        <v>124.0</v>
      </c>
      <c r="B117" s="10">
        <v>3.6297487E7</v>
      </c>
      <c r="C117" s="10" t="s">
        <v>1691</v>
      </c>
      <c r="D117" s="10">
        <v>5.8026189E7</v>
      </c>
      <c r="E117" s="30">
        <v>43766.0</v>
      </c>
      <c r="F117" s="221">
        <f t="shared" si="1"/>
        <v>6</v>
      </c>
      <c r="G117" s="224" t="s">
        <v>1576</v>
      </c>
      <c r="H117" s="161"/>
      <c r="I117" s="219">
        <f t="shared" si="2"/>
        <v>0</v>
      </c>
      <c r="J117" s="222">
        <f t="shared" si="3"/>
        <v>1</v>
      </c>
      <c r="K117" s="219">
        <f t="shared" si="4"/>
        <v>0</v>
      </c>
      <c r="L117" s="223">
        <f t="shared" si="5"/>
        <v>0</v>
      </c>
    </row>
    <row r="118" ht="15.75" customHeight="1">
      <c r="A118" s="5">
        <v>125.0</v>
      </c>
      <c r="B118" s="6">
        <v>3.6297487E7</v>
      </c>
      <c r="C118" s="6" t="s">
        <v>1692</v>
      </c>
      <c r="D118" s="6">
        <v>5.8873165E7</v>
      </c>
      <c r="E118" s="28">
        <v>44361.0</v>
      </c>
      <c r="F118" s="218">
        <f t="shared" si="1"/>
        <v>4</v>
      </c>
      <c r="G118" s="225" t="s">
        <v>1576</v>
      </c>
      <c r="H118" s="166"/>
      <c r="I118" s="222">
        <f t="shared" si="2"/>
        <v>1</v>
      </c>
      <c r="J118" s="219">
        <f t="shared" si="3"/>
        <v>0</v>
      </c>
      <c r="K118" s="219">
        <f t="shared" si="4"/>
        <v>0</v>
      </c>
      <c r="L118" s="223">
        <f t="shared" si="5"/>
        <v>0</v>
      </c>
    </row>
    <row r="119" ht="15.75" customHeight="1">
      <c r="A119" s="9">
        <v>126.0</v>
      </c>
      <c r="B119" s="10">
        <v>3.6375804E7</v>
      </c>
      <c r="C119" s="10" t="s">
        <v>1693</v>
      </c>
      <c r="D119" s="10">
        <v>5.973882E7</v>
      </c>
      <c r="E119" s="30">
        <v>45030.0</v>
      </c>
      <c r="F119" s="221">
        <f t="shared" si="1"/>
        <v>2</v>
      </c>
      <c r="G119" s="224" t="s">
        <v>1576</v>
      </c>
      <c r="H119" s="161"/>
      <c r="I119" s="219">
        <f t="shared" si="2"/>
        <v>0</v>
      </c>
      <c r="J119" s="219">
        <f t="shared" si="3"/>
        <v>0</v>
      </c>
      <c r="K119" s="219">
        <f t="shared" si="4"/>
        <v>0</v>
      </c>
      <c r="L119" s="223">
        <f t="shared" si="5"/>
        <v>0</v>
      </c>
    </row>
    <row r="120" ht="15.75" customHeight="1">
      <c r="A120" s="5">
        <v>127.0</v>
      </c>
      <c r="B120" s="6">
        <v>3.6786519E7</v>
      </c>
      <c r="C120" s="6" t="s">
        <v>1694</v>
      </c>
      <c r="D120" s="6">
        <v>5.7651273E7</v>
      </c>
      <c r="E120" s="28">
        <v>43572.0</v>
      </c>
      <c r="F120" s="218">
        <f t="shared" si="1"/>
        <v>6</v>
      </c>
      <c r="G120" s="225" t="s">
        <v>1576</v>
      </c>
      <c r="H120" s="166"/>
      <c r="I120" s="219">
        <f t="shared" si="2"/>
        <v>0</v>
      </c>
      <c r="J120" s="222">
        <f t="shared" si="3"/>
        <v>1</v>
      </c>
      <c r="K120" s="219">
        <f t="shared" si="4"/>
        <v>0</v>
      </c>
      <c r="L120" s="223">
        <f t="shared" si="5"/>
        <v>0</v>
      </c>
    </row>
    <row r="121" ht="15.75" customHeight="1">
      <c r="A121" s="9">
        <v>128.0</v>
      </c>
      <c r="B121" s="10">
        <v>3.7036332E7</v>
      </c>
      <c r="C121" s="10" t="s">
        <v>1695</v>
      </c>
      <c r="D121" s="10">
        <v>5.3653388E7</v>
      </c>
      <c r="E121" s="30">
        <v>41641.0</v>
      </c>
      <c r="F121" s="221">
        <f t="shared" si="1"/>
        <v>11</v>
      </c>
      <c r="G121" s="224" t="s">
        <v>1576</v>
      </c>
      <c r="H121" s="161"/>
      <c r="I121" s="219">
        <f t="shared" si="2"/>
        <v>0</v>
      </c>
      <c r="J121" s="219">
        <f t="shared" si="3"/>
        <v>0</v>
      </c>
      <c r="K121" s="222">
        <f t="shared" si="4"/>
        <v>1</v>
      </c>
      <c r="L121" s="223">
        <f t="shared" si="5"/>
        <v>0</v>
      </c>
    </row>
    <row r="122" ht="15.75" customHeight="1">
      <c r="A122" s="5">
        <v>129.0</v>
      </c>
      <c r="B122" s="6">
        <v>3.7060301E7</v>
      </c>
      <c r="C122" s="6" t="s">
        <v>1696</v>
      </c>
      <c r="D122" s="6">
        <v>5.0274773E7</v>
      </c>
      <c r="E122" s="28">
        <v>40352.0</v>
      </c>
      <c r="F122" s="218">
        <f t="shared" si="1"/>
        <v>15</v>
      </c>
      <c r="G122" s="225" t="s">
        <v>1576</v>
      </c>
      <c r="H122" s="166"/>
      <c r="I122" s="219">
        <f t="shared" si="2"/>
        <v>0</v>
      </c>
      <c r="J122" s="219">
        <f t="shared" si="3"/>
        <v>0</v>
      </c>
      <c r="K122" s="219">
        <f t="shared" si="4"/>
        <v>0</v>
      </c>
      <c r="L122" s="220">
        <f t="shared" si="5"/>
        <v>1</v>
      </c>
    </row>
    <row r="123" ht="15.75" customHeight="1">
      <c r="A123" s="9">
        <v>130.0</v>
      </c>
      <c r="B123" s="10">
        <v>3.7060301E7</v>
      </c>
      <c r="C123" s="10" t="s">
        <v>1697</v>
      </c>
      <c r="D123" s="10">
        <v>5.3284625E7</v>
      </c>
      <c r="E123" s="30">
        <v>41459.0</v>
      </c>
      <c r="F123" s="221">
        <f t="shared" si="1"/>
        <v>12</v>
      </c>
      <c r="G123" s="224" t="s">
        <v>1576</v>
      </c>
      <c r="H123" s="161"/>
      <c r="I123" s="219">
        <f t="shared" si="2"/>
        <v>0</v>
      </c>
      <c r="J123" s="219">
        <f t="shared" si="3"/>
        <v>0</v>
      </c>
      <c r="K123" s="219">
        <f t="shared" si="4"/>
        <v>0</v>
      </c>
      <c r="L123" s="220">
        <f t="shared" si="5"/>
        <v>1</v>
      </c>
    </row>
    <row r="124" ht="15.75" customHeight="1">
      <c r="A124" s="5">
        <v>131.0</v>
      </c>
      <c r="B124" s="6">
        <v>3.7099313E7</v>
      </c>
      <c r="C124" s="6" t="s">
        <v>1698</v>
      </c>
      <c r="D124" s="6">
        <v>5.6998944E7</v>
      </c>
      <c r="E124" s="28">
        <v>43235.0</v>
      </c>
      <c r="F124" s="218">
        <f t="shared" si="1"/>
        <v>7</v>
      </c>
      <c r="G124" s="225" t="s">
        <v>1576</v>
      </c>
      <c r="H124" s="166"/>
      <c r="I124" s="219">
        <f t="shared" si="2"/>
        <v>0</v>
      </c>
      <c r="J124" s="222">
        <f t="shared" si="3"/>
        <v>1</v>
      </c>
      <c r="K124" s="219">
        <f t="shared" si="4"/>
        <v>0</v>
      </c>
      <c r="L124" s="223">
        <f t="shared" si="5"/>
        <v>0</v>
      </c>
    </row>
    <row r="125" ht="15.75" customHeight="1">
      <c r="A125" s="9">
        <v>132.0</v>
      </c>
      <c r="B125" s="10">
        <v>3.7388128E7</v>
      </c>
      <c r="C125" s="10" t="s">
        <v>1699</v>
      </c>
      <c r="D125" s="10"/>
      <c r="E125" s="30">
        <v>41281.0</v>
      </c>
      <c r="F125" s="221">
        <f t="shared" si="1"/>
        <v>12</v>
      </c>
      <c r="G125" s="224" t="s">
        <v>1576</v>
      </c>
      <c r="H125" s="161"/>
      <c r="I125" s="219">
        <f t="shared" si="2"/>
        <v>0</v>
      </c>
      <c r="J125" s="219">
        <f t="shared" si="3"/>
        <v>0</v>
      </c>
      <c r="K125" s="219">
        <f t="shared" si="4"/>
        <v>0</v>
      </c>
      <c r="L125" s="220">
        <f t="shared" si="5"/>
        <v>1</v>
      </c>
    </row>
    <row r="126" ht="15.75" customHeight="1">
      <c r="A126" s="5">
        <v>133.0</v>
      </c>
      <c r="B126" s="6">
        <v>3.7388128E7</v>
      </c>
      <c r="C126" s="6" t="s">
        <v>1700</v>
      </c>
      <c r="D126" s="6"/>
      <c r="E126" s="28">
        <v>42254.0</v>
      </c>
      <c r="F126" s="218">
        <f t="shared" si="1"/>
        <v>10</v>
      </c>
      <c r="G126" s="225" t="s">
        <v>1576</v>
      </c>
      <c r="H126" s="166"/>
      <c r="I126" s="219">
        <f t="shared" si="2"/>
        <v>0</v>
      </c>
      <c r="J126" s="219">
        <f t="shared" si="3"/>
        <v>0</v>
      </c>
      <c r="K126" s="222">
        <f t="shared" si="4"/>
        <v>1</v>
      </c>
      <c r="L126" s="223">
        <f t="shared" si="5"/>
        <v>0</v>
      </c>
    </row>
    <row r="127" ht="15.75" customHeight="1">
      <c r="A127" s="9">
        <v>134.0</v>
      </c>
      <c r="B127" s="10">
        <v>3.7388128E7</v>
      </c>
      <c r="C127" s="10" t="s">
        <v>1701</v>
      </c>
      <c r="D127" s="10"/>
      <c r="E127" s="30">
        <v>43740.0</v>
      </c>
      <c r="F127" s="221">
        <f t="shared" si="1"/>
        <v>6</v>
      </c>
      <c r="G127" s="224" t="s">
        <v>1576</v>
      </c>
      <c r="H127" s="161"/>
      <c r="I127" s="219">
        <f t="shared" si="2"/>
        <v>0</v>
      </c>
      <c r="J127" s="222">
        <f t="shared" si="3"/>
        <v>1</v>
      </c>
      <c r="K127" s="219">
        <f t="shared" si="4"/>
        <v>0</v>
      </c>
      <c r="L127" s="223">
        <f t="shared" si="5"/>
        <v>0</v>
      </c>
    </row>
    <row r="128" ht="15.75" customHeight="1">
      <c r="A128" s="5">
        <v>135.0</v>
      </c>
      <c r="B128" s="6">
        <v>3.7782026E7</v>
      </c>
      <c r="C128" s="6" t="s">
        <v>1702</v>
      </c>
      <c r="D128" s="6">
        <v>5.4519818E7</v>
      </c>
      <c r="E128" s="28">
        <v>42015.0</v>
      </c>
      <c r="F128" s="218">
        <f t="shared" si="1"/>
        <v>10</v>
      </c>
      <c r="G128" s="225" t="s">
        <v>1576</v>
      </c>
      <c r="H128" s="166"/>
      <c r="I128" s="219">
        <f t="shared" si="2"/>
        <v>0</v>
      </c>
      <c r="J128" s="219">
        <f t="shared" si="3"/>
        <v>0</v>
      </c>
      <c r="K128" s="222">
        <f t="shared" si="4"/>
        <v>1</v>
      </c>
      <c r="L128" s="223">
        <f t="shared" si="5"/>
        <v>0</v>
      </c>
    </row>
    <row r="129" ht="15.75" customHeight="1">
      <c r="A129" s="9">
        <v>136.0</v>
      </c>
      <c r="B129" s="10">
        <v>3.7782026E7</v>
      </c>
      <c r="C129" s="10" t="s">
        <v>1703</v>
      </c>
      <c r="D129" s="10">
        <v>5.5885848E7</v>
      </c>
      <c r="E129" s="30">
        <v>42680.0</v>
      </c>
      <c r="F129" s="221">
        <f t="shared" si="1"/>
        <v>9</v>
      </c>
      <c r="G129" s="224" t="s">
        <v>1576</v>
      </c>
      <c r="H129" s="161"/>
      <c r="I129" s="219">
        <f t="shared" si="2"/>
        <v>0</v>
      </c>
      <c r="J129" s="219">
        <f t="shared" si="3"/>
        <v>0</v>
      </c>
      <c r="K129" s="222">
        <f t="shared" si="4"/>
        <v>1</v>
      </c>
      <c r="L129" s="223">
        <f t="shared" si="5"/>
        <v>0</v>
      </c>
    </row>
    <row r="130" ht="15.75" customHeight="1">
      <c r="A130" s="5">
        <v>137.0</v>
      </c>
      <c r="B130" s="6">
        <v>3.8026805E7</v>
      </c>
      <c r="C130" s="6" t="s">
        <v>1704</v>
      </c>
      <c r="D130" s="6">
        <v>5.5761712E7</v>
      </c>
      <c r="E130" s="28">
        <v>42604.0</v>
      </c>
      <c r="F130" s="218">
        <f t="shared" si="1"/>
        <v>9</v>
      </c>
      <c r="G130" s="225" t="s">
        <v>1576</v>
      </c>
      <c r="H130" s="166"/>
      <c r="I130" s="219">
        <f t="shared" si="2"/>
        <v>0</v>
      </c>
      <c r="J130" s="219">
        <f t="shared" si="3"/>
        <v>0</v>
      </c>
      <c r="K130" s="222">
        <f t="shared" si="4"/>
        <v>1</v>
      </c>
      <c r="L130" s="223">
        <f t="shared" si="5"/>
        <v>0</v>
      </c>
    </row>
    <row r="131" ht="15.75" customHeight="1">
      <c r="A131" s="9">
        <v>138.0</v>
      </c>
      <c r="B131" s="10">
        <v>3.816591E7</v>
      </c>
      <c r="C131" s="10" t="s">
        <v>1705</v>
      </c>
      <c r="D131" s="10">
        <v>5.4055608E7</v>
      </c>
      <c r="E131" s="30">
        <v>41808.0</v>
      </c>
      <c r="F131" s="221">
        <f t="shared" si="1"/>
        <v>11</v>
      </c>
      <c r="G131" s="224" t="s">
        <v>1576</v>
      </c>
      <c r="H131" s="161"/>
      <c r="I131" s="219">
        <f t="shared" si="2"/>
        <v>0</v>
      </c>
      <c r="J131" s="219">
        <f t="shared" si="3"/>
        <v>0</v>
      </c>
      <c r="K131" s="222">
        <f t="shared" si="4"/>
        <v>1</v>
      </c>
      <c r="L131" s="223">
        <f t="shared" si="5"/>
        <v>0</v>
      </c>
    </row>
    <row r="132" ht="15.75" customHeight="1">
      <c r="A132" s="5">
        <v>139.0</v>
      </c>
      <c r="B132" s="6">
        <v>3.816591E7</v>
      </c>
      <c r="C132" s="6" t="s">
        <v>1706</v>
      </c>
      <c r="D132" s="6">
        <v>5.6052831E7</v>
      </c>
      <c r="E132" s="28">
        <v>42763.0</v>
      </c>
      <c r="F132" s="218">
        <f t="shared" si="1"/>
        <v>8</v>
      </c>
      <c r="G132" s="225" t="s">
        <v>1576</v>
      </c>
      <c r="H132" s="166"/>
      <c r="I132" s="219">
        <f t="shared" si="2"/>
        <v>0</v>
      </c>
      <c r="J132" s="222">
        <f t="shared" si="3"/>
        <v>1</v>
      </c>
      <c r="K132" s="219">
        <f t="shared" si="4"/>
        <v>0</v>
      </c>
      <c r="L132" s="223">
        <f t="shared" si="5"/>
        <v>0</v>
      </c>
    </row>
    <row r="133" ht="15.75" customHeight="1">
      <c r="A133" s="9">
        <v>140.0</v>
      </c>
      <c r="B133" s="10">
        <v>3.8625889E7</v>
      </c>
      <c r="C133" s="10" t="s">
        <v>1707</v>
      </c>
      <c r="D133" s="10">
        <v>5.8050642E7</v>
      </c>
      <c r="E133" s="30">
        <v>43780.0</v>
      </c>
      <c r="F133" s="221">
        <f t="shared" si="1"/>
        <v>6</v>
      </c>
      <c r="G133" s="224" t="s">
        <v>1576</v>
      </c>
      <c r="H133" s="161"/>
      <c r="I133" s="219">
        <f t="shared" si="2"/>
        <v>0</v>
      </c>
      <c r="J133" s="222">
        <f t="shared" si="3"/>
        <v>1</v>
      </c>
      <c r="K133" s="219">
        <f t="shared" si="4"/>
        <v>0</v>
      </c>
      <c r="L133" s="223">
        <f t="shared" si="5"/>
        <v>0</v>
      </c>
    </row>
    <row r="134" ht="15.75" customHeight="1">
      <c r="A134" s="5">
        <v>141.0</v>
      </c>
      <c r="B134" s="6">
        <v>3.8838668E7</v>
      </c>
      <c r="C134" s="6" t="s">
        <v>1708</v>
      </c>
      <c r="D134" s="6">
        <v>5.4352952E7</v>
      </c>
      <c r="E134" s="28">
        <v>41936.0</v>
      </c>
      <c r="F134" s="218">
        <f t="shared" si="1"/>
        <v>11</v>
      </c>
      <c r="G134" s="225" t="s">
        <v>1576</v>
      </c>
      <c r="H134" s="166"/>
      <c r="I134" s="219">
        <f t="shared" si="2"/>
        <v>0</v>
      </c>
      <c r="J134" s="219">
        <f t="shared" si="3"/>
        <v>0</v>
      </c>
      <c r="K134" s="222">
        <f t="shared" si="4"/>
        <v>1</v>
      </c>
      <c r="L134" s="223">
        <f t="shared" si="5"/>
        <v>0</v>
      </c>
    </row>
    <row r="135" ht="15.75" customHeight="1">
      <c r="A135" s="9">
        <v>143.0</v>
      </c>
      <c r="B135" s="10">
        <v>3.9464452E7</v>
      </c>
      <c r="C135" s="10" t="s">
        <v>1709</v>
      </c>
      <c r="D135" s="10">
        <v>5.6180642E7</v>
      </c>
      <c r="E135" s="30">
        <v>42808.0</v>
      </c>
      <c r="F135" s="221">
        <f t="shared" si="1"/>
        <v>8</v>
      </c>
      <c r="G135" s="224" t="s">
        <v>1576</v>
      </c>
      <c r="H135" s="161"/>
      <c r="I135" s="219">
        <f t="shared" si="2"/>
        <v>0</v>
      </c>
      <c r="J135" s="222">
        <f t="shared" si="3"/>
        <v>1</v>
      </c>
      <c r="K135" s="219">
        <f t="shared" si="4"/>
        <v>0</v>
      </c>
      <c r="L135" s="223">
        <f t="shared" si="5"/>
        <v>0</v>
      </c>
    </row>
    <row r="136" ht="15.75" customHeight="1">
      <c r="A136" s="5">
        <v>144.0</v>
      </c>
      <c r="B136" s="6">
        <v>3.9962767E7</v>
      </c>
      <c r="C136" s="6" t="s">
        <v>1710</v>
      </c>
      <c r="D136" s="6">
        <v>5.3600042E7</v>
      </c>
      <c r="E136" s="28">
        <v>41627.0</v>
      </c>
      <c r="F136" s="218">
        <f t="shared" si="1"/>
        <v>12</v>
      </c>
      <c r="G136" s="225" t="s">
        <v>1576</v>
      </c>
      <c r="H136" s="166"/>
      <c r="I136" s="219">
        <f t="shared" si="2"/>
        <v>0</v>
      </c>
      <c r="J136" s="219">
        <f t="shared" si="3"/>
        <v>0</v>
      </c>
      <c r="K136" s="219">
        <f t="shared" si="4"/>
        <v>0</v>
      </c>
      <c r="L136" s="220">
        <f t="shared" si="5"/>
        <v>1</v>
      </c>
    </row>
    <row r="137" ht="15.75" customHeight="1">
      <c r="A137" s="9">
        <v>145.0</v>
      </c>
      <c r="B137" s="10">
        <v>4.0133136E7</v>
      </c>
      <c r="C137" s="10" t="s">
        <v>1711</v>
      </c>
      <c r="D137" s="10">
        <v>5.5869445E7</v>
      </c>
      <c r="E137" s="30">
        <v>42658.0</v>
      </c>
      <c r="F137" s="221">
        <f t="shared" si="1"/>
        <v>9</v>
      </c>
      <c r="G137" s="224" t="s">
        <v>1576</v>
      </c>
      <c r="H137" s="161"/>
      <c r="I137" s="219">
        <f t="shared" si="2"/>
        <v>0</v>
      </c>
      <c r="J137" s="219">
        <f t="shared" si="3"/>
        <v>0</v>
      </c>
      <c r="K137" s="222">
        <f t="shared" si="4"/>
        <v>1</v>
      </c>
      <c r="L137" s="223">
        <f t="shared" si="5"/>
        <v>0</v>
      </c>
    </row>
    <row r="138" ht="15.75" customHeight="1">
      <c r="A138" s="5">
        <v>146.0</v>
      </c>
      <c r="B138" s="6">
        <v>4.0133136E7</v>
      </c>
      <c r="C138" s="6" t="s">
        <v>1712</v>
      </c>
      <c r="D138" s="6">
        <v>5.9693785E7</v>
      </c>
      <c r="E138" s="28">
        <v>44945.0</v>
      </c>
      <c r="F138" s="218">
        <f t="shared" si="1"/>
        <v>2</v>
      </c>
      <c r="G138" s="225" t="s">
        <v>1576</v>
      </c>
      <c r="H138" s="166"/>
      <c r="I138" s="219">
        <f t="shared" si="2"/>
        <v>0</v>
      </c>
      <c r="J138" s="219">
        <f t="shared" si="3"/>
        <v>0</v>
      </c>
      <c r="K138" s="219">
        <f t="shared" si="4"/>
        <v>0</v>
      </c>
      <c r="L138" s="223">
        <f t="shared" si="5"/>
        <v>0</v>
      </c>
    </row>
    <row r="139" ht="15.75" customHeight="1">
      <c r="A139" s="9">
        <v>147.0</v>
      </c>
      <c r="B139" s="10">
        <v>4.0137655E7</v>
      </c>
      <c r="C139" s="10" t="s">
        <v>1713</v>
      </c>
      <c r="D139" s="10">
        <v>5.8804044E7</v>
      </c>
      <c r="E139" s="30">
        <v>44297.0</v>
      </c>
      <c r="F139" s="221">
        <f t="shared" si="1"/>
        <v>4</v>
      </c>
      <c r="G139" s="224" t="s">
        <v>1576</v>
      </c>
      <c r="H139" s="161"/>
      <c r="I139" s="222">
        <f t="shared" si="2"/>
        <v>1</v>
      </c>
      <c r="J139" s="219">
        <f t="shared" si="3"/>
        <v>0</v>
      </c>
      <c r="K139" s="219">
        <f t="shared" si="4"/>
        <v>0</v>
      </c>
      <c r="L139" s="223">
        <f t="shared" si="5"/>
        <v>0</v>
      </c>
    </row>
    <row r="140" ht="15.75" customHeight="1">
      <c r="A140" s="5">
        <v>150.0</v>
      </c>
      <c r="B140" s="6">
        <v>4.258637E7</v>
      </c>
      <c r="C140" s="6" t="s">
        <v>1714</v>
      </c>
      <c r="D140" s="6">
        <v>5.829578E7</v>
      </c>
      <c r="E140" s="28">
        <v>43946.0</v>
      </c>
      <c r="F140" s="218">
        <f t="shared" si="1"/>
        <v>5</v>
      </c>
      <c r="G140" s="225" t="s">
        <v>1576</v>
      </c>
      <c r="H140" s="166"/>
      <c r="I140" s="222">
        <f t="shared" si="2"/>
        <v>1</v>
      </c>
      <c r="J140" s="219">
        <f t="shared" si="3"/>
        <v>0</v>
      </c>
      <c r="K140" s="219">
        <f t="shared" si="4"/>
        <v>0</v>
      </c>
      <c r="L140" s="223">
        <f t="shared" si="5"/>
        <v>0</v>
      </c>
    </row>
    <row r="141" ht="15.75" customHeight="1">
      <c r="A141" s="9">
        <v>152.0</v>
      </c>
      <c r="B141" s="10">
        <v>4.49638E7</v>
      </c>
      <c r="C141" s="10" t="s">
        <v>1715</v>
      </c>
      <c r="D141" s="10">
        <v>5.862097E7</v>
      </c>
      <c r="E141" s="30">
        <v>44198.0</v>
      </c>
      <c r="F141" s="221">
        <f t="shared" si="1"/>
        <v>4</v>
      </c>
      <c r="G141" s="224" t="s">
        <v>1576</v>
      </c>
      <c r="H141" s="161"/>
      <c r="I141" s="222">
        <f t="shared" si="2"/>
        <v>1</v>
      </c>
      <c r="J141" s="219">
        <f t="shared" si="3"/>
        <v>0</v>
      </c>
      <c r="K141" s="219">
        <f t="shared" si="4"/>
        <v>0</v>
      </c>
      <c r="L141" s="223">
        <f t="shared" si="5"/>
        <v>0</v>
      </c>
    </row>
    <row r="142" ht="15.75" customHeight="1">
      <c r="A142" s="5">
        <v>153.0</v>
      </c>
      <c r="B142" s="6">
        <v>9.3895929E7</v>
      </c>
      <c r="C142" s="6" t="s">
        <v>1716</v>
      </c>
      <c r="D142" s="6"/>
      <c r="E142" s="28">
        <v>44209.0</v>
      </c>
      <c r="F142" s="218">
        <f t="shared" si="1"/>
        <v>4</v>
      </c>
      <c r="G142" s="225" t="s">
        <v>1576</v>
      </c>
      <c r="H142" s="166"/>
      <c r="I142" s="222">
        <f t="shared" si="2"/>
        <v>1</v>
      </c>
      <c r="J142" s="219">
        <f t="shared" si="3"/>
        <v>0</v>
      </c>
      <c r="K142" s="219">
        <f t="shared" si="4"/>
        <v>0</v>
      </c>
      <c r="L142" s="223">
        <f t="shared" si="5"/>
        <v>0</v>
      </c>
    </row>
    <row r="143" ht="15.75" customHeight="1">
      <c r="A143" s="9">
        <v>154.0</v>
      </c>
      <c r="B143" s="10">
        <v>9.3996095E7</v>
      </c>
      <c r="C143" s="10" t="s">
        <v>1587</v>
      </c>
      <c r="D143" s="10">
        <v>5.0289552E7</v>
      </c>
      <c r="E143" s="30">
        <v>40323.0</v>
      </c>
      <c r="F143" s="221">
        <f t="shared" si="1"/>
        <v>15</v>
      </c>
      <c r="G143" s="224" t="s">
        <v>1576</v>
      </c>
      <c r="H143" s="161"/>
      <c r="I143" s="219">
        <f t="shared" si="2"/>
        <v>0</v>
      </c>
      <c r="J143" s="219">
        <f t="shared" si="3"/>
        <v>0</v>
      </c>
      <c r="K143" s="219">
        <f t="shared" si="4"/>
        <v>0</v>
      </c>
      <c r="L143" s="220">
        <f t="shared" si="5"/>
        <v>1</v>
      </c>
    </row>
    <row r="144" ht="15.75" customHeight="1">
      <c r="A144" s="5">
        <v>155.0</v>
      </c>
      <c r="B144" s="6">
        <v>9.3996095E7</v>
      </c>
      <c r="C144" s="6" t="s">
        <v>1717</v>
      </c>
      <c r="D144" s="6">
        <v>4.9002705E7</v>
      </c>
      <c r="E144" s="28">
        <v>39910.0</v>
      </c>
      <c r="F144" s="218">
        <f t="shared" si="1"/>
        <v>16</v>
      </c>
      <c r="G144" s="225" t="s">
        <v>1576</v>
      </c>
      <c r="H144" s="166"/>
      <c r="I144" s="219">
        <f t="shared" si="2"/>
        <v>0</v>
      </c>
      <c r="J144" s="219">
        <f t="shared" si="3"/>
        <v>0</v>
      </c>
      <c r="K144" s="219">
        <f t="shared" si="4"/>
        <v>0</v>
      </c>
      <c r="L144" s="220">
        <f t="shared" si="5"/>
        <v>1</v>
      </c>
    </row>
    <row r="145" ht="15.75" customHeight="1">
      <c r="A145" s="9">
        <v>156.0</v>
      </c>
      <c r="B145" s="10">
        <v>9.4087495E7</v>
      </c>
      <c r="C145" s="10" t="s">
        <v>1718</v>
      </c>
      <c r="D145" s="10"/>
      <c r="E145" s="30">
        <v>42354.0</v>
      </c>
      <c r="F145" s="221">
        <f t="shared" si="1"/>
        <v>10</v>
      </c>
      <c r="G145" s="224" t="s">
        <v>1576</v>
      </c>
      <c r="H145" s="161"/>
      <c r="I145" s="219">
        <f t="shared" si="2"/>
        <v>0</v>
      </c>
      <c r="J145" s="219">
        <f t="shared" si="3"/>
        <v>0</v>
      </c>
      <c r="K145" s="222">
        <f t="shared" si="4"/>
        <v>1</v>
      </c>
      <c r="L145" s="223">
        <f t="shared" si="5"/>
        <v>0</v>
      </c>
    </row>
    <row r="146" ht="15.75" customHeight="1">
      <c r="A146" s="5">
        <v>157.0</v>
      </c>
      <c r="B146" s="6">
        <v>9.4290896E7</v>
      </c>
      <c r="C146" s="6" t="s">
        <v>1719</v>
      </c>
      <c r="D146" s="6">
        <v>5.6282538E7</v>
      </c>
      <c r="E146" s="28">
        <v>42851.0</v>
      </c>
      <c r="F146" s="218">
        <f t="shared" si="1"/>
        <v>8</v>
      </c>
      <c r="G146" s="225" t="s">
        <v>1576</v>
      </c>
      <c r="H146" s="166"/>
      <c r="I146" s="219">
        <f t="shared" si="2"/>
        <v>0</v>
      </c>
      <c r="J146" s="222">
        <f t="shared" si="3"/>
        <v>1</v>
      </c>
      <c r="K146" s="219">
        <f t="shared" si="4"/>
        <v>0</v>
      </c>
      <c r="L146" s="223">
        <f t="shared" si="5"/>
        <v>0</v>
      </c>
    </row>
    <row r="147" ht="15.75" customHeight="1">
      <c r="A147" s="9">
        <v>158.0</v>
      </c>
      <c r="B147" s="10">
        <v>9.4521109E7</v>
      </c>
      <c r="C147" s="10" t="s">
        <v>1720</v>
      </c>
      <c r="D147" s="10"/>
      <c r="E147" s="30">
        <v>43513.0</v>
      </c>
      <c r="F147" s="221">
        <f t="shared" si="1"/>
        <v>6</v>
      </c>
      <c r="G147" s="224" t="s">
        <v>1576</v>
      </c>
      <c r="H147" s="161"/>
      <c r="I147" s="219">
        <f t="shared" si="2"/>
        <v>0</v>
      </c>
      <c r="J147" s="222">
        <f t="shared" si="3"/>
        <v>1</v>
      </c>
      <c r="K147" s="219">
        <f t="shared" si="4"/>
        <v>0</v>
      </c>
      <c r="L147" s="223">
        <f t="shared" si="5"/>
        <v>0</v>
      </c>
    </row>
    <row r="148" ht="15.75" customHeight="1">
      <c r="A148" s="5">
        <v>159.0</v>
      </c>
      <c r="B148" s="6">
        <v>9.5040589E7</v>
      </c>
      <c r="C148" s="6" t="s">
        <v>1721</v>
      </c>
      <c r="D148" s="6">
        <v>5.5389451E7</v>
      </c>
      <c r="E148" s="28">
        <v>42398.0</v>
      </c>
      <c r="F148" s="218">
        <f t="shared" si="1"/>
        <v>9</v>
      </c>
      <c r="G148" s="225" t="s">
        <v>1576</v>
      </c>
      <c r="H148" s="166"/>
      <c r="I148" s="219">
        <f t="shared" si="2"/>
        <v>0</v>
      </c>
      <c r="J148" s="219">
        <f t="shared" si="3"/>
        <v>0</v>
      </c>
      <c r="K148" s="222">
        <f t="shared" si="4"/>
        <v>1</v>
      </c>
      <c r="L148" s="223">
        <f t="shared" si="5"/>
        <v>0</v>
      </c>
    </row>
    <row r="149" ht="15.75" customHeight="1">
      <c r="A149" s="9">
        <v>160.0</v>
      </c>
      <c r="B149" s="10">
        <v>1.0000016E7</v>
      </c>
      <c r="C149" s="10" t="s">
        <v>1722</v>
      </c>
      <c r="D149" s="10">
        <v>5.6482959E7</v>
      </c>
      <c r="E149" s="30">
        <v>42962.0</v>
      </c>
      <c r="F149" s="221">
        <f t="shared" si="1"/>
        <v>8</v>
      </c>
      <c r="G149" s="224" t="s">
        <v>1576</v>
      </c>
      <c r="H149" s="161"/>
      <c r="I149" s="219">
        <f t="shared" si="2"/>
        <v>0</v>
      </c>
      <c r="J149" s="222">
        <f t="shared" si="3"/>
        <v>1</v>
      </c>
      <c r="K149" s="219">
        <f t="shared" si="4"/>
        <v>0</v>
      </c>
      <c r="L149" s="226">
        <f t="shared" si="5"/>
        <v>0</v>
      </c>
    </row>
    <row r="150" ht="15.75" customHeight="1">
      <c r="A150" s="5">
        <v>161.0</v>
      </c>
      <c r="B150" s="6">
        <v>1.0000017E7</v>
      </c>
      <c r="C150" s="6" t="s">
        <v>1723</v>
      </c>
      <c r="D150" s="6">
        <v>5.3814583E7</v>
      </c>
      <c r="E150" s="28">
        <v>41719.0</v>
      </c>
      <c r="F150" s="218">
        <f t="shared" si="1"/>
        <v>11</v>
      </c>
      <c r="G150" s="225" t="s">
        <v>1576</v>
      </c>
      <c r="H150" s="166"/>
      <c r="I150" s="219">
        <f t="shared" si="2"/>
        <v>0</v>
      </c>
      <c r="J150" s="219">
        <f t="shared" si="3"/>
        <v>0</v>
      </c>
      <c r="K150" s="222">
        <f t="shared" si="4"/>
        <v>1</v>
      </c>
      <c r="L150" s="226">
        <f t="shared" si="5"/>
        <v>0</v>
      </c>
    </row>
    <row r="151" ht="15.75" customHeight="1">
      <c r="A151" s="9">
        <v>162.0</v>
      </c>
      <c r="B151" s="10">
        <v>1.0000017E7</v>
      </c>
      <c r="C151" s="10" t="s">
        <v>1724</v>
      </c>
      <c r="D151" s="10">
        <v>5.5180992E7</v>
      </c>
      <c r="E151" s="30">
        <v>42350.0</v>
      </c>
      <c r="F151" s="221">
        <f t="shared" si="1"/>
        <v>10</v>
      </c>
      <c r="G151" s="224" t="s">
        <v>1576</v>
      </c>
      <c r="H151" s="161"/>
      <c r="I151" s="219">
        <f t="shared" si="2"/>
        <v>0</v>
      </c>
      <c r="J151" s="219">
        <f t="shared" si="3"/>
        <v>0</v>
      </c>
      <c r="K151" s="222">
        <f t="shared" si="4"/>
        <v>1</v>
      </c>
      <c r="L151" s="226">
        <f t="shared" si="5"/>
        <v>0</v>
      </c>
    </row>
    <row r="152" ht="15.75" customHeight="1">
      <c r="A152" s="5">
        <v>163.0</v>
      </c>
      <c r="B152" s="6">
        <v>1.0000018E7</v>
      </c>
      <c r="C152" s="6" t="s">
        <v>1725</v>
      </c>
      <c r="D152" s="6">
        <v>5.7523452E7</v>
      </c>
      <c r="E152" s="28">
        <v>43503.0</v>
      </c>
      <c r="F152" s="218">
        <f t="shared" si="1"/>
        <v>6</v>
      </c>
      <c r="G152" s="225" t="s">
        <v>1576</v>
      </c>
      <c r="H152" s="166"/>
      <c r="I152" s="219">
        <f t="shared" si="2"/>
        <v>0</v>
      </c>
      <c r="J152" s="222">
        <f t="shared" si="3"/>
        <v>1</v>
      </c>
      <c r="K152" s="219">
        <f t="shared" si="4"/>
        <v>0</v>
      </c>
      <c r="L152" s="226">
        <f t="shared" si="5"/>
        <v>0</v>
      </c>
    </row>
    <row r="153" ht="15.75" customHeight="1">
      <c r="A153" s="9">
        <v>164.0</v>
      </c>
      <c r="B153" s="10">
        <v>1.0000018E7</v>
      </c>
      <c r="C153" s="10" t="s">
        <v>1726</v>
      </c>
      <c r="D153" s="10">
        <v>5.9246931E7</v>
      </c>
      <c r="E153" s="30">
        <v>44657.0</v>
      </c>
      <c r="F153" s="221">
        <f t="shared" si="1"/>
        <v>3</v>
      </c>
      <c r="G153" s="224" t="s">
        <v>1576</v>
      </c>
      <c r="H153" s="161"/>
      <c r="I153" s="219">
        <f t="shared" si="2"/>
        <v>0</v>
      </c>
      <c r="J153" s="219">
        <f t="shared" si="3"/>
        <v>0</v>
      </c>
      <c r="K153" s="219">
        <f t="shared" si="4"/>
        <v>0</v>
      </c>
      <c r="L153" s="226">
        <f t="shared" si="5"/>
        <v>0</v>
      </c>
    </row>
    <row r="154" ht="15.75" customHeight="1">
      <c r="A154" s="5">
        <v>165.0</v>
      </c>
      <c r="B154" s="6">
        <v>1.0000019E7</v>
      </c>
      <c r="C154" s="6" t="s">
        <v>1727</v>
      </c>
      <c r="D154" s="6">
        <v>5.4525502E7</v>
      </c>
      <c r="E154" s="28">
        <v>42057.0</v>
      </c>
      <c r="F154" s="218">
        <f t="shared" si="1"/>
        <v>10</v>
      </c>
      <c r="G154" s="225" t="s">
        <v>1576</v>
      </c>
      <c r="H154" s="166"/>
      <c r="I154" s="219">
        <f t="shared" si="2"/>
        <v>0</v>
      </c>
      <c r="J154" s="219">
        <f t="shared" si="3"/>
        <v>0</v>
      </c>
      <c r="K154" s="222">
        <f t="shared" si="4"/>
        <v>1</v>
      </c>
      <c r="L154" s="226">
        <f t="shared" si="5"/>
        <v>0</v>
      </c>
    </row>
    <row r="155" ht="15.75" customHeight="1">
      <c r="A155" s="9">
        <v>166.0</v>
      </c>
      <c r="B155" s="10">
        <v>1.000002E7</v>
      </c>
      <c r="C155" s="10" t="s">
        <v>1728</v>
      </c>
      <c r="D155" s="10">
        <v>5.4299563E7</v>
      </c>
      <c r="E155" s="30">
        <v>41910.0</v>
      </c>
      <c r="F155" s="221">
        <f t="shared" si="1"/>
        <v>11</v>
      </c>
      <c r="G155" s="224" t="s">
        <v>1576</v>
      </c>
      <c r="H155" s="161"/>
      <c r="I155" s="219">
        <f t="shared" si="2"/>
        <v>0</v>
      </c>
      <c r="J155" s="219">
        <f t="shared" si="3"/>
        <v>0</v>
      </c>
      <c r="K155" s="222">
        <f t="shared" si="4"/>
        <v>1</v>
      </c>
      <c r="L155" s="226">
        <f t="shared" si="5"/>
        <v>0</v>
      </c>
    </row>
    <row r="156" ht="15.75" customHeight="1">
      <c r="A156" s="5">
        <v>167.0</v>
      </c>
      <c r="B156" s="6">
        <v>1.000002E7</v>
      </c>
      <c r="C156" s="6" t="s">
        <v>1729</v>
      </c>
      <c r="D156" s="6">
        <v>5.7477622E7</v>
      </c>
      <c r="E156" s="28">
        <v>43505.0</v>
      </c>
      <c r="F156" s="218">
        <f t="shared" si="1"/>
        <v>6</v>
      </c>
      <c r="G156" s="225" t="s">
        <v>1576</v>
      </c>
      <c r="H156" s="166"/>
      <c r="I156" s="219">
        <f t="shared" si="2"/>
        <v>0</v>
      </c>
      <c r="J156" s="222">
        <f t="shared" si="3"/>
        <v>1</v>
      </c>
      <c r="K156" s="219">
        <f t="shared" si="4"/>
        <v>0</v>
      </c>
      <c r="L156" s="226">
        <f t="shared" si="5"/>
        <v>0</v>
      </c>
    </row>
    <row r="157" ht="15.75" customHeight="1">
      <c r="A157" s="9">
        <v>168.0</v>
      </c>
      <c r="B157" s="10">
        <v>1.0000021E7</v>
      </c>
      <c r="C157" s="10" t="s">
        <v>1730</v>
      </c>
      <c r="D157" s="10">
        <v>9.5765873E7</v>
      </c>
      <c r="E157" s="30">
        <v>39128.0</v>
      </c>
      <c r="F157" s="221">
        <f t="shared" si="1"/>
        <v>18</v>
      </c>
      <c r="G157" s="224" t="s">
        <v>1576</v>
      </c>
      <c r="H157" s="161"/>
      <c r="I157" s="219">
        <f t="shared" si="2"/>
        <v>0</v>
      </c>
      <c r="J157" s="219">
        <f t="shared" si="3"/>
        <v>0</v>
      </c>
      <c r="K157" s="219">
        <f t="shared" si="4"/>
        <v>0</v>
      </c>
      <c r="L157" s="227">
        <f t="shared" si="5"/>
        <v>1</v>
      </c>
    </row>
    <row r="158" ht="15.75" customHeight="1">
      <c r="A158" s="19">
        <v>169.0</v>
      </c>
      <c r="B158" s="7">
        <v>3.9066896E7</v>
      </c>
      <c r="C158" s="7" t="s">
        <v>1148</v>
      </c>
      <c r="D158" s="7">
        <v>3.7113751E7</v>
      </c>
      <c r="E158" s="32">
        <v>42618.0</v>
      </c>
      <c r="F158" s="218">
        <f t="shared" si="1"/>
        <v>9</v>
      </c>
      <c r="G158" s="225"/>
      <c r="H158" s="166"/>
      <c r="I158" s="166">
        <f t="shared" si="2"/>
        <v>0</v>
      </c>
      <c r="J158" s="166">
        <f t="shared" si="3"/>
        <v>0</v>
      </c>
      <c r="K158" s="166">
        <f t="shared" si="4"/>
        <v>1</v>
      </c>
      <c r="L158" s="29">
        <f t="shared" si="5"/>
        <v>0</v>
      </c>
    </row>
    <row r="159" ht="15.75" customHeight="1">
      <c r="A159" s="37">
        <v>167.0</v>
      </c>
      <c r="B159" s="38">
        <v>2.79330531E8</v>
      </c>
      <c r="C159" s="38" t="s">
        <v>1731</v>
      </c>
      <c r="D159" s="38">
        <v>4.9087221E7</v>
      </c>
      <c r="E159" s="40">
        <v>39773.0</v>
      </c>
      <c r="F159" s="228">
        <f t="shared" si="1"/>
        <v>17</v>
      </c>
      <c r="G159" s="229"/>
      <c r="H159" s="68"/>
      <c r="I159" s="68">
        <f t="shared" si="2"/>
        <v>0</v>
      </c>
      <c r="J159" s="68">
        <f t="shared" si="3"/>
        <v>0</v>
      </c>
      <c r="K159" s="68">
        <f t="shared" si="4"/>
        <v>0</v>
      </c>
      <c r="L159" s="41">
        <f t="shared" si="5"/>
        <v>1</v>
      </c>
    </row>
    <row r="160" ht="15.75" customHeight="1">
      <c r="A160" s="230"/>
      <c r="B160" s="230"/>
      <c r="C160" s="230"/>
      <c r="D160" s="230"/>
      <c r="E160" s="231"/>
      <c r="F160" s="230"/>
      <c r="G160" s="230"/>
    </row>
    <row r="161" ht="15.75" customHeight="1">
      <c r="A161" s="230"/>
      <c r="B161" s="230"/>
      <c r="C161" s="230"/>
      <c r="D161" s="230"/>
      <c r="E161" s="231"/>
      <c r="F161" s="230"/>
      <c r="G161" s="230"/>
    </row>
    <row r="162" ht="15.75" customHeight="1">
      <c r="A162" s="230"/>
      <c r="B162" s="230"/>
      <c r="C162" s="230"/>
      <c r="D162" s="230"/>
      <c r="E162" s="231"/>
      <c r="F162" s="230"/>
      <c r="G162" s="230"/>
    </row>
    <row r="163" ht="15.75" customHeight="1">
      <c r="A163" s="230"/>
      <c r="B163" s="230"/>
      <c r="C163" s="230"/>
      <c r="D163" s="230"/>
      <c r="E163" s="231"/>
      <c r="F163" s="230"/>
      <c r="G163" s="230"/>
    </row>
    <row r="164" ht="15.75" customHeight="1">
      <c r="A164" s="230"/>
      <c r="B164" s="230"/>
      <c r="C164" s="230"/>
      <c r="D164" s="230"/>
      <c r="E164" s="231"/>
      <c r="F164" s="230"/>
      <c r="G164" s="230"/>
    </row>
    <row r="165" ht="15.75" customHeight="1">
      <c r="A165" s="230"/>
      <c r="B165" s="230"/>
      <c r="C165" s="230"/>
      <c r="D165" s="230"/>
      <c r="E165" s="231"/>
      <c r="F165" s="230"/>
      <c r="G165" s="230"/>
    </row>
    <row r="166" ht="15.75" customHeight="1">
      <c r="A166" s="230"/>
      <c r="B166" s="230"/>
      <c r="C166" s="230"/>
      <c r="D166" s="230"/>
      <c r="E166" s="231"/>
      <c r="F166" s="230"/>
      <c r="G166" s="230"/>
    </row>
    <row r="167" ht="15.75" customHeight="1">
      <c r="A167" s="230"/>
      <c r="B167" s="230"/>
      <c r="C167" s="230"/>
      <c r="D167" s="230"/>
      <c r="E167" s="231"/>
      <c r="F167" s="230"/>
      <c r="G167" s="230"/>
    </row>
    <row r="168" ht="15.75" customHeight="1">
      <c r="A168" s="230"/>
      <c r="B168" s="230"/>
      <c r="C168" s="230"/>
      <c r="D168" s="230"/>
      <c r="E168" s="231"/>
      <c r="F168" s="230"/>
      <c r="G168" s="230"/>
    </row>
    <row r="169" ht="15.75" customHeight="1">
      <c r="A169" s="230"/>
      <c r="B169" s="230"/>
      <c r="C169" s="230"/>
      <c r="D169" s="230"/>
      <c r="E169" s="231"/>
      <c r="F169" s="230"/>
      <c r="G169" s="230"/>
    </row>
    <row r="170" ht="15.75" customHeight="1">
      <c r="A170" s="230"/>
      <c r="B170" s="230"/>
      <c r="C170" s="230"/>
      <c r="D170" s="230"/>
      <c r="E170" s="231"/>
      <c r="F170" s="230"/>
      <c r="G170" s="230"/>
    </row>
    <row r="171" ht="15.75" customHeight="1">
      <c r="A171" s="230"/>
      <c r="B171" s="230"/>
      <c r="C171" s="230"/>
      <c r="D171" s="230"/>
      <c r="E171" s="231"/>
      <c r="F171" s="230"/>
      <c r="G171" s="230"/>
    </row>
    <row r="172" ht="15.75" customHeight="1">
      <c r="A172" s="230"/>
      <c r="B172" s="230"/>
      <c r="C172" s="230"/>
      <c r="D172" s="230"/>
      <c r="E172" s="231"/>
      <c r="F172" s="230"/>
      <c r="G172" s="230"/>
    </row>
    <row r="173" ht="15.75" customHeight="1">
      <c r="A173" s="230"/>
      <c r="B173" s="230"/>
      <c r="C173" s="230"/>
      <c r="D173" s="230"/>
      <c r="E173" s="231"/>
      <c r="F173" s="230"/>
      <c r="G173" s="230"/>
    </row>
    <row r="174" ht="15.75" customHeight="1">
      <c r="A174" s="230"/>
      <c r="B174" s="230"/>
      <c r="C174" s="230"/>
      <c r="D174" s="230"/>
      <c r="E174" s="231"/>
      <c r="F174" s="230"/>
      <c r="G174" s="230"/>
    </row>
    <row r="175" ht="15.75" customHeight="1">
      <c r="A175" s="230"/>
      <c r="B175" s="230"/>
      <c r="C175" s="230"/>
      <c r="D175" s="230"/>
      <c r="E175" s="231"/>
      <c r="F175" s="230"/>
      <c r="G175" s="230"/>
    </row>
    <row r="176" ht="15.75" customHeight="1">
      <c r="A176" s="230"/>
      <c r="B176" s="230"/>
      <c r="C176" s="230"/>
      <c r="D176" s="230"/>
      <c r="E176" s="231"/>
      <c r="F176" s="230"/>
      <c r="G176" s="230"/>
    </row>
    <row r="177" ht="15.75" customHeight="1">
      <c r="A177" s="230"/>
      <c r="B177" s="230"/>
      <c r="C177" s="230"/>
      <c r="D177" s="230"/>
      <c r="E177" s="231"/>
      <c r="F177" s="230"/>
      <c r="G177" s="230"/>
    </row>
    <row r="178" ht="15.75" customHeight="1">
      <c r="A178" s="230"/>
      <c r="B178" s="230"/>
      <c r="C178" s="230"/>
      <c r="D178" s="230"/>
      <c r="E178" s="231"/>
      <c r="F178" s="230"/>
      <c r="G178" s="230"/>
    </row>
    <row r="179" ht="15.75" customHeight="1">
      <c r="A179" s="230"/>
      <c r="B179" s="230"/>
      <c r="C179" s="230"/>
      <c r="D179" s="230"/>
      <c r="E179" s="231"/>
      <c r="F179" s="230"/>
      <c r="G179" s="230"/>
    </row>
    <row r="180" ht="15.75" customHeight="1">
      <c r="A180" s="230"/>
      <c r="B180" s="230"/>
      <c r="C180" s="230"/>
      <c r="D180" s="230"/>
      <c r="E180" s="231"/>
      <c r="F180" s="230"/>
      <c r="G180" s="230"/>
    </row>
    <row r="181" ht="15.75" customHeight="1">
      <c r="A181" s="230"/>
      <c r="B181" s="230"/>
      <c r="C181" s="230"/>
      <c r="D181" s="230"/>
      <c r="E181" s="231"/>
      <c r="F181" s="230"/>
      <c r="G181" s="230"/>
    </row>
    <row r="182" ht="15.75" customHeight="1">
      <c r="A182" s="230"/>
      <c r="B182" s="230"/>
      <c r="C182" s="230"/>
      <c r="D182" s="230"/>
      <c r="E182" s="231"/>
      <c r="F182" s="230"/>
      <c r="G182" s="230"/>
    </row>
    <row r="183" ht="15.75" customHeight="1">
      <c r="A183" s="230"/>
      <c r="B183" s="230"/>
      <c r="C183" s="230"/>
      <c r="D183" s="230"/>
      <c r="E183" s="231"/>
      <c r="F183" s="230"/>
      <c r="G183" s="230"/>
    </row>
    <row r="184" ht="15.75" customHeight="1">
      <c r="A184" s="230"/>
      <c r="B184" s="230"/>
      <c r="C184" s="230"/>
      <c r="D184" s="230"/>
      <c r="E184" s="231"/>
      <c r="F184" s="230"/>
      <c r="G184" s="230"/>
    </row>
    <row r="185" ht="15.75" customHeight="1">
      <c r="A185" s="230"/>
      <c r="B185" s="230"/>
      <c r="C185" s="230"/>
      <c r="D185" s="230"/>
      <c r="E185" s="231"/>
      <c r="F185" s="230"/>
      <c r="G185" s="230"/>
    </row>
    <row r="186" ht="15.75" customHeight="1">
      <c r="A186" s="230"/>
      <c r="B186" s="230"/>
      <c r="C186" s="230"/>
      <c r="D186" s="230"/>
      <c r="E186" s="231"/>
      <c r="F186" s="230"/>
      <c r="G186" s="230"/>
    </row>
    <row r="187" ht="15.75" customHeight="1">
      <c r="A187" s="230"/>
      <c r="B187" s="230"/>
      <c r="C187" s="230"/>
      <c r="D187" s="230"/>
      <c r="E187" s="231"/>
      <c r="F187" s="230"/>
      <c r="G187" s="230"/>
    </row>
    <row r="188" ht="15.75" customHeight="1">
      <c r="A188" s="230"/>
      <c r="B188" s="230"/>
      <c r="C188" s="230"/>
      <c r="D188" s="230"/>
      <c r="E188" s="231"/>
      <c r="F188" s="230"/>
      <c r="G188" s="230"/>
    </row>
    <row r="189" ht="15.75" customHeight="1">
      <c r="A189" s="230"/>
      <c r="B189" s="230"/>
      <c r="C189" s="230"/>
      <c r="D189" s="230"/>
      <c r="E189" s="231"/>
      <c r="F189" s="230"/>
      <c r="G189" s="230"/>
    </row>
    <row r="190" ht="15.75" customHeight="1">
      <c r="A190" s="230"/>
      <c r="B190" s="230"/>
      <c r="C190" s="230"/>
      <c r="D190" s="230"/>
      <c r="E190" s="231"/>
      <c r="F190" s="230"/>
      <c r="G190" s="230"/>
    </row>
    <row r="191" ht="15.75" customHeight="1">
      <c r="A191" s="230"/>
      <c r="B191" s="230"/>
      <c r="C191" s="230"/>
      <c r="D191" s="230"/>
      <c r="E191" s="231"/>
      <c r="F191" s="230"/>
      <c r="G191" s="230"/>
    </row>
    <row r="192" ht="15.75" customHeight="1">
      <c r="A192" s="230"/>
      <c r="B192" s="230"/>
      <c r="C192" s="230"/>
      <c r="D192" s="230"/>
      <c r="E192" s="231"/>
      <c r="F192" s="230"/>
      <c r="G192" s="230"/>
    </row>
    <row r="193" ht="15.75" customHeight="1">
      <c r="A193" s="230"/>
      <c r="B193" s="230"/>
      <c r="C193" s="230"/>
      <c r="D193" s="230"/>
      <c r="E193" s="231"/>
      <c r="F193" s="230"/>
      <c r="G193" s="230"/>
    </row>
    <row r="194" ht="15.75" customHeight="1">
      <c r="A194" s="230"/>
      <c r="B194" s="230"/>
      <c r="C194" s="230"/>
      <c r="D194" s="230"/>
      <c r="E194" s="231"/>
      <c r="F194" s="230"/>
      <c r="G194" s="230"/>
    </row>
    <row r="195" ht="15.75" customHeight="1">
      <c r="A195" s="230"/>
      <c r="B195" s="230"/>
      <c r="C195" s="230"/>
      <c r="D195" s="230"/>
      <c r="E195" s="231"/>
      <c r="F195" s="230"/>
      <c r="G195" s="230"/>
    </row>
    <row r="196" ht="15.75" customHeight="1">
      <c r="A196" s="230"/>
      <c r="B196" s="230"/>
      <c r="C196" s="230"/>
      <c r="D196" s="230"/>
      <c r="E196" s="231"/>
      <c r="F196" s="230"/>
      <c r="G196" s="230"/>
    </row>
    <row r="197" ht="15.75" customHeight="1">
      <c r="A197" s="230"/>
      <c r="B197" s="230"/>
      <c r="C197" s="230"/>
      <c r="D197" s="230"/>
      <c r="E197" s="231"/>
      <c r="F197" s="230"/>
      <c r="G197" s="230"/>
    </row>
    <row r="198" ht="15.75" customHeight="1">
      <c r="A198" s="230"/>
      <c r="B198" s="230"/>
      <c r="C198" s="230"/>
      <c r="D198" s="230"/>
      <c r="E198" s="231"/>
      <c r="F198" s="230"/>
      <c r="G198" s="230"/>
    </row>
    <row r="199" ht="15.75" customHeight="1">
      <c r="A199" s="230"/>
      <c r="B199" s="230"/>
      <c r="C199" s="230"/>
      <c r="D199" s="230"/>
      <c r="E199" s="231"/>
      <c r="F199" s="230"/>
      <c r="G199" s="230"/>
    </row>
    <row r="200" ht="15.75" customHeight="1">
      <c r="A200" s="230"/>
      <c r="B200" s="230"/>
      <c r="C200" s="230"/>
      <c r="D200" s="230"/>
      <c r="E200" s="231"/>
      <c r="F200" s="230"/>
      <c r="G200" s="230"/>
    </row>
    <row r="201" ht="15.75" customHeight="1">
      <c r="A201" s="230"/>
      <c r="B201" s="230"/>
      <c r="C201" s="230"/>
      <c r="D201" s="230"/>
      <c r="E201" s="231"/>
      <c r="F201" s="230"/>
      <c r="G201" s="230"/>
    </row>
    <row r="202" ht="15.75" customHeight="1">
      <c r="A202" s="230"/>
      <c r="B202" s="230"/>
      <c r="C202" s="230"/>
      <c r="D202" s="230"/>
      <c r="E202" s="231"/>
      <c r="F202" s="230"/>
      <c r="G202" s="230"/>
    </row>
    <row r="203" ht="15.75" customHeight="1">
      <c r="A203" s="230"/>
      <c r="B203" s="230"/>
      <c r="C203" s="230"/>
      <c r="D203" s="230"/>
      <c r="E203" s="231"/>
      <c r="F203" s="230"/>
      <c r="G203" s="230"/>
    </row>
    <row r="204" ht="15.75" customHeight="1">
      <c r="A204" s="230"/>
      <c r="B204" s="230"/>
      <c r="C204" s="230"/>
      <c r="D204" s="230"/>
      <c r="E204" s="231"/>
      <c r="F204" s="230"/>
      <c r="G204" s="230"/>
    </row>
    <row r="205" ht="15.75" customHeight="1">
      <c r="A205" s="230"/>
      <c r="B205" s="230"/>
      <c r="C205" s="230"/>
      <c r="D205" s="230"/>
      <c r="E205" s="231"/>
      <c r="F205" s="230"/>
      <c r="G205" s="230"/>
    </row>
    <row r="206" ht="15.75" customHeight="1">
      <c r="A206" s="230"/>
      <c r="B206" s="230"/>
      <c r="C206" s="230"/>
      <c r="D206" s="230"/>
      <c r="E206" s="231"/>
      <c r="F206" s="230"/>
      <c r="G206" s="230"/>
    </row>
    <row r="207" ht="15.75" customHeight="1">
      <c r="A207" s="230"/>
      <c r="B207" s="230"/>
      <c r="C207" s="230"/>
      <c r="D207" s="230"/>
      <c r="E207" s="231"/>
      <c r="F207" s="230"/>
      <c r="G207" s="230"/>
    </row>
    <row r="208" ht="15.75" customHeight="1">
      <c r="A208" s="230"/>
      <c r="B208" s="230"/>
      <c r="C208" s="230"/>
      <c r="D208" s="230"/>
      <c r="E208" s="231"/>
      <c r="F208" s="230"/>
      <c r="G208" s="230"/>
    </row>
    <row r="209" ht="15.75" customHeight="1">
      <c r="A209" s="230"/>
      <c r="B209" s="230"/>
      <c r="C209" s="230"/>
      <c r="D209" s="230"/>
      <c r="E209" s="231"/>
      <c r="F209" s="230"/>
      <c r="G209" s="230"/>
    </row>
    <row r="210" ht="15.75" customHeight="1">
      <c r="A210" s="230"/>
      <c r="B210" s="230"/>
      <c r="C210" s="230"/>
      <c r="D210" s="230"/>
      <c r="E210" s="231"/>
      <c r="F210" s="230"/>
      <c r="G210" s="230"/>
    </row>
    <row r="211" ht="15.75" customHeight="1">
      <c r="A211" s="230"/>
      <c r="B211" s="230"/>
      <c r="C211" s="230"/>
      <c r="D211" s="230"/>
      <c r="E211" s="231"/>
      <c r="F211" s="230"/>
      <c r="G211" s="230"/>
    </row>
    <row r="212" ht="15.75" customHeight="1">
      <c r="A212" s="230"/>
      <c r="B212" s="230"/>
      <c r="C212" s="230"/>
      <c r="D212" s="230"/>
      <c r="E212" s="231"/>
      <c r="F212" s="230"/>
      <c r="G212" s="230"/>
    </row>
    <row r="213" ht="15.75" customHeight="1">
      <c r="A213" s="230"/>
      <c r="B213" s="230"/>
      <c r="C213" s="230"/>
      <c r="D213" s="230"/>
      <c r="E213" s="231"/>
      <c r="F213" s="230"/>
      <c r="G213" s="230"/>
    </row>
    <row r="214" ht="15.75" customHeight="1">
      <c r="A214" s="230"/>
      <c r="B214" s="230"/>
      <c r="C214" s="230"/>
      <c r="D214" s="230"/>
      <c r="E214" s="231"/>
      <c r="F214" s="230"/>
      <c r="G214" s="230"/>
    </row>
    <row r="215" ht="15.75" customHeight="1">
      <c r="A215" s="230"/>
      <c r="B215" s="230"/>
      <c r="C215" s="230"/>
      <c r="D215" s="230"/>
      <c r="E215" s="231"/>
      <c r="F215" s="230"/>
      <c r="G215" s="230"/>
    </row>
    <row r="216" ht="15.75" customHeight="1">
      <c r="A216" s="230"/>
      <c r="B216" s="230"/>
      <c r="C216" s="230"/>
      <c r="D216" s="230"/>
      <c r="E216" s="231"/>
      <c r="F216" s="230"/>
      <c r="G216" s="230"/>
    </row>
    <row r="217" ht="15.75" customHeight="1">
      <c r="A217" s="230"/>
      <c r="B217" s="230"/>
      <c r="C217" s="230"/>
      <c r="D217" s="230"/>
      <c r="E217" s="231"/>
      <c r="F217" s="230"/>
      <c r="G217" s="230"/>
    </row>
    <row r="218" ht="15.75" customHeight="1">
      <c r="A218" s="230"/>
      <c r="B218" s="230"/>
      <c r="C218" s="230"/>
      <c r="D218" s="230"/>
      <c r="E218" s="231"/>
      <c r="F218" s="230"/>
      <c r="G218" s="230"/>
    </row>
    <row r="219" ht="15.75" customHeight="1">
      <c r="A219" s="230"/>
      <c r="B219" s="230"/>
      <c r="C219" s="230"/>
      <c r="D219" s="230"/>
      <c r="E219" s="231"/>
      <c r="F219" s="230"/>
      <c r="G219" s="230"/>
    </row>
    <row r="220" ht="15.75" customHeight="1">
      <c r="A220" s="230"/>
      <c r="B220" s="230"/>
      <c r="C220" s="230"/>
      <c r="D220" s="230"/>
      <c r="E220" s="231"/>
      <c r="F220" s="230"/>
      <c r="G220" s="230"/>
    </row>
    <row r="221" ht="15.75" customHeight="1">
      <c r="A221" s="230"/>
      <c r="B221" s="230"/>
      <c r="C221" s="230"/>
      <c r="D221" s="230"/>
      <c r="E221" s="231"/>
      <c r="F221" s="230"/>
      <c r="G221" s="230"/>
    </row>
    <row r="222" ht="15.75" customHeight="1">
      <c r="A222" s="230"/>
      <c r="B222" s="230"/>
      <c r="C222" s="230"/>
      <c r="D222" s="230"/>
      <c r="E222" s="231"/>
      <c r="F222" s="230"/>
      <c r="G222" s="230"/>
    </row>
    <row r="223" ht="15.75" customHeight="1">
      <c r="A223" s="230"/>
      <c r="B223" s="230"/>
      <c r="C223" s="230"/>
      <c r="D223" s="230"/>
      <c r="E223" s="231"/>
      <c r="F223" s="230"/>
      <c r="G223" s="230"/>
    </row>
    <row r="224" ht="15.75" customHeight="1">
      <c r="A224" s="230"/>
      <c r="B224" s="230"/>
      <c r="C224" s="230"/>
      <c r="D224" s="230"/>
      <c r="E224" s="231"/>
      <c r="F224" s="230"/>
      <c r="G224" s="230"/>
    </row>
    <row r="225" ht="15.75" customHeight="1">
      <c r="A225" s="230"/>
      <c r="B225" s="230"/>
      <c r="C225" s="230"/>
      <c r="D225" s="230"/>
      <c r="E225" s="231"/>
      <c r="F225" s="230"/>
      <c r="G225" s="230"/>
    </row>
    <row r="226" ht="15.75" customHeight="1">
      <c r="A226" s="230"/>
      <c r="B226" s="230"/>
      <c r="C226" s="230"/>
      <c r="D226" s="230"/>
      <c r="E226" s="231"/>
      <c r="F226" s="230"/>
      <c r="G226" s="230"/>
    </row>
    <row r="227" ht="15.75" customHeight="1">
      <c r="A227" s="230"/>
      <c r="B227" s="230"/>
      <c r="C227" s="230"/>
      <c r="D227" s="230"/>
      <c r="E227" s="231"/>
      <c r="F227" s="230"/>
      <c r="G227" s="230"/>
    </row>
    <row r="228" ht="15.75" customHeight="1">
      <c r="A228" s="230"/>
      <c r="B228" s="230"/>
      <c r="C228" s="230"/>
      <c r="D228" s="230"/>
      <c r="E228" s="231"/>
      <c r="F228" s="230"/>
      <c r="G228" s="230"/>
    </row>
    <row r="229" ht="15.75" customHeight="1">
      <c r="A229" s="230"/>
      <c r="B229" s="230"/>
      <c r="C229" s="230"/>
      <c r="D229" s="230"/>
      <c r="E229" s="231"/>
      <c r="F229" s="230"/>
      <c r="G229" s="230"/>
    </row>
    <row r="230" ht="15.75" customHeight="1">
      <c r="A230" s="230"/>
      <c r="B230" s="230"/>
      <c r="C230" s="230"/>
      <c r="D230" s="230"/>
      <c r="E230" s="231"/>
      <c r="F230" s="230"/>
      <c r="G230" s="230"/>
    </row>
    <row r="231" ht="15.75" customHeight="1">
      <c r="A231" s="230"/>
      <c r="B231" s="230"/>
      <c r="C231" s="230"/>
      <c r="D231" s="230"/>
      <c r="E231" s="231"/>
      <c r="F231" s="230"/>
      <c r="G231" s="230"/>
    </row>
    <row r="232" ht="15.75" customHeight="1">
      <c r="A232" s="230"/>
      <c r="B232" s="230"/>
      <c r="C232" s="230"/>
      <c r="D232" s="230"/>
      <c r="E232" s="231"/>
      <c r="F232" s="230"/>
      <c r="G232" s="230"/>
    </row>
    <row r="233" ht="15.75" customHeight="1">
      <c r="A233" s="230"/>
      <c r="B233" s="230"/>
      <c r="C233" s="230"/>
      <c r="D233" s="230"/>
      <c r="E233" s="231"/>
      <c r="F233" s="230"/>
      <c r="G233" s="230"/>
    </row>
    <row r="234" ht="15.75" customHeight="1">
      <c r="A234" s="230"/>
      <c r="B234" s="230"/>
      <c r="C234" s="230"/>
      <c r="D234" s="230"/>
      <c r="E234" s="231"/>
      <c r="F234" s="230"/>
      <c r="G234" s="230"/>
    </row>
    <row r="235" ht="15.75" customHeight="1">
      <c r="A235" s="230"/>
      <c r="B235" s="230"/>
      <c r="C235" s="230"/>
      <c r="D235" s="230"/>
      <c r="E235" s="231"/>
      <c r="F235" s="230"/>
      <c r="G235" s="230"/>
    </row>
    <row r="236" ht="15.75" customHeight="1">
      <c r="A236" s="230"/>
      <c r="B236" s="230"/>
      <c r="C236" s="230"/>
      <c r="D236" s="230"/>
      <c r="E236" s="231"/>
      <c r="F236" s="230"/>
      <c r="G236" s="230"/>
    </row>
    <row r="237" ht="15.75" customHeight="1">
      <c r="A237" s="230"/>
      <c r="B237" s="230"/>
      <c r="C237" s="230"/>
      <c r="D237" s="230"/>
      <c r="E237" s="231"/>
      <c r="F237" s="230"/>
      <c r="G237" s="230"/>
    </row>
    <row r="238" ht="15.75" customHeight="1">
      <c r="A238" s="230"/>
      <c r="B238" s="230"/>
      <c r="C238" s="230"/>
      <c r="D238" s="230"/>
      <c r="E238" s="231"/>
      <c r="F238" s="230"/>
      <c r="G238" s="230"/>
    </row>
    <row r="239" ht="15.75" customHeight="1">
      <c r="A239" s="230"/>
      <c r="B239" s="230"/>
      <c r="C239" s="230"/>
      <c r="D239" s="230"/>
      <c r="E239" s="231"/>
      <c r="F239" s="230"/>
      <c r="G239" s="230"/>
    </row>
    <row r="240" ht="15.75" customHeight="1">
      <c r="A240" s="230"/>
      <c r="B240" s="230"/>
      <c r="C240" s="230"/>
      <c r="D240" s="230"/>
      <c r="E240" s="231"/>
      <c r="F240" s="230"/>
      <c r="G240" s="230"/>
    </row>
    <row r="241" ht="15.75" customHeight="1">
      <c r="A241" s="230"/>
      <c r="B241" s="230"/>
      <c r="C241" s="230"/>
      <c r="D241" s="230"/>
      <c r="E241" s="231"/>
      <c r="F241" s="230"/>
      <c r="G241" s="230"/>
    </row>
    <row r="242" ht="15.75" customHeight="1">
      <c r="A242" s="230"/>
      <c r="B242" s="230"/>
      <c r="C242" s="230"/>
      <c r="D242" s="230"/>
      <c r="E242" s="231"/>
      <c r="F242" s="230"/>
      <c r="G242" s="230"/>
    </row>
    <row r="243" ht="15.75" customHeight="1">
      <c r="A243" s="230"/>
      <c r="B243" s="230"/>
      <c r="C243" s="230"/>
      <c r="D243" s="230"/>
      <c r="E243" s="231"/>
      <c r="F243" s="230"/>
      <c r="G243" s="230"/>
    </row>
    <row r="244" ht="15.75" customHeight="1">
      <c r="A244" s="230"/>
      <c r="B244" s="230"/>
      <c r="C244" s="230"/>
      <c r="D244" s="230"/>
      <c r="E244" s="231"/>
      <c r="F244" s="230"/>
      <c r="G244" s="230"/>
    </row>
    <row r="245" ht="15.75" customHeight="1">
      <c r="A245" s="230"/>
      <c r="B245" s="230"/>
      <c r="C245" s="230"/>
      <c r="D245" s="230"/>
      <c r="E245" s="231"/>
      <c r="F245" s="230"/>
      <c r="G245" s="230"/>
    </row>
    <row r="246" ht="15.75" customHeight="1">
      <c r="A246" s="230"/>
      <c r="B246" s="230"/>
      <c r="C246" s="230"/>
      <c r="D246" s="230"/>
      <c r="E246" s="231"/>
      <c r="F246" s="230"/>
      <c r="G246" s="230"/>
    </row>
    <row r="247" ht="15.75" customHeight="1">
      <c r="A247" s="230"/>
      <c r="B247" s="230"/>
      <c r="C247" s="230"/>
      <c r="D247" s="230"/>
      <c r="E247" s="231"/>
      <c r="F247" s="230"/>
      <c r="G247" s="230"/>
    </row>
    <row r="248" ht="15.75" customHeight="1">
      <c r="A248" s="230"/>
      <c r="B248" s="230"/>
      <c r="C248" s="230"/>
      <c r="D248" s="230"/>
      <c r="E248" s="231"/>
      <c r="F248" s="230"/>
      <c r="G248" s="230"/>
    </row>
    <row r="249" ht="15.75" customHeight="1">
      <c r="A249" s="230"/>
      <c r="B249" s="230"/>
      <c r="C249" s="230"/>
      <c r="D249" s="230"/>
      <c r="E249" s="231"/>
      <c r="F249" s="230"/>
      <c r="G249" s="230"/>
    </row>
    <row r="250" ht="15.75" customHeight="1">
      <c r="A250" s="230"/>
      <c r="B250" s="230"/>
      <c r="C250" s="230"/>
      <c r="D250" s="230"/>
      <c r="E250" s="231"/>
      <c r="F250" s="230"/>
      <c r="G250" s="230"/>
    </row>
    <row r="251" ht="15.75" customHeight="1">
      <c r="A251" s="230"/>
      <c r="B251" s="230"/>
      <c r="C251" s="230"/>
      <c r="D251" s="230"/>
      <c r="E251" s="231"/>
      <c r="F251" s="230"/>
      <c r="G251" s="230"/>
    </row>
    <row r="252" ht="15.75" customHeight="1">
      <c r="A252" s="230"/>
      <c r="B252" s="230"/>
      <c r="C252" s="230"/>
      <c r="D252" s="230"/>
      <c r="E252" s="231"/>
      <c r="F252" s="230"/>
      <c r="G252" s="230"/>
    </row>
    <row r="253" ht="15.75" customHeight="1">
      <c r="A253" s="230"/>
      <c r="B253" s="230"/>
      <c r="C253" s="230"/>
      <c r="D253" s="230"/>
      <c r="E253" s="231"/>
      <c r="F253" s="230"/>
      <c r="G253" s="230"/>
    </row>
    <row r="254" ht="15.75" customHeight="1">
      <c r="A254" s="230"/>
      <c r="B254" s="230"/>
      <c r="C254" s="230"/>
      <c r="D254" s="230"/>
      <c r="E254" s="231"/>
      <c r="F254" s="230"/>
      <c r="G254" s="230"/>
    </row>
    <row r="255" ht="15.75" customHeight="1">
      <c r="A255" s="230"/>
      <c r="B255" s="230"/>
      <c r="C255" s="230"/>
      <c r="D255" s="230"/>
      <c r="E255" s="231"/>
      <c r="F255" s="230"/>
      <c r="G255" s="230"/>
    </row>
    <row r="256" ht="15.75" customHeight="1">
      <c r="A256" s="230"/>
      <c r="B256" s="230"/>
      <c r="C256" s="230"/>
      <c r="D256" s="230"/>
      <c r="E256" s="231"/>
      <c r="F256" s="230"/>
      <c r="G256" s="230"/>
    </row>
    <row r="257" ht="15.75" customHeight="1">
      <c r="A257" s="230"/>
      <c r="B257" s="230"/>
      <c r="C257" s="230"/>
      <c r="D257" s="230"/>
      <c r="E257" s="231"/>
      <c r="F257" s="230"/>
      <c r="G257" s="230"/>
    </row>
    <row r="258" ht="15.75" customHeight="1">
      <c r="A258" s="230"/>
      <c r="B258" s="230"/>
      <c r="C258" s="230"/>
      <c r="D258" s="230"/>
      <c r="E258" s="231"/>
      <c r="F258" s="230"/>
      <c r="G258" s="230"/>
    </row>
    <row r="259" ht="15.75" customHeight="1">
      <c r="A259" s="230"/>
      <c r="B259" s="230"/>
      <c r="C259" s="230"/>
      <c r="D259" s="230"/>
      <c r="E259" s="231"/>
      <c r="F259" s="230"/>
      <c r="G259" s="230"/>
    </row>
    <row r="260" ht="15.75" customHeight="1">
      <c r="A260" s="230"/>
      <c r="B260" s="230"/>
      <c r="C260" s="230"/>
      <c r="D260" s="230"/>
      <c r="E260" s="231"/>
      <c r="F260" s="230"/>
      <c r="G260" s="230"/>
    </row>
    <row r="261" ht="15.75" customHeight="1">
      <c r="A261" s="230"/>
      <c r="B261" s="230"/>
      <c r="C261" s="230"/>
      <c r="D261" s="230"/>
      <c r="E261" s="231"/>
      <c r="F261" s="230"/>
      <c r="G261" s="230"/>
    </row>
    <row r="262" ht="15.75" customHeight="1">
      <c r="A262" s="230"/>
      <c r="B262" s="230"/>
      <c r="C262" s="230"/>
      <c r="D262" s="230"/>
      <c r="E262" s="231"/>
      <c r="F262" s="230"/>
      <c r="G262" s="230"/>
    </row>
    <row r="263" ht="15.75" customHeight="1">
      <c r="A263" s="230"/>
      <c r="B263" s="230"/>
      <c r="C263" s="230"/>
      <c r="D263" s="230"/>
      <c r="E263" s="231"/>
      <c r="F263" s="230"/>
      <c r="G263" s="230"/>
    </row>
    <row r="264" ht="15.75" customHeight="1">
      <c r="A264" s="230"/>
      <c r="B264" s="230"/>
      <c r="C264" s="230"/>
      <c r="D264" s="230"/>
      <c r="E264" s="231"/>
      <c r="F264" s="230"/>
      <c r="G264" s="230"/>
    </row>
    <row r="265" ht="15.75" customHeight="1">
      <c r="A265" s="230"/>
      <c r="B265" s="230"/>
      <c r="C265" s="230"/>
      <c r="D265" s="230"/>
      <c r="E265" s="231"/>
      <c r="F265" s="230"/>
      <c r="G265" s="230"/>
    </row>
    <row r="266" ht="15.75" customHeight="1">
      <c r="A266" s="230"/>
      <c r="B266" s="230"/>
      <c r="C266" s="230"/>
      <c r="D266" s="230"/>
      <c r="E266" s="231"/>
      <c r="F266" s="230"/>
      <c r="G266" s="230"/>
    </row>
    <row r="267" ht="15.75" customHeight="1">
      <c r="A267" s="230"/>
      <c r="B267" s="230"/>
      <c r="C267" s="230"/>
      <c r="D267" s="230"/>
      <c r="E267" s="231"/>
      <c r="F267" s="230"/>
      <c r="G267" s="230"/>
    </row>
    <row r="268" ht="15.75" customHeight="1">
      <c r="A268" s="230"/>
      <c r="B268" s="230"/>
      <c r="C268" s="230"/>
      <c r="D268" s="230"/>
      <c r="E268" s="231"/>
      <c r="F268" s="230"/>
      <c r="G268" s="230"/>
    </row>
    <row r="269" ht="15.75" customHeight="1">
      <c r="A269" s="230"/>
      <c r="B269" s="230"/>
      <c r="C269" s="230"/>
      <c r="D269" s="230"/>
      <c r="E269" s="231"/>
      <c r="F269" s="230"/>
      <c r="G269" s="230"/>
    </row>
    <row r="270" ht="15.75" customHeight="1">
      <c r="A270" s="230"/>
      <c r="B270" s="230"/>
      <c r="C270" s="230"/>
      <c r="D270" s="230"/>
      <c r="E270" s="231"/>
      <c r="F270" s="230"/>
      <c r="G270" s="230"/>
    </row>
    <row r="271" ht="15.75" customHeight="1">
      <c r="A271" s="230"/>
      <c r="B271" s="230"/>
      <c r="C271" s="230"/>
      <c r="D271" s="230"/>
      <c r="E271" s="231"/>
      <c r="F271" s="230"/>
      <c r="G271" s="230"/>
    </row>
    <row r="272" ht="15.75" customHeight="1">
      <c r="A272" s="230"/>
      <c r="B272" s="230"/>
      <c r="C272" s="230"/>
      <c r="D272" s="230"/>
      <c r="E272" s="231"/>
      <c r="F272" s="230"/>
      <c r="G272" s="230"/>
    </row>
    <row r="273" ht="15.75" customHeight="1">
      <c r="A273" s="230"/>
      <c r="B273" s="230"/>
      <c r="C273" s="230"/>
      <c r="D273" s="230"/>
      <c r="E273" s="231"/>
      <c r="F273" s="230"/>
      <c r="G273" s="230"/>
    </row>
    <row r="274" ht="15.75" customHeight="1">
      <c r="A274" s="230"/>
      <c r="B274" s="230"/>
      <c r="C274" s="230"/>
      <c r="D274" s="230"/>
      <c r="E274" s="231"/>
      <c r="F274" s="230"/>
      <c r="G274" s="230"/>
    </row>
    <row r="275" ht="15.75" customHeight="1">
      <c r="A275" s="230"/>
      <c r="B275" s="230"/>
      <c r="C275" s="230"/>
      <c r="D275" s="230"/>
      <c r="E275" s="231"/>
      <c r="F275" s="230"/>
      <c r="G275" s="230"/>
    </row>
    <row r="276" ht="15.75" customHeight="1">
      <c r="A276" s="230"/>
      <c r="B276" s="230"/>
      <c r="C276" s="230"/>
      <c r="D276" s="230"/>
      <c r="E276" s="231"/>
      <c r="F276" s="230"/>
      <c r="G276" s="230"/>
    </row>
    <row r="277" ht="15.75" customHeight="1">
      <c r="A277" s="230"/>
      <c r="B277" s="230"/>
      <c r="C277" s="230"/>
      <c r="D277" s="230"/>
      <c r="E277" s="231"/>
      <c r="F277" s="230"/>
      <c r="G277" s="230"/>
    </row>
    <row r="278" ht="15.75" customHeight="1">
      <c r="A278" s="230"/>
      <c r="B278" s="230"/>
      <c r="C278" s="230"/>
      <c r="D278" s="230"/>
      <c r="E278" s="231"/>
      <c r="F278" s="230"/>
      <c r="G278" s="230"/>
    </row>
    <row r="279" ht="15.75" customHeight="1">
      <c r="A279" s="230"/>
      <c r="B279" s="230"/>
      <c r="C279" s="230"/>
      <c r="D279" s="230"/>
      <c r="E279" s="231"/>
      <c r="F279" s="230"/>
      <c r="G279" s="230"/>
    </row>
    <row r="280" ht="15.75" customHeight="1">
      <c r="A280" s="230"/>
      <c r="B280" s="230"/>
      <c r="C280" s="230"/>
      <c r="D280" s="230"/>
      <c r="E280" s="231"/>
      <c r="F280" s="230"/>
      <c r="G280" s="230"/>
    </row>
    <row r="281" ht="15.75" customHeight="1">
      <c r="A281" s="230"/>
      <c r="B281" s="230"/>
      <c r="C281" s="230"/>
      <c r="D281" s="230"/>
      <c r="E281" s="231"/>
      <c r="F281" s="230"/>
      <c r="G281" s="230"/>
    </row>
    <row r="282" ht="15.75" customHeight="1">
      <c r="A282" s="230"/>
      <c r="B282" s="230"/>
      <c r="C282" s="230"/>
      <c r="D282" s="230"/>
      <c r="E282" s="231"/>
      <c r="F282" s="230"/>
      <c r="G282" s="230"/>
    </row>
    <row r="283" ht="15.75" customHeight="1">
      <c r="A283" s="230"/>
      <c r="B283" s="230"/>
      <c r="C283" s="230"/>
      <c r="D283" s="230"/>
      <c r="E283" s="231"/>
      <c r="F283" s="230"/>
      <c r="G283" s="230"/>
    </row>
    <row r="284" ht="15.75" customHeight="1">
      <c r="A284" s="230"/>
      <c r="B284" s="230"/>
      <c r="C284" s="230"/>
      <c r="D284" s="230"/>
      <c r="E284" s="231"/>
      <c r="F284" s="230"/>
      <c r="G284" s="230"/>
    </row>
    <row r="285" ht="15.75" customHeight="1">
      <c r="A285" s="230"/>
      <c r="B285" s="230"/>
      <c r="C285" s="230"/>
      <c r="D285" s="230"/>
      <c r="E285" s="231"/>
      <c r="F285" s="230"/>
      <c r="G285" s="230"/>
    </row>
    <row r="286" ht="15.75" customHeight="1">
      <c r="A286" s="230"/>
      <c r="B286" s="230"/>
      <c r="C286" s="230"/>
      <c r="D286" s="230"/>
      <c r="E286" s="231"/>
      <c r="F286" s="230"/>
      <c r="G286" s="230"/>
    </row>
    <row r="287" ht="15.75" customHeight="1">
      <c r="A287" s="230"/>
      <c r="B287" s="230"/>
      <c r="C287" s="230"/>
      <c r="D287" s="230"/>
      <c r="E287" s="231"/>
      <c r="F287" s="230"/>
      <c r="G287" s="230"/>
    </row>
    <row r="288" ht="15.75" customHeight="1">
      <c r="A288" s="230"/>
      <c r="B288" s="230"/>
      <c r="C288" s="230"/>
      <c r="D288" s="230"/>
      <c r="E288" s="231"/>
      <c r="F288" s="230"/>
      <c r="G288" s="230"/>
    </row>
    <row r="289" ht="15.75" customHeight="1">
      <c r="A289" s="230"/>
      <c r="B289" s="230"/>
      <c r="C289" s="230"/>
      <c r="D289" s="230"/>
      <c r="E289" s="231"/>
      <c r="F289" s="230"/>
      <c r="G289" s="230"/>
    </row>
    <row r="290" ht="15.75" customHeight="1">
      <c r="A290" s="230"/>
      <c r="B290" s="230"/>
      <c r="C290" s="230"/>
      <c r="D290" s="230"/>
      <c r="E290" s="231"/>
      <c r="F290" s="230"/>
      <c r="G290" s="230"/>
    </row>
    <row r="291" ht="15.75" customHeight="1">
      <c r="A291" s="230"/>
      <c r="B291" s="230"/>
      <c r="C291" s="230"/>
      <c r="D291" s="230"/>
      <c r="E291" s="231"/>
      <c r="F291" s="230"/>
      <c r="G291" s="230"/>
    </row>
    <row r="292" ht="15.75" customHeight="1">
      <c r="A292" s="230"/>
      <c r="B292" s="230"/>
      <c r="C292" s="230"/>
      <c r="D292" s="230"/>
      <c r="E292" s="231"/>
      <c r="F292" s="230"/>
      <c r="G292" s="230"/>
    </row>
    <row r="293" ht="15.75" customHeight="1">
      <c r="A293" s="230"/>
      <c r="B293" s="230"/>
      <c r="C293" s="230"/>
      <c r="D293" s="230"/>
      <c r="E293" s="231"/>
      <c r="F293" s="230"/>
      <c r="G293" s="230"/>
    </row>
    <row r="294" ht="15.75" customHeight="1">
      <c r="A294" s="230"/>
      <c r="B294" s="230"/>
      <c r="C294" s="230"/>
      <c r="D294" s="230"/>
      <c r="E294" s="231"/>
      <c r="F294" s="230"/>
      <c r="G294" s="230"/>
    </row>
    <row r="295" ht="15.75" customHeight="1">
      <c r="A295" s="230"/>
      <c r="B295" s="230"/>
      <c r="C295" s="230"/>
      <c r="D295" s="230"/>
      <c r="E295" s="231"/>
      <c r="F295" s="230"/>
      <c r="G295" s="230"/>
    </row>
    <row r="296" ht="15.75" customHeight="1">
      <c r="A296" s="230"/>
      <c r="B296" s="230"/>
      <c r="C296" s="230"/>
      <c r="D296" s="230"/>
      <c r="E296" s="231"/>
      <c r="F296" s="230"/>
      <c r="G296" s="230"/>
    </row>
    <row r="297" ht="15.75" customHeight="1">
      <c r="A297" s="230"/>
      <c r="B297" s="230"/>
      <c r="C297" s="230"/>
      <c r="D297" s="230"/>
      <c r="E297" s="231"/>
      <c r="F297" s="230"/>
      <c r="G297" s="230"/>
    </row>
    <row r="298" ht="15.75" customHeight="1">
      <c r="A298" s="230"/>
      <c r="B298" s="230"/>
      <c r="C298" s="230"/>
      <c r="D298" s="230"/>
      <c r="E298" s="231"/>
      <c r="F298" s="230"/>
      <c r="G298" s="230"/>
    </row>
    <row r="299" ht="15.75" customHeight="1">
      <c r="A299" s="230"/>
      <c r="B299" s="230"/>
      <c r="C299" s="230"/>
      <c r="D299" s="230"/>
      <c r="E299" s="231"/>
      <c r="F299" s="230"/>
      <c r="G299" s="230"/>
    </row>
    <row r="300" ht="15.75" customHeight="1">
      <c r="A300" s="230"/>
      <c r="B300" s="230"/>
      <c r="C300" s="230"/>
      <c r="D300" s="230"/>
      <c r="E300" s="231"/>
      <c r="F300" s="230"/>
      <c r="G300" s="230"/>
    </row>
    <row r="301" ht="15.75" customHeight="1">
      <c r="A301" s="230"/>
      <c r="B301" s="230"/>
      <c r="C301" s="230"/>
      <c r="D301" s="230"/>
      <c r="E301" s="231"/>
      <c r="F301" s="230"/>
      <c r="G301" s="230"/>
    </row>
    <row r="302" ht="15.75" customHeight="1">
      <c r="A302" s="230"/>
      <c r="B302" s="230"/>
      <c r="C302" s="230"/>
      <c r="D302" s="230"/>
      <c r="E302" s="231"/>
      <c r="F302" s="230"/>
      <c r="G302" s="230"/>
    </row>
    <row r="303" ht="15.75" customHeight="1">
      <c r="A303" s="230"/>
      <c r="B303" s="230"/>
      <c r="C303" s="230"/>
      <c r="D303" s="230"/>
      <c r="E303" s="231"/>
      <c r="F303" s="230"/>
      <c r="G303" s="230"/>
    </row>
    <row r="304" ht="15.75" customHeight="1">
      <c r="A304" s="230"/>
      <c r="B304" s="230"/>
      <c r="C304" s="230"/>
      <c r="D304" s="230"/>
      <c r="E304" s="231"/>
      <c r="F304" s="230"/>
      <c r="G304" s="230"/>
    </row>
    <row r="305" ht="15.75" customHeight="1">
      <c r="A305" s="230"/>
      <c r="B305" s="230"/>
      <c r="C305" s="230"/>
      <c r="D305" s="230"/>
      <c r="E305" s="231"/>
      <c r="F305" s="230"/>
      <c r="G305" s="230"/>
    </row>
    <row r="306" ht="15.75" customHeight="1">
      <c r="A306" s="230"/>
      <c r="B306" s="230"/>
      <c r="C306" s="230"/>
      <c r="D306" s="230"/>
      <c r="E306" s="231"/>
      <c r="F306" s="230"/>
      <c r="G306" s="230"/>
    </row>
    <row r="307" ht="15.75" customHeight="1">
      <c r="A307" s="230"/>
      <c r="B307" s="230"/>
      <c r="C307" s="230"/>
      <c r="D307" s="230"/>
      <c r="E307" s="231"/>
      <c r="F307" s="230"/>
      <c r="G307" s="230"/>
    </row>
    <row r="308" ht="15.75" customHeight="1">
      <c r="A308" s="230"/>
      <c r="B308" s="230"/>
      <c r="C308" s="230"/>
      <c r="D308" s="230"/>
      <c r="E308" s="231"/>
      <c r="F308" s="230"/>
      <c r="G308" s="230"/>
    </row>
    <row r="309" ht="15.75" customHeight="1">
      <c r="A309" s="230"/>
      <c r="B309" s="230"/>
      <c r="C309" s="230"/>
      <c r="D309" s="230"/>
      <c r="E309" s="231"/>
      <c r="F309" s="230"/>
      <c r="G309" s="230"/>
    </row>
    <row r="310" ht="15.75" customHeight="1">
      <c r="A310" s="230"/>
      <c r="B310" s="230"/>
      <c r="C310" s="230"/>
      <c r="D310" s="230"/>
      <c r="E310" s="231"/>
      <c r="F310" s="230"/>
      <c r="G310" s="230"/>
    </row>
    <row r="311" ht="15.75" customHeight="1">
      <c r="A311" s="230"/>
      <c r="B311" s="230"/>
      <c r="C311" s="230"/>
      <c r="D311" s="230"/>
      <c r="E311" s="231"/>
      <c r="F311" s="230"/>
      <c r="G311" s="230"/>
    </row>
    <row r="312" ht="15.75" customHeight="1">
      <c r="A312" s="230"/>
      <c r="B312" s="230"/>
      <c r="C312" s="230"/>
      <c r="D312" s="230"/>
      <c r="E312" s="231"/>
      <c r="F312" s="230"/>
      <c r="G312" s="230"/>
    </row>
    <row r="313" ht="15.75" customHeight="1">
      <c r="A313" s="230"/>
      <c r="B313" s="230"/>
      <c r="C313" s="230"/>
      <c r="D313" s="230"/>
      <c r="E313" s="231"/>
      <c r="F313" s="230"/>
      <c r="G313" s="230"/>
    </row>
    <row r="314" ht="15.75" customHeight="1">
      <c r="A314" s="230"/>
      <c r="B314" s="230"/>
      <c r="C314" s="230"/>
      <c r="D314" s="230"/>
      <c r="E314" s="231"/>
      <c r="F314" s="230"/>
      <c r="G314" s="230"/>
    </row>
    <row r="315" ht="15.75" customHeight="1">
      <c r="A315" s="230"/>
      <c r="B315" s="230"/>
      <c r="C315" s="230"/>
      <c r="D315" s="230"/>
      <c r="E315" s="231"/>
      <c r="F315" s="230"/>
      <c r="G315" s="230"/>
    </row>
    <row r="316" ht="15.75" customHeight="1">
      <c r="A316" s="230"/>
      <c r="B316" s="230"/>
      <c r="C316" s="230"/>
      <c r="D316" s="230"/>
      <c r="E316" s="231"/>
      <c r="F316" s="230"/>
      <c r="G316" s="230"/>
    </row>
    <row r="317" ht="15.75" customHeight="1">
      <c r="A317" s="230"/>
      <c r="B317" s="230"/>
      <c r="C317" s="230"/>
      <c r="D317" s="230"/>
      <c r="E317" s="231"/>
      <c r="F317" s="230"/>
      <c r="G317" s="230"/>
    </row>
    <row r="318" ht="15.75" customHeight="1">
      <c r="A318" s="230"/>
      <c r="B318" s="230"/>
      <c r="C318" s="230"/>
      <c r="D318" s="230"/>
      <c r="E318" s="231"/>
      <c r="F318" s="230"/>
      <c r="G318" s="230"/>
    </row>
    <row r="319" ht="15.75" customHeight="1">
      <c r="A319" s="230"/>
      <c r="B319" s="230"/>
      <c r="C319" s="230"/>
      <c r="D319" s="230"/>
      <c r="E319" s="231"/>
      <c r="F319" s="230"/>
      <c r="G319" s="230"/>
    </row>
    <row r="320" ht="15.75" customHeight="1">
      <c r="A320" s="230"/>
      <c r="B320" s="230"/>
      <c r="C320" s="230"/>
      <c r="D320" s="230"/>
      <c r="E320" s="231"/>
      <c r="F320" s="230"/>
      <c r="G320" s="230"/>
    </row>
    <row r="321" ht="15.75" customHeight="1">
      <c r="A321" s="230"/>
      <c r="B321" s="230"/>
      <c r="C321" s="230"/>
      <c r="D321" s="230"/>
      <c r="E321" s="231"/>
      <c r="F321" s="230"/>
      <c r="G321" s="230"/>
    </row>
    <row r="322" ht="15.75" customHeight="1">
      <c r="A322" s="230"/>
      <c r="B322" s="230"/>
      <c r="C322" s="230"/>
      <c r="D322" s="230"/>
      <c r="E322" s="231"/>
      <c r="F322" s="230"/>
      <c r="G322" s="230"/>
    </row>
    <row r="323" ht="15.75" customHeight="1">
      <c r="A323" s="230"/>
      <c r="B323" s="230"/>
      <c r="C323" s="230"/>
      <c r="D323" s="230"/>
      <c r="E323" s="231"/>
      <c r="F323" s="230"/>
      <c r="G323" s="230"/>
    </row>
    <row r="324" ht="15.75" customHeight="1">
      <c r="A324" s="230"/>
      <c r="B324" s="230"/>
      <c r="C324" s="230"/>
      <c r="D324" s="230"/>
      <c r="E324" s="231"/>
      <c r="F324" s="230"/>
      <c r="G324" s="230"/>
    </row>
    <row r="325" ht="15.75" customHeight="1">
      <c r="A325" s="230"/>
      <c r="B325" s="230"/>
      <c r="C325" s="230"/>
      <c r="D325" s="230"/>
      <c r="E325" s="231"/>
      <c r="F325" s="230"/>
      <c r="G325" s="230"/>
    </row>
    <row r="326" ht="15.75" customHeight="1">
      <c r="A326" s="230"/>
      <c r="B326" s="230"/>
      <c r="C326" s="230"/>
      <c r="D326" s="230"/>
      <c r="E326" s="231"/>
      <c r="F326" s="230"/>
      <c r="G326" s="230"/>
    </row>
    <row r="327" ht="15.75" customHeight="1">
      <c r="A327" s="230"/>
      <c r="B327" s="230"/>
      <c r="C327" s="230"/>
      <c r="D327" s="230"/>
      <c r="E327" s="231"/>
      <c r="F327" s="230"/>
      <c r="G327" s="230"/>
    </row>
    <row r="328" ht="15.75" customHeight="1">
      <c r="A328" s="230"/>
      <c r="B328" s="230"/>
      <c r="C328" s="230"/>
      <c r="D328" s="230"/>
      <c r="E328" s="231"/>
      <c r="F328" s="230"/>
      <c r="G328" s="230"/>
    </row>
    <row r="329" ht="15.75" customHeight="1">
      <c r="A329" s="230"/>
      <c r="B329" s="230"/>
      <c r="C329" s="230"/>
      <c r="D329" s="230"/>
      <c r="E329" s="231"/>
      <c r="F329" s="230"/>
      <c r="G329" s="230"/>
    </row>
    <row r="330" ht="15.75" customHeight="1">
      <c r="A330" s="230"/>
      <c r="B330" s="230"/>
      <c r="C330" s="230"/>
      <c r="D330" s="230"/>
      <c r="E330" s="231"/>
      <c r="F330" s="230"/>
      <c r="G330" s="230"/>
    </row>
    <row r="331" ht="15.75" customHeight="1">
      <c r="A331" s="230"/>
      <c r="B331" s="230"/>
      <c r="C331" s="230"/>
      <c r="D331" s="230"/>
      <c r="E331" s="231"/>
      <c r="F331" s="230"/>
      <c r="G331" s="230"/>
    </row>
    <row r="332" ht="15.75" customHeight="1">
      <c r="A332" s="230"/>
      <c r="B332" s="230"/>
      <c r="C332" s="230"/>
      <c r="D332" s="230"/>
      <c r="E332" s="231"/>
      <c r="F332" s="230"/>
      <c r="G332" s="230"/>
    </row>
    <row r="333" ht="15.75" customHeight="1">
      <c r="A333" s="230"/>
      <c r="B333" s="230"/>
      <c r="C333" s="230"/>
      <c r="D333" s="230"/>
      <c r="E333" s="231"/>
      <c r="F333" s="230"/>
      <c r="G333" s="230"/>
    </row>
    <row r="334" ht="15.75" customHeight="1">
      <c r="A334" s="230"/>
      <c r="B334" s="230"/>
      <c r="C334" s="230"/>
      <c r="D334" s="230"/>
      <c r="E334" s="231"/>
      <c r="F334" s="230"/>
      <c r="G334" s="230"/>
    </row>
    <row r="335" ht="15.75" customHeight="1">
      <c r="A335" s="230"/>
      <c r="B335" s="230"/>
      <c r="C335" s="230"/>
      <c r="D335" s="230"/>
      <c r="E335" s="231"/>
      <c r="F335" s="230"/>
      <c r="G335" s="230"/>
    </row>
    <row r="336" ht="15.75" customHeight="1">
      <c r="A336" s="230"/>
      <c r="B336" s="230"/>
      <c r="C336" s="230"/>
      <c r="D336" s="230"/>
      <c r="E336" s="231"/>
      <c r="F336" s="230"/>
      <c r="G336" s="230"/>
    </row>
    <row r="337" ht="15.75" customHeight="1">
      <c r="A337" s="230"/>
      <c r="B337" s="230"/>
      <c r="C337" s="230"/>
      <c r="D337" s="230"/>
      <c r="E337" s="231"/>
      <c r="F337" s="230"/>
      <c r="G337" s="230"/>
    </row>
    <row r="338" ht="15.75" customHeight="1">
      <c r="A338" s="230"/>
      <c r="B338" s="230"/>
      <c r="C338" s="230"/>
      <c r="D338" s="230"/>
      <c r="E338" s="231"/>
      <c r="F338" s="230"/>
      <c r="G338" s="230"/>
    </row>
    <row r="339" ht="15.75" customHeight="1">
      <c r="A339" s="230"/>
      <c r="B339" s="230"/>
      <c r="C339" s="230"/>
      <c r="D339" s="230"/>
      <c r="E339" s="231"/>
      <c r="F339" s="230"/>
      <c r="G339" s="230"/>
    </row>
    <row r="340" ht="15.75" customHeight="1">
      <c r="A340" s="230"/>
      <c r="B340" s="230"/>
      <c r="C340" s="230"/>
      <c r="D340" s="230"/>
      <c r="E340" s="231"/>
      <c r="F340" s="230"/>
      <c r="G340" s="230"/>
    </row>
    <row r="341" ht="15.75" customHeight="1">
      <c r="A341" s="230"/>
      <c r="B341" s="230"/>
      <c r="C341" s="230"/>
      <c r="D341" s="230"/>
      <c r="E341" s="231"/>
      <c r="F341" s="230"/>
      <c r="G341" s="230"/>
    </row>
    <row r="342" ht="15.75" customHeight="1">
      <c r="A342" s="230"/>
      <c r="B342" s="230"/>
      <c r="C342" s="230"/>
      <c r="D342" s="230"/>
      <c r="E342" s="231"/>
      <c r="F342" s="230"/>
      <c r="G342" s="230"/>
    </row>
    <row r="343" ht="15.75" customHeight="1">
      <c r="A343" s="230"/>
      <c r="B343" s="230"/>
      <c r="C343" s="230"/>
      <c r="D343" s="230"/>
      <c r="E343" s="231"/>
      <c r="F343" s="230"/>
      <c r="G343" s="230"/>
    </row>
    <row r="344" ht="15.75" customHeight="1">
      <c r="A344" s="230"/>
      <c r="B344" s="230"/>
      <c r="C344" s="230"/>
      <c r="D344" s="230"/>
      <c r="E344" s="231"/>
      <c r="F344" s="230"/>
      <c r="G344" s="230"/>
    </row>
    <row r="345" ht="15.75" customHeight="1">
      <c r="A345" s="230"/>
      <c r="B345" s="230"/>
      <c r="C345" s="230"/>
      <c r="D345" s="230"/>
      <c r="E345" s="231"/>
      <c r="F345" s="230"/>
      <c r="G345" s="230"/>
    </row>
    <row r="346" ht="15.75" customHeight="1">
      <c r="A346" s="230"/>
      <c r="B346" s="230"/>
      <c r="C346" s="230"/>
      <c r="D346" s="230"/>
      <c r="E346" s="231"/>
      <c r="F346" s="230"/>
      <c r="G346" s="230"/>
    </row>
    <row r="347" ht="15.75" customHeight="1">
      <c r="A347" s="230"/>
      <c r="B347" s="230"/>
      <c r="C347" s="230"/>
      <c r="D347" s="230"/>
      <c r="E347" s="231"/>
      <c r="F347" s="230"/>
      <c r="G347" s="230"/>
    </row>
    <row r="348" ht="15.75" customHeight="1">
      <c r="A348" s="230"/>
      <c r="B348" s="230"/>
      <c r="C348" s="230"/>
      <c r="D348" s="230"/>
      <c r="E348" s="231"/>
      <c r="F348" s="230"/>
      <c r="G348" s="230"/>
    </row>
    <row r="349" ht="15.75" customHeight="1">
      <c r="A349" s="230"/>
      <c r="B349" s="230"/>
      <c r="C349" s="230"/>
      <c r="D349" s="230"/>
      <c r="E349" s="231"/>
      <c r="F349" s="230"/>
      <c r="G349" s="230"/>
    </row>
    <row r="350" ht="15.75" customHeight="1">
      <c r="A350" s="230"/>
      <c r="B350" s="230"/>
      <c r="C350" s="230"/>
      <c r="D350" s="230"/>
      <c r="E350" s="231"/>
      <c r="F350" s="230"/>
      <c r="G350" s="230"/>
    </row>
    <row r="351" ht="15.75" customHeight="1">
      <c r="A351" s="230"/>
      <c r="B351" s="230"/>
      <c r="C351" s="230"/>
      <c r="D351" s="230"/>
      <c r="E351" s="231"/>
      <c r="F351" s="230"/>
      <c r="G351" s="230"/>
    </row>
    <row r="352" ht="15.75" customHeight="1">
      <c r="A352" s="230"/>
      <c r="B352" s="230"/>
      <c r="C352" s="230"/>
      <c r="D352" s="230"/>
      <c r="E352" s="231"/>
      <c r="F352" s="230"/>
      <c r="G352" s="230"/>
    </row>
    <row r="353" ht="15.75" customHeight="1">
      <c r="A353" s="230"/>
      <c r="B353" s="230"/>
      <c r="C353" s="230"/>
      <c r="D353" s="230"/>
      <c r="E353" s="231"/>
      <c r="F353" s="230"/>
      <c r="G353" s="230"/>
    </row>
    <row r="354" ht="15.75" customHeight="1">
      <c r="A354" s="230"/>
      <c r="B354" s="230"/>
      <c r="C354" s="230"/>
      <c r="D354" s="230"/>
      <c r="E354" s="231"/>
      <c r="F354" s="230"/>
      <c r="G354" s="230"/>
    </row>
    <row r="355" ht="15.75" customHeight="1">
      <c r="A355" s="230"/>
      <c r="B355" s="230"/>
      <c r="C355" s="230"/>
      <c r="D355" s="230"/>
      <c r="E355" s="231"/>
      <c r="F355" s="230"/>
      <c r="G355" s="230"/>
    </row>
    <row r="356" ht="15.75" customHeight="1">
      <c r="A356" s="230"/>
      <c r="B356" s="230"/>
      <c r="C356" s="230"/>
      <c r="D356" s="230"/>
      <c r="E356" s="231"/>
      <c r="F356" s="230"/>
      <c r="G356" s="230"/>
    </row>
    <row r="357" ht="15.75" customHeight="1">
      <c r="A357" s="230"/>
      <c r="B357" s="230"/>
      <c r="C357" s="230"/>
      <c r="D357" s="230"/>
      <c r="E357" s="231"/>
      <c r="F357" s="230"/>
      <c r="G357" s="230"/>
    </row>
    <row r="358" ht="15.75" customHeight="1">
      <c r="A358" s="230"/>
      <c r="B358" s="230"/>
      <c r="C358" s="230"/>
      <c r="D358" s="230"/>
      <c r="E358" s="231"/>
      <c r="F358" s="230"/>
      <c r="G358" s="230"/>
    </row>
    <row r="359" ht="15.75" customHeight="1">
      <c r="A359" s="230"/>
      <c r="B359" s="230"/>
      <c r="C359" s="230"/>
      <c r="D359" s="230"/>
      <c r="E359" s="231"/>
      <c r="F359" s="230"/>
      <c r="G359" s="230"/>
    </row>
    <row r="360" ht="15.75" customHeight="1">
      <c r="A360" s="230"/>
      <c r="B360" s="230"/>
      <c r="C360" s="230"/>
      <c r="D360" s="230"/>
      <c r="E360" s="231"/>
      <c r="F360" s="230"/>
      <c r="G360" s="230"/>
    </row>
    <row r="361" ht="15.75" customHeight="1">
      <c r="A361" s="230"/>
      <c r="B361" s="230"/>
      <c r="C361" s="230"/>
      <c r="D361" s="230"/>
      <c r="E361" s="231"/>
      <c r="F361" s="230"/>
      <c r="G361" s="230"/>
    </row>
    <row r="362" ht="15.75" customHeight="1">
      <c r="A362" s="230"/>
      <c r="B362" s="230"/>
      <c r="C362" s="230"/>
      <c r="D362" s="230"/>
      <c r="E362" s="231"/>
      <c r="F362" s="230"/>
      <c r="G362" s="230"/>
    </row>
    <row r="363" ht="15.75" customHeight="1">
      <c r="A363" s="230"/>
      <c r="B363" s="230"/>
      <c r="C363" s="230"/>
      <c r="D363" s="230"/>
      <c r="E363" s="231"/>
      <c r="F363" s="230"/>
      <c r="G363" s="230"/>
    </row>
    <row r="364" ht="15.75" customHeight="1">
      <c r="A364" s="230"/>
      <c r="B364" s="230"/>
      <c r="C364" s="230"/>
      <c r="D364" s="230"/>
      <c r="E364" s="231"/>
      <c r="F364" s="230"/>
      <c r="G364" s="230"/>
    </row>
    <row r="365" ht="15.75" customHeight="1">
      <c r="A365" s="230"/>
      <c r="B365" s="230"/>
      <c r="C365" s="230"/>
      <c r="D365" s="230"/>
      <c r="E365" s="231"/>
      <c r="F365" s="230"/>
      <c r="G365" s="230"/>
    </row>
    <row r="366" ht="15.75" customHeight="1">
      <c r="A366" s="230"/>
      <c r="B366" s="230"/>
      <c r="C366" s="230"/>
      <c r="D366" s="230"/>
      <c r="E366" s="231"/>
      <c r="F366" s="230"/>
      <c r="G366" s="230"/>
    </row>
    <row r="367" ht="15.75" customHeight="1">
      <c r="A367" s="230"/>
      <c r="B367" s="230"/>
      <c r="C367" s="230"/>
      <c r="D367" s="230"/>
      <c r="E367" s="231"/>
      <c r="F367" s="230"/>
      <c r="G367" s="230"/>
    </row>
    <row r="368" ht="15.75" customHeight="1">
      <c r="A368" s="230"/>
      <c r="B368" s="230"/>
      <c r="C368" s="230"/>
      <c r="D368" s="230"/>
      <c r="E368" s="231"/>
      <c r="F368" s="230"/>
      <c r="G368" s="230"/>
    </row>
    <row r="369" ht="15.75" customHeight="1">
      <c r="A369" s="230"/>
      <c r="B369" s="230"/>
      <c r="C369" s="230"/>
      <c r="D369" s="230"/>
      <c r="E369" s="231"/>
      <c r="F369" s="230"/>
      <c r="G369" s="230"/>
    </row>
    <row r="370" ht="15.75" customHeight="1">
      <c r="A370" s="230"/>
      <c r="B370" s="230"/>
      <c r="C370" s="230"/>
      <c r="D370" s="230"/>
      <c r="E370" s="231"/>
      <c r="F370" s="230"/>
      <c r="G370" s="230"/>
    </row>
    <row r="371" ht="15.75" customHeight="1">
      <c r="A371" s="230"/>
      <c r="B371" s="230"/>
      <c r="C371" s="230"/>
      <c r="D371" s="230"/>
      <c r="E371" s="231"/>
      <c r="F371" s="230"/>
      <c r="G371" s="230"/>
    </row>
    <row r="372" ht="15.75" customHeight="1">
      <c r="A372" s="230"/>
      <c r="B372" s="230"/>
      <c r="C372" s="230"/>
      <c r="D372" s="230"/>
      <c r="E372" s="231"/>
      <c r="F372" s="230"/>
      <c r="G372" s="230"/>
    </row>
    <row r="373" ht="15.75" customHeight="1">
      <c r="A373" s="230"/>
      <c r="B373" s="230"/>
      <c r="C373" s="230"/>
      <c r="D373" s="230"/>
      <c r="E373" s="231"/>
      <c r="F373" s="230"/>
      <c r="G373" s="230"/>
    </row>
    <row r="374" ht="15.75" customHeight="1">
      <c r="A374" s="230"/>
      <c r="B374" s="230"/>
      <c r="C374" s="230"/>
      <c r="D374" s="230"/>
      <c r="E374" s="231"/>
      <c r="F374" s="230"/>
      <c r="G374" s="230"/>
    </row>
    <row r="375" ht="15.75" customHeight="1">
      <c r="A375" s="230"/>
      <c r="B375" s="230"/>
      <c r="C375" s="230"/>
      <c r="D375" s="230"/>
      <c r="E375" s="231"/>
      <c r="F375" s="230"/>
      <c r="G375" s="230"/>
    </row>
    <row r="376" ht="15.75" customHeight="1">
      <c r="A376" s="230"/>
      <c r="B376" s="230"/>
      <c r="C376" s="230"/>
      <c r="D376" s="230"/>
      <c r="E376" s="231"/>
      <c r="F376" s="230"/>
      <c r="G376" s="230"/>
    </row>
    <row r="377" ht="15.75" customHeight="1">
      <c r="A377" s="230"/>
      <c r="B377" s="230"/>
      <c r="C377" s="230"/>
      <c r="D377" s="230"/>
      <c r="E377" s="231"/>
      <c r="F377" s="230"/>
      <c r="G377" s="230"/>
    </row>
    <row r="378" ht="15.75" customHeight="1">
      <c r="A378" s="230"/>
      <c r="B378" s="230"/>
      <c r="C378" s="230"/>
      <c r="D378" s="230"/>
      <c r="E378" s="231"/>
      <c r="F378" s="230"/>
      <c r="G378" s="230"/>
    </row>
    <row r="379" ht="15.75" customHeight="1">
      <c r="A379" s="230"/>
      <c r="B379" s="230"/>
      <c r="C379" s="230"/>
      <c r="D379" s="230"/>
      <c r="E379" s="231"/>
      <c r="F379" s="230"/>
      <c r="G379" s="230"/>
    </row>
    <row r="380" ht="15.75" customHeight="1">
      <c r="A380" s="230"/>
      <c r="B380" s="230"/>
      <c r="C380" s="230"/>
      <c r="D380" s="230"/>
      <c r="E380" s="231"/>
      <c r="F380" s="230"/>
      <c r="G380" s="230"/>
    </row>
    <row r="381" ht="15.75" customHeight="1">
      <c r="A381" s="230"/>
      <c r="B381" s="230"/>
      <c r="C381" s="230"/>
      <c r="D381" s="230"/>
      <c r="E381" s="231"/>
      <c r="F381" s="230"/>
      <c r="G381" s="230"/>
    </row>
    <row r="382" ht="15.75" customHeight="1">
      <c r="A382" s="230"/>
      <c r="B382" s="230"/>
      <c r="C382" s="230"/>
      <c r="D382" s="230"/>
      <c r="E382" s="231"/>
      <c r="F382" s="230"/>
      <c r="G382" s="230"/>
    </row>
    <row r="383" ht="15.75" customHeight="1">
      <c r="A383" s="230"/>
      <c r="B383" s="230"/>
      <c r="C383" s="230"/>
      <c r="D383" s="230"/>
      <c r="E383" s="231"/>
      <c r="F383" s="230"/>
      <c r="G383" s="230"/>
    </row>
    <row r="384" ht="15.75" customHeight="1">
      <c r="A384" s="230"/>
      <c r="B384" s="230"/>
      <c r="C384" s="230"/>
      <c r="D384" s="230"/>
      <c r="E384" s="231"/>
      <c r="F384" s="230"/>
      <c r="G384" s="230"/>
    </row>
    <row r="385" ht="15.75" customHeight="1">
      <c r="A385" s="230"/>
      <c r="B385" s="230"/>
      <c r="C385" s="230"/>
      <c r="D385" s="230"/>
      <c r="E385" s="231"/>
      <c r="F385" s="230"/>
      <c r="G385" s="230"/>
    </row>
    <row r="386" ht="15.75" customHeight="1">
      <c r="A386" s="230"/>
      <c r="B386" s="230"/>
      <c r="C386" s="230"/>
      <c r="D386" s="230"/>
      <c r="E386" s="231"/>
      <c r="F386" s="230"/>
      <c r="G386" s="230"/>
    </row>
    <row r="387" ht="15.75" customHeight="1">
      <c r="A387" s="230"/>
      <c r="B387" s="230"/>
      <c r="C387" s="230"/>
      <c r="D387" s="230"/>
      <c r="E387" s="231"/>
      <c r="F387" s="230"/>
      <c r="G387" s="230"/>
    </row>
    <row r="388" ht="15.75" customHeight="1">
      <c r="A388" s="230"/>
      <c r="B388" s="230"/>
      <c r="C388" s="230"/>
      <c r="D388" s="230"/>
      <c r="E388" s="231"/>
      <c r="F388" s="230"/>
      <c r="G388" s="230"/>
    </row>
    <row r="389" ht="15.75" customHeight="1">
      <c r="A389" s="230"/>
      <c r="B389" s="230"/>
      <c r="C389" s="230"/>
      <c r="D389" s="230"/>
      <c r="E389" s="231"/>
      <c r="F389" s="230"/>
      <c r="G389" s="230"/>
    </row>
    <row r="390" ht="15.75" customHeight="1">
      <c r="A390" s="230"/>
      <c r="B390" s="230"/>
      <c r="C390" s="230"/>
      <c r="D390" s="230"/>
      <c r="E390" s="231"/>
      <c r="F390" s="230"/>
      <c r="G390" s="230"/>
    </row>
    <row r="391" ht="15.75" customHeight="1">
      <c r="A391" s="230"/>
      <c r="B391" s="230"/>
      <c r="C391" s="230"/>
      <c r="D391" s="230"/>
      <c r="E391" s="231"/>
      <c r="F391" s="230"/>
      <c r="G391" s="230"/>
    </row>
    <row r="392" ht="15.75" customHeight="1">
      <c r="A392" s="230"/>
      <c r="B392" s="230"/>
      <c r="C392" s="230"/>
      <c r="D392" s="230"/>
      <c r="E392" s="231"/>
      <c r="F392" s="230"/>
      <c r="G392" s="230"/>
    </row>
    <row r="393" ht="15.75" customHeight="1">
      <c r="A393" s="230"/>
      <c r="B393" s="230"/>
      <c r="C393" s="230"/>
      <c r="D393" s="230"/>
      <c r="E393" s="231"/>
      <c r="F393" s="230"/>
      <c r="G393" s="230"/>
    </row>
    <row r="394" ht="15.75" customHeight="1">
      <c r="A394" s="230"/>
      <c r="B394" s="230"/>
      <c r="C394" s="230"/>
      <c r="D394" s="230"/>
      <c r="E394" s="231"/>
      <c r="F394" s="230"/>
      <c r="G394" s="230"/>
    </row>
    <row r="395" ht="15.75" customHeight="1">
      <c r="A395" s="230"/>
      <c r="B395" s="230"/>
      <c r="C395" s="230"/>
      <c r="D395" s="230"/>
      <c r="E395" s="231"/>
      <c r="F395" s="230"/>
      <c r="G395" s="230"/>
    </row>
    <row r="396" ht="15.75" customHeight="1">
      <c r="A396" s="230"/>
      <c r="B396" s="230"/>
      <c r="C396" s="230"/>
      <c r="D396" s="230"/>
      <c r="E396" s="231"/>
      <c r="F396" s="230"/>
      <c r="G396" s="230"/>
    </row>
    <row r="397" ht="15.75" customHeight="1">
      <c r="A397" s="230"/>
      <c r="B397" s="230"/>
      <c r="C397" s="230"/>
      <c r="D397" s="230"/>
      <c r="E397" s="231"/>
      <c r="F397" s="230"/>
      <c r="G397" s="230"/>
    </row>
    <row r="398" ht="15.75" customHeight="1">
      <c r="A398" s="230"/>
      <c r="B398" s="230"/>
      <c r="C398" s="230"/>
      <c r="D398" s="230"/>
      <c r="E398" s="231"/>
      <c r="F398" s="230"/>
      <c r="G398" s="230"/>
    </row>
    <row r="399" ht="15.75" customHeight="1">
      <c r="A399" s="230"/>
      <c r="B399" s="230"/>
      <c r="C399" s="230"/>
      <c r="D399" s="230"/>
      <c r="E399" s="231"/>
      <c r="F399" s="230"/>
      <c r="G399" s="230"/>
    </row>
    <row r="400" ht="15.75" customHeight="1">
      <c r="A400" s="230"/>
      <c r="B400" s="230"/>
      <c r="C400" s="230"/>
      <c r="D400" s="230"/>
      <c r="E400" s="231"/>
      <c r="F400" s="230"/>
      <c r="G400" s="230"/>
    </row>
    <row r="401" ht="15.75" customHeight="1">
      <c r="A401" s="230"/>
      <c r="B401" s="230"/>
      <c r="C401" s="230"/>
      <c r="D401" s="230"/>
      <c r="E401" s="231"/>
      <c r="F401" s="230"/>
      <c r="G401" s="230"/>
    </row>
    <row r="402" ht="15.75" customHeight="1">
      <c r="A402" s="230"/>
      <c r="B402" s="230"/>
      <c r="C402" s="230"/>
      <c r="D402" s="230"/>
      <c r="E402" s="231"/>
      <c r="F402" s="230"/>
      <c r="G402" s="230"/>
    </row>
    <row r="403" ht="15.75" customHeight="1">
      <c r="A403" s="230"/>
      <c r="B403" s="230"/>
      <c r="C403" s="230"/>
      <c r="D403" s="230"/>
      <c r="E403" s="231"/>
      <c r="F403" s="230"/>
      <c r="G403" s="230"/>
    </row>
    <row r="404" ht="15.75" customHeight="1">
      <c r="A404" s="230"/>
      <c r="B404" s="230"/>
      <c r="C404" s="230"/>
      <c r="D404" s="230"/>
      <c r="E404" s="231"/>
      <c r="F404" s="230"/>
      <c r="G404" s="230"/>
    </row>
    <row r="405" ht="15.75" customHeight="1">
      <c r="A405" s="230"/>
      <c r="B405" s="230"/>
      <c r="C405" s="230"/>
      <c r="D405" s="230"/>
      <c r="E405" s="231"/>
      <c r="F405" s="230"/>
      <c r="G405" s="230"/>
    </row>
    <row r="406" ht="15.75" customHeight="1">
      <c r="A406" s="230"/>
      <c r="B406" s="230"/>
      <c r="C406" s="230"/>
      <c r="D406" s="230"/>
      <c r="E406" s="231"/>
      <c r="F406" s="230"/>
      <c r="G406" s="230"/>
    </row>
    <row r="407" ht="15.75" customHeight="1">
      <c r="A407" s="230"/>
      <c r="B407" s="230"/>
      <c r="C407" s="230"/>
      <c r="D407" s="230"/>
      <c r="E407" s="231"/>
      <c r="F407" s="230"/>
      <c r="G407" s="230"/>
    </row>
    <row r="408" ht="15.75" customHeight="1">
      <c r="A408" s="230"/>
      <c r="B408" s="230"/>
      <c r="C408" s="230"/>
      <c r="D408" s="230"/>
      <c r="E408" s="231"/>
      <c r="F408" s="230"/>
      <c r="G408" s="230"/>
    </row>
    <row r="409" ht="15.75" customHeight="1">
      <c r="A409" s="230"/>
      <c r="B409" s="230"/>
      <c r="C409" s="230"/>
      <c r="D409" s="230"/>
      <c r="E409" s="231"/>
      <c r="F409" s="230"/>
      <c r="G409" s="230"/>
    </row>
    <row r="410" ht="15.75" customHeight="1">
      <c r="A410" s="230"/>
      <c r="B410" s="230"/>
      <c r="C410" s="230"/>
      <c r="D410" s="230"/>
      <c r="E410" s="231"/>
      <c r="F410" s="230"/>
      <c r="G410" s="230"/>
    </row>
    <row r="411" ht="15.75" customHeight="1">
      <c r="A411" s="230"/>
      <c r="B411" s="230"/>
      <c r="C411" s="230"/>
      <c r="D411" s="230"/>
      <c r="E411" s="231"/>
      <c r="F411" s="230"/>
      <c r="G411" s="230"/>
    </row>
    <row r="412" ht="15.75" customHeight="1">
      <c r="A412" s="230"/>
      <c r="B412" s="230"/>
      <c r="C412" s="230"/>
      <c r="D412" s="230"/>
      <c r="E412" s="231"/>
      <c r="F412" s="230"/>
      <c r="G412" s="230"/>
    </row>
    <row r="413" ht="15.75" customHeight="1">
      <c r="A413" s="230"/>
      <c r="B413" s="230"/>
      <c r="C413" s="230"/>
      <c r="D413" s="230"/>
      <c r="E413" s="231"/>
      <c r="F413" s="230"/>
      <c r="G413" s="230"/>
    </row>
    <row r="414" ht="15.75" customHeight="1">
      <c r="A414" s="230"/>
      <c r="B414" s="230"/>
      <c r="C414" s="230"/>
      <c r="D414" s="230"/>
      <c r="E414" s="231"/>
      <c r="F414" s="230"/>
      <c r="G414" s="230"/>
    </row>
    <row r="415" ht="15.75" customHeight="1">
      <c r="A415" s="230"/>
      <c r="B415" s="230"/>
      <c r="C415" s="230"/>
      <c r="D415" s="230"/>
      <c r="E415" s="231"/>
      <c r="F415" s="230"/>
      <c r="G415" s="230"/>
    </row>
    <row r="416" ht="15.75" customHeight="1">
      <c r="A416" s="230"/>
      <c r="B416" s="230"/>
      <c r="C416" s="230"/>
      <c r="D416" s="230"/>
      <c r="E416" s="231"/>
      <c r="F416" s="230"/>
      <c r="G416" s="230"/>
    </row>
    <row r="417" ht="15.75" customHeight="1">
      <c r="A417" s="230"/>
      <c r="B417" s="230"/>
      <c r="C417" s="230"/>
      <c r="D417" s="230"/>
      <c r="E417" s="231"/>
      <c r="F417" s="230"/>
      <c r="G417" s="230"/>
    </row>
    <row r="418" ht="15.75" customHeight="1">
      <c r="A418" s="230"/>
      <c r="B418" s="230"/>
      <c r="C418" s="230"/>
      <c r="D418" s="230"/>
      <c r="E418" s="231"/>
      <c r="F418" s="230"/>
      <c r="G418" s="230"/>
    </row>
    <row r="419" ht="15.75" customHeight="1">
      <c r="A419" s="230"/>
      <c r="B419" s="230"/>
      <c r="C419" s="230"/>
      <c r="D419" s="230"/>
      <c r="E419" s="231"/>
      <c r="F419" s="230"/>
      <c r="G419" s="230"/>
    </row>
    <row r="420" ht="15.75" customHeight="1">
      <c r="A420" s="230"/>
      <c r="B420" s="230"/>
      <c r="C420" s="230"/>
      <c r="D420" s="230"/>
      <c r="E420" s="231"/>
      <c r="F420" s="230"/>
      <c r="G420" s="230"/>
    </row>
    <row r="421" ht="15.75" customHeight="1">
      <c r="A421" s="230"/>
      <c r="B421" s="230"/>
      <c r="C421" s="230"/>
      <c r="D421" s="230"/>
      <c r="E421" s="231"/>
      <c r="F421" s="230"/>
      <c r="G421" s="230"/>
    </row>
    <row r="422" ht="15.75" customHeight="1">
      <c r="A422" s="230"/>
      <c r="B422" s="230"/>
      <c r="C422" s="230"/>
      <c r="D422" s="230"/>
      <c r="E422" s="231"/>
      <c r="F422" s="230"/>
      <c r="G422" s="230"/>
    </row>
    <row r="423" ht="15.75" customHeight="1">
      <c r="A423" s="230"/>
      <c r="B423" s="230"/>
      <c r="C423" s="230"/>
      <c r="D423" s="230"/>
      <c r="E423" s="231"/>
      <c r="F423" s="230"/>
      <c r="G423" s="230"/>
    </row>
    <row r="424" ht="15.75" customHeight="1">
      <c r="A424" s="230"/>
      <c r="B424" s="230"/>
      <c r="C424" s="230"/>
      <c r="D424" s="230"/>
      <c r="E424" s="231"/>
      <c r="F424" s="230"/>
      <c r="G424" s="230"/>
    </row>
    <row r="425" ht="15.75" customHeight="1">
      <c r="A425" s="230"/>
      <c r="B425" s="230"/>
      <c r="C425" s="230"/>
      <c r="D425" s="230"/>
      <c r="E425" s="231"/>
      <c r="F425" s="230"/>
      <c r="G425" s="230"/>
    </row>
    <row r="426" ht="15.75" customHeight="1">
      <c r="A426" s="230"/>
      <c r="B426" s="230"/>
      <c r="C426" s="230"/>
      <c r="D426" s="230"/>
      <c r="E426" s="231"/>
      <c r="F426" s="230"/>
      <c r="G426" s="230"/>
    </row>
    <row r="427" ht="15.75" customHeight="1">
      <c r="A427" s="230"/>
      <c r="B427" s="230"/>
      <c r="C427" s="230"/>
      <c r="D427" s="230"/>
      <c r="E427" s="231"/>
      <c r="F427" s="230"/>
      <c r="G427" s="230"/>
    </row>
    <row r="428" ht="15.75" customHeight="1">
      <c r="A428" s="230"/>
      <c r="B428" s="230"/>
      <c r="C428" s="230"/>
      <c r="D428" s="230"/>
      <c r="E428" s="231"/>
      <c r="F428" s="230"/>
      <c r="G428" s="230"/>
    </row>
    <row r="429" ht="15.75" customHeight="1">
      <c r="A429" s="230"/>
      <c r="B429" s="230"/>
      <c r="C429" s="230"/>
      <c r="D429" s="230"/>
      <c r="E429" s="231"/>
      <c r="F429" s="230"/>
      <c r="G429" s="230"/>
    </row>
    <row r="430" ht="15.75" customHeight="1">
      <c r="A430" s="230"/>
      <c r="B430" s="230"/>
      <c r="C430" s="230"/>
      <c r="D430" s="230"/>
      <c r="E430" s="231"/>
      <c r="F430" s="230"/>
      <c r="G430" s="230"/>
    </row>
    <row r="431" ht="15.75" customHeight="1">
      <c r="A431" s="230"/>
      <c r="B431" s="230"/>
      <c r="C431" s="230"/>
      <c r="D431" s="230"/>
      <c r="E431" s="231"/>
      <c r="F431" s="230"/>
      <c r="G431" s="230"/>
    </row>
    <row r="432" ht="15.75" customHeight="1">
      <c r="A432" s="230"/>
      <c r="B432" s="230"/>
      <c r="C432" s="230"/>
      <c r="D432" s="230"/>
      <c r="E432" s="231"/>
      <c r="F432" s="230"/>
      <c r="G432" s="230"/>
    </row>
    <row r="433" ht="15.75" customHeight="1">
      <c r="A433" s="230"/>
      <c r="B433" s="230"/>
      <c r="C433" s="230"/>
      <c r="D433" s="230"/>
      <c r="E433" s="231"/>
      <c r="F433" s="230"/>
      <c r="G433" s="230"/>
    </row>
    <row r="434" ht="15.75" customHeight="1">
      <c r="A434" s="230"/>
      <c r="B434" s="230"/>
      <c r="C434" s="230"/>
      <c r="D434" s="230"/>
      <c r="E434" s="231"/>
      <c r="F434" s="230"/>
      <c r="G434" s="230"/>
    </row>
    <row r="435" ht="15.75" customHeight="1">
      <c r="A435" s="230"/>
      <c r="B435" s="230"/>
      <c r="C435" s="230"/>
      <c r="D435" s="230"/>
      <c r="E435" s="231"/>
      <c r="F435" s="230"/>
      <c r="G435" s="230"/>
    </row>
    <row r="436" ht="15.75" customHeight="1">
      <c r="A436" s="230"/>
      <c r="B436" s="230"/>
      <c r="C436" s="230"/>
      <c r="D436" s="230"/>
      <c r="E436" s="231"/>
      <c r="F436" s="230"/>
      <c r="G436" s="230"/>
    </row>
    <row r="437" ht="15.75" customHeight="1">
      <c r="A437" s="230"/>
      <c r="B437" s="230"/>
      <c r="C437" s="230"/>
      <c r="D437" s="230"/>
      <c r="E437" s="231"/>
      <c r="F437" s="230"/>
      <c r="G437" s="230"/>
    </row>
    <row r="438" ht="15.75" customHeight="1">
      <c r="A438" s="230"/>
      <c r="B438" s="230"/>
      <c r="C438" s="230"/>
      <c r="D438" s="230"/>
      <c r="E438" s="231"/>
      <c r="F438" s="230"/>
      <c r="G438" s="230"/>
    </row>
    <row r="439" ht="15.75" customHeight="1">
      <c r="A439" s="230"/>
      <c r="B439" s="230"/>
      <c r="C439" s="230"/>
      <c r="D439" s="230"/>
      <c r="E439" s="231"/>
      <c r="F439" s="230"/>
      <c r="G439" s="230"/>
    </row>
    <row r="440" ht="15.75" customHeight="1">
      <c r="A440" s="230"/>
      <c r="B440" s="230"/>
      <c r="C440" s="230"/>
      <c r="D440" s="230"/>
      <c r="E440" s="231"/>
      <c r="F440" s="230"/>
      <c r="G440" s="230"/>
    </row>
    <row r="441" ht="15.75" customHeight="1">
      <c r="A441" s="230"/>
      <c r="B441" s="230"/>
      <c r="C441" s="230"/>
      <c r="D441" s="230"/>
      <c r="E441" s="231"/>
      <c r="F441" s="230"/>
      <c r="G441" s="230"/>
    </row>
    <row r="442" ht="15.75" customHeight="1">
      <c r="A442" s="230"/>
      <c r="B442" s="230"/>
      <c r="C442" s="230"/>
      <c r="D442" s="230"/>
      <c r="E442" s="231"/>
      <c r="F442" s="230"/>
      <c r="G442" s="230"/>
    </row>
    <row r="443" ht="15.75" customHeight="1">
      <c r="A443" s="230"/>
      <c r="B443" s="230"/>
      <c r="C443" s="230"/>
      <c r="D443" s="230"/>
      <c r="E443" s="231"/>
      <c r="F443" s="230"/>
      <c r="G443" s="230"/>
    </row>
    <row r="444" ht="15.75" customHeight="1">
      <c r="A444" s="230"/>
      <c r="B444" s="230"/>
      <c r="C444" s="230"/>
      <c r="D444" s="230"/>
      <c r="E444" s="231"/>
      <c r="F444" s="230"/>
      <c r="G444" s="230"/>
    </row>
    <row r="445" ht="15.75" customHeight="1">
      <c r="A445" s="230"/>
      <c r="B445" s="230"/>
      <c r="C445" s="230"/>
      <c r="D445" s="230"/>
      <c r="E445" s="231"/>
      <c r="F445" s="230"/>
      <c r="G445" s="230"/>
    </row>
    <row r="446" ht="15.75" customHeight="1">
      <c r="A446" s="230"/>
      <c r="B446" s="230"/>
      <c r="C446" s="230"/>
      <c r="D446" s="230"/>
      <c r="E446" s="231"/>
      <c r="F446" s="230"/>
      <c r="G446" s="230"/>
    </row>
    <row r="447" ht="15.75" customHeight="1">
      <c r="A447" s="230"/>
      <c r="B447" s="230"/>
      <c r="C447" s="230"/>
      <c r="D447" s="230"/>
      <c r="E447" s="231"/>
      <c r="F447" s="230"/>
      <c r="G447" s="230"/>
    </row>
    <row r="448" ht="15.75" customHeight="1">
      <c r="A448" s="230"/>
      <c r="B448" s="230"/>
      <c r="C448" s="230"/>
      <c r="D448" s="230"/>
      <c r="E448" s="231"/>
      <c r="F448" s="230"/>
      <c r="G448" s="230"/>
    </row>
    <row r="449" ht="15.75" customHeight="1">
      <c r="A449" s="230"/>
      <c r="B449" s="230"/>
      <c r="C449" s="230"/>
      <c r="D449" s="230"/>
      <c r="E449" s="231"/>
      <c r="F449" s="230"/>
      <c r="G449" s="230"/>
    </row>
    <row r="450" ht="15.75" customHeight="1">
      <c r="A450" s="230"/>
      <c r="B450" s="230"/>
      <c r="C450" s="230"/>
      <c r="D450" s="230"/>
      <c r="E450" s="231"/>
      <c r="F450" s="230"/>
      <c r="G450" s="230"/>
    </row>
    <row r="451" ht="15.75" customHeight="1">
      <c r="A451" s="230"/>
      <c r="B451" s="230"/>
      <c r="C451" s="230"/>
      <c r="D451" s="230"/>
      <c r="E451" s="231"/>
      <c r="F451" s="230"/>
      <c r="G451" s="230"/>
    </row>
    <row r="452" ht="15.75" customHeight="1">
      <c r="A452" s="230"/>
      <c r="B452" s="230"/>
      <c r="C452" s="230"/>
      <c r="D452" s="230"/>
      <c r="E452" s="231"/>
      <c r="F452" s="230"/>
      <c r="G452" s="230"/>
    </row>
    <row r="453" ht="15.75" customHeight="1">
      <c r="A453" s="230"/>
      <c r="B453" s="230"/>
      <c r="C453" s="230"/>
      <c r="D453" s="230"/>
      <c r="E453" s="231"/>
      <c r="F453" s="230"/>
      <c r="G453" s="230"/>
    </row>
    <row r="454" ht="15.75" customHeight="1">
      <c r="A454" s="230"/>
      <c r="B454" s="230"/>
      <c r="C454" s="230"/>
      <c r="D454" s="230"/>
      <c r="E454" s="231"/>
      <c r="F454" s="230"/>
      <c r="G454" s="230"/>
    </row>
    <row r="455" ht="15.75" customHeight="1">
      <c r="A455" s="230"/>
      <c r="B455" s="230"/>
      <c r="C455" s="230"/>
      <c r="D455" s="230"/>
      <c r="E455" s="231"/>
      <c r="F455" s="230"/>
      <c r="G455" s="230"/>
    </row>
    <row r="456" ht="15.75" customHeight="1">
      <c r="A456" s="230"/>
      <c r="B456" s="230"/>
      <c r="C456" s="230"/>
      <c r="D456" s="230"/>
      <c r="E456" s="231"/>
      <c r="F456" s="230"/>
      <c r="G456" s="230"/>
    </row>
    <row r="457" ht="15.75" customHeight="1">
      <c r="A457" s="230"/>
      <c r="B457" s="230"/>
      <c r="C457" s="230"/>
      <c r="D457" s="230"/>
      <c r="E457" s="231"/>
      <c r="F457" s="230"/>
      <c r="G457" s="230"/>
    </row>
    <row r="458" ht="15.75" customHeight="1">
      <c r="A458" s="230"/>
      <c r="B458" s="230"/>
      <c r="C458" s="230"/>
      <c r="D458" s="230"/>
      <c r="E458" s="231"/>
      <c r="F458" s="230"/>
      <c r="G458" s="230"/>
    </row>
    <row r="459" ht="15.75" customHeight="1">
      <c r="A459" s="230"/>
      <c r="B459" s="230"/>
      <c r="C459" s="230"/>
      <c r="D459" s="230"/>
      <c r="E459" s="231"/>
      <c r="F459" s="230"/>
      <c r="G459" s="230"/>
    </row>
    <row r="460" ht="15.75" customHeight="1">
      <c r="A460" s="230"/>
      <c r="B460" s="230"/>
      <c r="C460" s="230"/>
      <c r="D460" s="230"/>
      <c r="E460" s="231"/>
      <c r="F460" s="230"/>
      <c r="G460" s="230"/>
    </row>
    <row r="461" ht="15.75" customHeight="1">
      <c r="A461" s="230"/>
      <c r="B461" s="230"/>
      <c r="C461" s="230"/>
      <c r="D461" s="230"/>
      <c r="E461" s="231"/>
      <c r="F461" s="230"/>
      <c r="G461" s="230"/>
    </row>
    <row r="462" ht="15.75" customHeight="1">
      <c r="A462" s="230"/>
      <c r="B462" s="230"/>
      <c r="C462" s="230"/>
      <c r="D462" s="230"/>
      <c r="E462" s="231"/>
      <c r="F462" s="230"/>
      <c r="G462" s="230"/>
    </row>
    <row r="463" ht="15.75" customHeight="1">
      <c r="A463" s="230"/>
      <c r="B463" s="230"/>
      <c r="C463" s="230"/>
      <c r="D463" s="230"/>
      <c r="E463" s="231"/>
      <c r="F463" s="230"/>
      <c r="G463" s="230"/>
    </row>
    <row r="464" ht="15.75" customHeight="1">
      <c r="A464" s="230"/>
      <c r="B464" s="230"/>
      <c r="C464" s="230"/>
      <c r="D464" s="230"/>
      <c r="E464" s="231"/>
      <c r="F464" s="230"/>
      <c r="G464" s="230"/>
    </row>
    <row r="465" ht="15.75" customHeight="1">
      <c r="A465" s="230"/>
      <c r="B465" s="230"/>
      <c r="C465" s="230"/>
      <c r="D465" s="230"/>
      <c r="E465" s="231"/>
      <c r="F465" s="230"/>
      <c r="G465" s="230"/>
    </row>
    <row r="466" ht="15.75" customHeight="1">
      <c r="A466" s="230"/>
      <c r="B466" s="230"/>
      <c r="C466" s="230"/>
      <c r="D466" s="230"/>
      <c r="E466" s="231"/>
      <c r="F466" s="230"/>
      <c r="G466" s="230"/>
    </row>
    <row r="467" ht="15.75" customHeight="1">
      <c r="A467" s="230"/>
      <c r="B467" s="230"/>
      <c r="C467" s="230"/>
      <c r="D467" s="230"/>
      <c r="E467" s="231"/>
      <c r="F467" s="230"/>
      <c r="G467" s="230"/>
    </row>
    <row r="468" ht="15.75" customHeight="1">
      <c r="A468" s="230"/>
      <c r="B468" s="230"/>
      <c r="C468" s="230"/>
      <c r="D468" s="230"/>
      <c r="E468" s="231"/>
      <c r="F468" s="230"/>
      <c r="G468" s="230"/>
    </row>
    <row r="469" ht="15.75" customHeight="1">
      <c r="A469" s="230"/>
      <c r="B469" s="230"/>
      <c r="C469" s="230"/>
      <c r="D469" s="230"/>
      <c r="E469" s="231"/>
      <c r="F469" s="230"/>
      <c r="G469" s="230"/>
    </row>
    <row r="470" ht="15.75" customHeight="1">
      <c r="A470" s="230"/>
      <c r="B470" s="230"/>
      <c r="C470" s="230"/>
      <c r="D470" s="230"/>
      <c r="E470" s="231"/>
      <c r="F470" s="230"/>
      <c r="G470" s="230"/>
    </row>
    <row r="471" ht="15.75" customHeight="1">
      <c r="A471" s="230"/>
      <c r="B471" s="230"/>
      <c r="C471" s="230"/>
      <c r="D471" s="230"/>
      <c r="E471" s="231"/>
      <c r="F471" s="230"/>
      <c r="G471" s="230"/>
    </row>
    <row r="472" ht="15.75" customHeight="1">
      <c r="A472" s="230"/>
      <c r="B472" s="230"/>
      <c r="C472" s="230"/>
      <c r="D472" s="230"/>
      <c r="E472" s="231"/>
      <c r="F472" s="230"/>
      <c r="G472" s="230"/>
    </row>
    <row r="473" ht="15.75" customHeight="1">
      <c r="A473" s="230"/>
      <c r="B473" s="230"/>
      <c r="C473" s="230"/>
      <c r="D473" s="230"/>
      <c r="E473" s="231"/>
      <c r="F473" s="230"/>
      <c r="G473" s="230"/>
    </row>
    <row r="474" ht="15.75" customHeight="1">
      <c r="A474" s="230"/>
      <c r="B474" s="230"/>
      <c r="C474" s="230"/>
      <c r="D474" s="230"/>
      <c r="E474" s="231"/>
      <c r="F474" s="230"/>
      <c r="G474" s="230"/>
    </row>
    <row r="475" ht="15.75" customHeight="1">
      <c r="A475" s="230"/>
      <c r="B475" s="230"/>
      <c r="C475" s="230"/>
      <c r="D475" s="230"/>
      <c r="E475" s="231"/>
      <c r="F475" s="230"/>
      <c r="G475" s="230"/>
    </row>
    <row r="476" ht="15.75" customHeight="1">
      <c r="A476" s="230"/>
      <c r="B476" s="230"/>
      <c r="C476" s="230"/>
      <c r="D476" s="230"/>
      <c r="E476" s="231"/>
      <c r="F476" s="230"/>
      <c r="G476" s="230"/>
    </row>
    <row r="477" ht="15.75" customHeight="1">
      <c r="A477" s="230"/>
      <c r="B477" s="230"/>
      <c r="C477" s="230"/>
      <c r="D477" s="230"/>
      <c r="E477" s="231"/>
      <c r="F477" s="230"/>
      <c r="G477" s="230"/>
    </row>
    <row r="478" ht="15.75" customHeight="1">
      <c r="A478" s="230"/>
      <c r="B478" s="230"/>
      <c r="C478" s="230"/>
      <c r="D478" s="230"/>
      <c r="E478" s="231"/>
      <c r="F478" s="230"/>
      <c r="G478" s="230"/>
    </row>
    <row r="479" ht="15.75" customHeight="1">
      <c r="A479" s="230"/>
      <c r="B479" s="230"/>
      <c r="C479" s="230"/>
      <c r="D479" s="230"/>
      <c r="E479" s="231"/>
      <c r="F479" s="230"/>
      <c r="G479" s="230"/>
    </row>
    <row r="480" ht="15.75" customHeight="1">
      <c r="A480" s="230"/>
      <c r="B480" s="230"/>
      <c r="C480" s="230"/>
      <c r="D480" s="230"/>
      <c r="E480" s="231"/>
      <c r="F480" s="230"/>
      <c r="G480" s="230"/>
    </row>
    <row r="481" ht="15.75" customHeight="1">
      <c r="A481" s="230"/>
      <c r="B481" s="230"/>
      <c r="C481" s="230"/>
      <c r="D481" s="230"/>
      <c r="E481" s="231"/>
      <c r="F481" s="230"/>
      <c r="G481" s="230"/>
    </row>
    <row r="482" ht="15.75" customHeight="1">
      <c r="A482" s="230"/>
      <c r="B482" s="230"/>
      <c r="C482" s="230"/>
      <c r="D482" s="230"/>
      <c r="E482" s="231"/>
      <c r="F482" s="230"/>
      <c r="G482" s="230"/>
    </row>
    <row r="483" ht="15.75" customHeight="1">
      <c r="A483" s="230"/>
      <c r="B483" s="230"/>
      <c r="C483" s="230"/>
      <c r="D483" s="230"/>
      <c r="E483" s="231"/>
      <c r="F483" s="230"/>
      <c r="G483" s="230"/>
    </row>
    <row r="484" ht="15.75" customHeight="1">
      <c r="A484" s="230"/>
      <c r="B484" s="230"/>
      <c r="C484" s="230"/>
      <c r="D484" s="230"/>
      <c r="E484" s="231"/>
      <c r="F484" s="230"/>
      <c r="G484" s="230"/>
    </row>
    <row r="485" ht="15.75" customHeight="1">
      <c r="A485" s="230"/>
      <c r="B485" s="230"/>
      <c r="C485" s="230"/>
      <c r="D485" s="230"/>
      <c r="E485" s="231"/>
      <c r="F485" s="230"/>
      <c r="G485" s="230"/>
    </row>
    <row r="486" ht="15.75" customHeight="1">
      <c r="A486" s="230"/>
      <c r="B486" s="230"/>
      <c r="C486" s="230"/>
      <c r="D486" s="230"/>
      <c r="E486" s="231"/>
      <c r="F486" s="230"/>
      <c r="G486" s="230"/>
    </row>
    <row r="487" ht="15.75" customHeight="1">
      <c r="A487" s="230"/>
      <c r="B487" s="230"/>
      <c r="C487" s="230"/>
      <c r="D487" s="230"/>
      <c r="E487" s="231"/>
      <c r="F487" s="230"/>
      <c r="G487" s="230"/>
    </row>
    <row r="488" ht="15.75" customHeight="1">
      <c r="A488" s="230"/>
      <c r="B488" s="230"/>
      <c r="C488" s="230"/>
      <c r="D488" s="230"/>
      <c r="E488" s="231"/>
      <c r="F488" s="230"/>
      <c r="G488" s="230"/>
    </row>
    <row r="489" ht="15.75" customHeight="1">
      <c r="A489" s="230"/>
      <c r="B489" s="230"/>
      <c r="C489" s="230"/>
      <c r="D489" s="230"/>
      <c r="E489" s="231"/>
      <c r="F489" s="230"/>
      <c r="G489" s="230"/>
    </row>
    <row r="490" ht="15.75" customHeight="1">
      <c r="A490" s="230"/>
      <c r="B490" s="230"/>
      <c r="C490" s="230"/>
      <c r="D490" s="230"/>
      <c r="E490" s="231"/>
      <c r="F490" s="230"/>
      <c r="G490" s="230"/>
    </row>
    <row r="491" ht="15.75" customHeight="1">
      <c r="A491" s="230"/>
      <c r="B491" s="230"/>
      <c r="C491" s="230"/>
      <c r="D491" s="230"/>
      <c r="E491" s="231"/>
      <c r="F491" s="230"/>
      <c r="G491" s="230"/>
    </row>
    <row r="492" ht="15.75" customHeight="1">
      <c r="A492" s="230"/>
      <c r="B492" s="230"/>
      <c r="C492" s="230"/>
      <c r="D492" s="230"/>
      <c r="E492" s="231"/>
      <c r="F492" s="230"/>
      <c r="G492" s="230"/>
    </row>
    <row r="493" ht="15.75" customHeight="1">
      <c r="A493" s="230"/>
      <c r="B493" s="230"/>
      <c r="C493" s="230"/>
      <c r="D493" s="230"/>
      <c r="E493" s="231"/>
      <c r="F493" s="230"/>
      <c r="G493" s="230"/>
    </row>
    <row r="494" ht="15.75" customHeight="1">
      <c r="A494" s="230"/>
      <c r="B494" s="230"/>
      <c r="C494" s="230"/>
      <c r="D494" s="230"/>
      <c r="E494" s="231"/>
      <c r="F494" s="230"/>
      <c r="G494" s="230"/>
    </row>
    <row r="495" ht="15.75" customHeight="1">
      <c r="A495" s="230"/>
      <c r="B495" s="230"/>
      <c r="C495" s="230"/>
      <c r="D495" s="230"/>
      <c r="E495" s="231"/>
      <c r="F495" s="230"/>
      <c r="G495" s="230"/>
    </row>
    <row r="496" ht="15.75" customHeight="1">
      <c r="A496" s="230"/>
      <c r="B496" s="230"/>
      <c r="C496" s="230"/>
      <c r="D496" s="230"/>
      <c r="E496" s="231"/>
      <c r="F496" s="230"/>
      <c r="G496" s="230"/>
    </row>
    <row r="497" ht="15.75" customHeight="1">
      <c r="A497" s="230"/>
      <c r="B497" s="230"/>
      <c r="C497" s="230"/>
      <c r="D497" s="230"/>
      <c r="E497" s="231"/>
      <c r="F497" s="230"/>
      <c r="G497" s="230"/>
    </row>
    <row r="498" ht="15.75" customHeight="1">
      <c r="A498" s="230"/>
      <c r="B498" s="230"/>
      <c r="C498" s="230"/>
      <c r="D498" s="230"/>
      <c r="E498" s="231"/>
      <c r="F498" s="230"/>
      <c r="G498" s="230"/>
    </row>
    <row r="499" ht="15.75" customHeight="1">
      <c r="A499" s="230"/>
      <c r="B499" s="230"/>
      <c r="C499" s="230"/>
      <c r="D499" s="230"/>
      <c r="E499" s="231"/>
      <c r="F499" s="230"/>
      <c r="G499" s="230"/>
    </row>
    <row r="500" ht="15.75" customHeight="1">
      <c r="A500" s="230"/>
      <c r="B500" s="230"/>
      <c r="C500" s="230"/>
      <c r="D500" s="230"/>
      <c r="E500" s="231"/>
      <c r="F500" s="230"/>
      <c r="G500" s="230"/>
    </row>
    <row r="501" ht="15.75" customHeight="1">
      <c r="A501" s="230"/>
      <c r="B501" s="230"/>
      <c r="C501" s="230"/>
      <c r="D501" s="230"/>
      <c r="E501" s="231"/>
      <c r="F501" s="230"/>
      <c r="G501" s="230"/>
    </row>
    <row r="502" ht="15.75" customHeight="1">
      <c r="A502" s="230"/>
      <c r="B502" s="230"/>
      <c r="C502" s="230"/>
      <c r="D502" s="230"/>
      <c r="E502" s="231"/>
      <c r="F502" s="230"/>
      <c r="G502" s="230"/>
    </row>
    <row r="503" ht="15.75" customHeight="1">
      <c r="A503" s="230"/>
      <c r="B503" s="230"/>
      <c r="C503" s="230"/>
      <c r="D503" s="230"/>
      <c r="E503" s="231"/>
      <c r="F503" s="230"/>
      <c r="G503" s="230"/>
    </row>
    <row r="504" ht="15.75" customHeight="1">
      <c r="A504" s="230"/>
      <c r="B504" s="230"/>
      <c r="C504" s="230"/>
      <c r="D504" s="230"/>
      <c r="E504" s="231"/>
      <c r="F504" s="230"/>
      <c r="G504" s="230"/>
    </row>
    <row r="505" ht="15.75" customHeight="1">
      <c r="A505" s="230"/>
      <c r="B505" s="230"/>
      <c r="C505" s="230"/>
      <c r="D505" s="230"/>
      <c r="E505" s="231"/>
      <c r="F505" s="230"/>
      <c r="G505" s="230"/>
    </row>
    <row r="506" ht="15.75" customHeight="1">
      <c r="A506" s="230"/>
      <c r="B506" s="230"/>
      <c r="C506" s="230"/>
      <c r="D506" s="230"/>
      <c r="E506" s="231"/>
      <c r="F506" s="230"/>
      <c r="G506" s="230"/>
    </row>
    <row r="507" ht="15.75" customHeight="1">
      <c r="A507" s="230"/>
      <c r="B507" s="230"/>
      <c r="C507" s="230"/>
      <c r="D507" s="230"/>
      <c r="E507" s="231"/>
      <c r="F507" s="230"/>
      <c r="G507" s="230"/>
    </row>
    <row r="508" ht="15.75" customHeight="1">
      <c r="A508" s="230"/>
      <c r="B508" s="230"/>
      <c r="C508" s="230"/>
      <c r="D508" s="230"/>
      <c r="E508" s="231"/>
      <c r="F508" s="230"/>
      <c r="G508" s="230"/>
    </row>
    <row r="509" ht="15.75" customHeight="1">
      <c r="A509" s="230"/>
      <c r="B509" s="230"/>
      <c r="C509" s="230"/>
      <c r="D509" s="230"/>
      <c r="E509" s="231"/>
      <c r="F509" s="230"/>
      <c r="G509" s="230"/>
    </row>
    <row r="510" ht="15.75" customHeight="1">
      <c r="A510" s="230"/>
      <c r="B510" s="230"/>
      <c r="C510" s="230"/>
      <c r="D510" s="230"/>
      <c r="E510" s="231"/>
      <c r="F510" s="230"/>
      <c r="G510" s="230"/>
    </row>
    <row r="511" ht="15.75" customHeight="1">
      <c r="A511" s="230"/>
      <c r="B511" s="230"/>
      <c r="C511" s="230"/>
      <c r="D511" s="230"/>
      <c r="E511" s="231"/>
      <c r="F511" s="230"/>
      <c r="G511" s="230"/>
    </row>
    <row r="512" ht="15.75" customHeight="1">
      <c r="A512" s="230"/>
      <c r="B512" s="230"/>
      <c r="C512" s="230"/>
      <c r="D512" s="230"/>
      <c r="E512" s="231"/>
      <c r="F512" s="230"/>
      <c r="G512" s="230"/>
    </row>
    <row r="513" ht="15.75" customHeight="1">
      <c r="A513" s="230"/>
      <c r="B513" s="230"/>
      <c r="C513" s="230"/>
      <c r="D513" s="230"/>
      <c r="E513" s="231"/>
      <c r="F513" s="230"/>
      <c r="G513" s="230"/>
    </row>
    <row r="514" ht="15.75" customHeight="1">
      <c r="A514" s="230"/>
      <c r="B514" s="230"/>
      <c r="C514" s="230"/>
      <c r="D514" s="230"/>
      <c r="E514" s="231"/>
      <c r="F514" s="230"/>
      <c r="G514" s="230"/>
    </row>
    <row r="515" ht="15.75" customHeight="1">
      <c r="A515" s="230"/>
      <c r="B515" s="230"/>
      <c r="C515" s="230"/>
      <c r="D515" s="230"/>
      <c r="E515" s="231"/>
      <c r="F515" s="230"/>
      <c r="G515" s="230"/>
    </row>
    <row r="516" ht="15.75" customHeight="1">
      <c r="A516" s="230"/>
      <c r="B516" s="230"/>
      <c r="C516" s="230"/>
      <c r="D516" s="230"/>
      <c r="E516" s="231"/>
      <c r="F516" s="230"/>
      <c r="G516" s="230"/>
    </row>
    <row r="517" ht="15.75" customHeight="1">
      <c r="A517" s="230"/>
      <c r="B517" s="230"/>
      <c r="C517" s="230"/>
      <c r="D517" s="230"/>
      <c r="E517" s="231"/>
      <c r="F517" s="230"/>
      <c r="G517" s="230"/>
    </row>
    <row r="518" ht="15.75" customHeight="1">
      <c r="A518" s="230"/>
      <c r="B518" s="230"/>
      <c r="C518" s="230"/>
      <c r="D518" s="230"/>
      <c r="E518" s="231"/>
      <c r="F518" s="230"/>
      <c r="G518" s="230"/>
    </row>
    <row r="519" ht="15.75" customHeight="1">
      <c r="A519" s="230"/>
      <c r="B519" s="230"/>
      <c r="C519" s="230"/>
      <c r="D519" s="230"/>
      <c r="E519" s="231"/>
      <c r="F519" s="230"/>
      <c r="G519" s="230"/>
    </row>
    <row r="520" ht="15.75" customHeight="1">
      <c r="A520" s="230"/>
      <c r="B520" s="230"/>
      <c r="C520" s="230"/>
      <c r="D520" s="230"/>
      <c r="E520" s="231"/>
      <c r="F520" s="230"/>
      <c r="G520" s="230"/>
    </row>
    <row r="521" ht="15.75" customHeight="1">
      <c r="A521" s="230"/>
      <c r="B521" s="230"/>
      <c r="C521" s="230"/>
      <c r="D521" s="230"/>
      <c r="E521" s="231"/>
      <c r="F521" s="230"/>
      <c r="G521" s="230"/>
    </row>
    <row r="522" ht="15.75" customHeight="1">
      <c r="A522" s="230"/>
      <c r="B522" s="230"/>
      <c r="C522" s="230"/>
      <c r="D522" s="230"/>
      <c r="E522" s="231"/>
      <c r="F522" s="230"/>
      <c r="G522" s="230"/>
    </row>
    <row r="523" ht="15.75" customHeight="1">
      <c r="A523" s="230"/>
      <c r="B523" s="230"/>
      <c r="C523" s="230"/>
      <c r="D523" s="230"/>
      <c r="E523" s="231"/>
      <c r="F523" s="230"/>
      <c r="G523" s="230"/>
    </row>
    <row r="524" ht="15.75" customHeight="1">
      <c r="A524" s="230"/>
      <c r="B524" s="230"/>
      <c r="C524" s="230"/>
      <c r="D524" s="230"/>
      <c r="E524" s="231"/>
      <c r="F524" s="230"/>
      <c r="G524" s="230"/>
    </row>
    <row r="525" ht="15.75" customHeight="1">
      <c r="A525" s="230"/>
      <c r="B525" s="230"/>
      <c r="C525" s="230"/>
      <c r="D525" s="230"/>
      <c r="E525" s="231"/>
      <c r="F525" s="230"/>
      <c r="G525" s="230"/>
    </row>
    <row r="526" ht="15.75" customHeight="1">
      <c r="A526" s="230"/>
      <c r="B526" s="230"/>
      <c r="C526" s="230"/>
      <c r="D526" s="230"/>
      <c r="E526" s="231"/>
      <c r="F526" s="230"/>
      <c r="G526" s="230"/>
    </row>
    <row r="527" ht="15.75" customHeight="1">
      <c r="A527" s="230"/>
      <c r="B527" s="230"/>
      <c r="C527" s="230"/>
      <c r="D527" s="230"/>
      <c r="E527" s="231"/>
      <c r="F527" s="230"/>
      <c r="G527" s="230"/>
    </row>
    <row r="528" ht="15.75" customHeight="1">
      <c r="A528" s="230"/>
      <c r="B528" s="230"/>
      <c r="C528" s="230"/>
      <c r="D528" s="230"/>
      <c r="E528" s="231"/>
      <c r="F528" s="230"/>
      <c r="G528" s="230"/>
    </row>
    <row r="529" ht="15.75" customHeight="1">
      <c r="A529" s="230"/>
      <c r="B529" s="230"/>
      <c r="C529" s="230"/>
      <c r="D529" s="230"/>
      <c r="E529" s="231"/>
      <c r="F529" s="230"/>
      <c r="G529" s="230"/>
    </row>
    <row r="530" ht="15.75" customHeight="1">
      <c r="A530" s="230"/>
      <c r="B530" s="230"/>
      <c r="C530" s="230"/>
      <c r="D530" s="230"/>
      <c r="E530" s="231"/>
      <c r="F530" s="230"/>
      <c r="G530" s="230"/>
    </row>
    <row r="531" ht="15.75" customHeight="1">
      <c r="A531" s="230"/>
      <c r="B531" s="230"/>
      <c r="C531" s="230"/>
      <c r="D531" s="230"/>
      <c r="E531" s="231"/>
      <c r="F531" s="230"/>
      <c r="G531" s="230"/>
    </row>
    <row r="532" ht="15.75" customHeight="1">
      <c r="A532" s="230"/>
      <c r="B532" s="230"/>
      <c r="C532" s="230"/>
      <c r="D532" s="230"/>
      <c r="E532" s="231"/>
      <c r="F532" s="230"/>
      <c r="G532" s="230"/>
    </row>
    <row r="533" ht="15.75" customHeight="1">
      <c r="A533" s="230"/>
      <c r="B533" s="230"/>
      <c r="C533" s="230"/>
      <c r="D533" s="230"/>
      <c r="E533" s="231"/>
      <c r="F533" s="230"/>
      <c r="G533" s="230"/>
    </row>
    <row r="534" ht="15.75" customHeight="1">
      <c r="A534" s="230"/>
      <c r="B534" s="230"/>
      <c r="C534" s="230"/>
      <c r="D534" s="230"/>
      <c r="E534" s="231"/>
      <c r="F534" s="230"/>
      <c r="G534" s="230"/>
    </row>
    <row r="535" ht="15.75" customHeight="1">
      <c r="A535" s="230"/>
      <c r="B535" s="230"/>
      <c r="C535" s="230"/>
      <c r="D535" s="230"/>
      <c r="E535" s="231"/>
      <c r="F535" s="230"/>
      <c r="G535" s="230"/>
    </row>
    <row r="536" ht="15.75" customHeight="1">
      <c r="A536" s="230"/>
      <c r="B536" s="230"/>
      <c r="C536" s="230"/>
      <c r="D536" s="230"/>
      <c r="E536" s="231"/>
      <c r="F536" s="230"/>
      <c r="G536" s="230"/>
    </row>
    <row r="537" ht="15.75" customHeight="1">
      <c r="A537" s="230"/>
      <c r="B537" s="230"/>
      <c r="C537" s="230"/>
      <c r="D537" s="230"/>
      <c r="E537" s="231"/>
      <c r="F537" s="230"/>
      <c r="G537" s="230"/>
    </row>
    <row r="538" ht="15.75" customHeight="1">
      <c r="A538" s="230"/>
      <c r="B538" s="230"/>
      <c r="C538" s="230"/>
      <c r="D538" s="230"/>
      <c r="E538" s="231"/>
      <c r="F538" s="230"/>
      <c r="G538" s="230"/>
    </row>
    <row r="539" ht="15.75" customHeight="1">
      <c r="A539" s="230"/>
      <c r="B539" s="230"/>
      <c r="C539" s="230"/>
      <c r="D539" s="230"/>
      <c r="E539" s="231"/>
      <c r="F539" s="230"/>
      <c r="G539" s="230"/>
    </row>
    <row r="540" ht="15.75" customHeight="1">
      <c r="A540" s="230"/>
      <c r="B540" s="230"/>
      <c r="C540" s="230"/>
      <c r="D540" s="230"/>
      <c r="E540" s="231"/>
      <c r="F540" s="230"/>
      <c r="G540" s="230"/>
    </row>
    <row r="541" ht="15.75" customHeight="1">
      <c r="A541" s="230"/>
      <c r="B541" s="230"/>
      <c r="C541" s="230"/>
      <c r="D541" s="230"/>
      <c r="E541" s="231"/>
      <c r="F541" s="230"/>
      <c r="G541" s="230"/>
    </row>
    <row r="542" ht="15.75" customHeight="1">
      <c r="A542" s="230"/>
      <c r="B542" s="230"/>
      <c r="C542" s="230"/>
      <c r="D542" s="230"/>
      <c r="E542" s="231"/>
      <c r="F542" s="230"/>
      <c r="G542" s="230"/>
    </row>
    <row r="543" ht="15.75" customHeight="1">
      <c r="A543" s="230"/>
      <c r="B543" s="230"/>
      <c r="C543" s="230"/>
      <c r="D543" s="230"/>
      <c r="E543" s="231"/>
      <c r="F543" s="230"/>
      <c r="G543" s="230"/>
    </row>
    <row r="544" ht="15.75" customHeight="1">
      <c r="A544" s="230"/>
      <c r="B544" s="230"/>
      <c r="C544" s="230"/>
      <c r="D544" s="230"/>
      <c r="E544" s="231"/>
      <c r="F544" s="230"/>
      <c r="G544" s="230"/>
    </row>
    <row r="545" ht="15.75" customHeight="1">
      <c r="A545" s="230"/>
      <c r="B545" s="230"/>
      <c r="C545" s="230"/>
      <c r="D545" s="230"/>
      <c r="E545" s="231"/>
      <c r="F545" s="230"/>
      <c r="G545" s="230"/>
    </row>
    <row r="546" ht="15.75" customHeight="1">
      <c r="A546" s="230"/>
      <c r="B546" s="230"/>
      <c r="C546" s="230"/>
      <c r="D546" s="230"/>
      <c r="E546" s="231"/>
      <c r="F546" s="230"/>
      <c r="G546" s="230"/>
    </row>
    <row r="547" ht="15.75" customHeight="1">
      <c r="A547" s="230"/>
      <c r="B547" s="230"/>
      <c r="C547" s="230"/>
      <c r="D547" s="230"/>
      <c r="E547" s="231"/>
      <c r="F547" s="230"/>
      <c r="G547" s="230"/>
    </row>
    <row r="548" ht="15.75" customHeight="1">
      <c r="A548" s="230"/>
      <c r="B548" s="230"/>
      <c r="C548" s="230"/>
      <c r="D548" s="230"/>
      <c r="E548" s="231"/>
      <c r="F548" s="230"/>
      <c r="G548" s="230"/>
    </row>
    <row r="549" ht="15.75" customHeight="1">
      <c r="A549" s="230"/>
      <c r="B549" s="230"/>
      <c r="C549" s="230"/>
      <c r="D549" s="230"/>
      <c r="E549" s="231"/>
      <c r="F549" s="230"/>
      <c r="G549" s="230"/>
    </row>
    <row r="550" ht="15.75" customHeight="1">
      <c r="A550" s="230"/>
      <c r="B550" s="230"/>
      <c r="C550" s="230"/>
      <c r="D550" s="230"/>
      <c r="E550" s="231"/>
      <c r="F550" s="230"/>
      <c r="G550" s="230"/>
    </row>
    <row r="551" ht="15.75" customHeight="1">
      <c r="A551" s="230"/>
      <c r="B551" s="230"/>
      <c r="C551" s="230"/>
      <c r="D551" s="230"/>
      <c r="E551" s="231"/>
      <c r="F551" s="230"/>
      <c r="G551" s="230"/>
    </row>
    <row r="552" ht="15.75" customHeight="1">
      <c r="A552" s="230"/>
      <c r="B552" s="230"/>
      <c r="C552" s="230"/>
      <c r="D552" s="230"/>
      <c r="E552" s="231"/>
      <c r="F552" s="230"/>
      <c r="G552" s="230"/>
    </row>
    <row r="553" ht="15.75" customHeight="1">
      <c r="A553" s="230"/>
      <c r="B553" s="230"/>
      <c r="C553" s="230"/>
      <c r="D553" s="230"/>
      <c r="E553" s="231"/>
      <c r="F553" s="230"/>
      <c r="G553" s="230"/>
    </row>
    <row r="554" ht="15.75" customHeight="1">
      <c r="A554" s="230"/>
      <c r="B554" s="230"/>
      <c r="C554" s="230"/>
      <c r="D554" s="230"/>
      <c r="E554" s="231"/>
      <c r="F554" s="230"/>
      <c r="G554" s="230"/>
    </row>
    <row r="555" ht="15.75" customHeight="1">
      <c r="A555" s="230"/>
      <c r="B555" s="230"/>
      <c r="C555" s="230"/>
      <c r="D555" s="230"/>
      <c r="E555" s="231"/>
      <c r="F555" s="230"/>
      <c r="G555" s="230"/>
    </row>
    <row r="556" ht="15.75" customHeight="1">
      <c r="A556" s="230"/>
      <c r="B556" s="230"/>
      <c r="C556" s="230"/>
      <c r="D556" s="230"/>
      <c r="E556" s="231"/>
      <c r="F556" s="230"/>
      <c r="G556" s="230"/>
    </row>
    <row r="557" ht="15.75" customHeight="1">
      <c r="A557" s="230"/>
      <c r="B557" s="230"/>
      <c r="C557" s="230"/>
      <c r="D557" s="230"/>
      <c r="E557" s="231"/>
      <c r="F557" s="230"/>
      <c r="G557" s="230"/>
    </row>
    <row r="558" ht="15.75" customHeight="1">
      <c r="A558" s="230"/>
      <c r="B558" s="230"/>
      <c r="C558" s="230"/>
      <c r="D558" s="230"/>
      <c r="E558" s="231"/>
      <c r="F558" s="230"/>
      <c r="G558" s="230"/>
    </row>
    <row r="559" ht="15.75" customHeight="1">
      <c r="A559" s="230"/>
      <c r="B559" s="230"/>
      <c r="C559" s="230"/>
      <c r="D559" s="230"/>
      <c r="E559" s="231"/>
      <c r="F559" s="230"/>
      <c r="G559" s="230"/>
    </row>
    <row r="560" ht="15.75" customHeight="1">
      <c r="A560" s="230"/>
      <c r="B560" s="230"/>
      <c r="C560" s="230"/>
      <c r="D560" s="230"/>
      <c r="E560" s="231"/>
      <c r="F560" s="230"/>
      <c r="G560" s="230"/>
    </row>
    <row r="561" ht="15.75" customHeight="1">
      <c r="A561" s="230"/>
      <c r="B561" s="230"/>
      <c r="C561" s="230"/>
      <c r="D561" s="230"/>
      <c r="E561" s="231"/>
      <c r="F561" s="230"/>
      <c r="G561" s="230"/>
    </row>
    <row r="562" ht="15.75" customHeight="1">
      <c r="A562" s="230"/>
      <c r="B562" s="230"/>
      <c r="C562" s="230"/>
      <c r="D562" s="230"/>
      <c r="E562" s="231"/>
      <c r="F562" s="230"/>
      <c r="G562" s="230"/>
    </row>
    <row r="563" ht="15.75" customHeight="1">
      <c r="A563" s="230"/>
      <c r="B563" s="230"/>
      <c r="C563" s="230"/>
      <c r="D563" s="230"/>
      <c r="E563" s="231"/>
      <c r="F563" s="230"/>
      <c r="G563" s="230"/>
    </row>
    <row r="564" ht="15.75" customHeight="1">
      <c r="A564" s="230"/>
      <c r="B564" s="230"/>
      <c r="C564" s="230"/>
      <c r="D564" s="230"/>
      <c r="E564" s="231"/>
      <c r="F564" s="230"/>
      <c r="G564" s="230"/>
    </row>
    <row r="565" ht="15.75" customHeight="1">
      <c r="A565" s="230"/>
      <c r="B565" s="230"/>
      <c r="C565" s="230"/>
      <c r="D565" s="230"/>
      <c r="E565" s="231"/>
      <c r="F565" s="230"/>
      <c r="G565" s="230"/>
    </row>
    <row r="566" ht="15.75" customHeight="1">
      <c r="A566" s="230"/>
      <c r="B566" s="230"/>
      <c r="C566" s="230"/>
      <c r="D566" s="230"/>
      <c r="E566" s="231"/>
      <c r="F566" s="230"/>
      <c r="G566" s="230"/>
    </row>
    <row r="567" ht="15.75" customHeight="1">
      <c r="A567" s="230"/>
      <c r="B567" s="230"/>
      <c r="C567" s="230"/>
      <c r="D567" s="230"/>
      <c r="E567" s="231"/>
      <c r="F567" s="230"/>
      <c r="G567" s="230"/>
    </row>
    <row r="568" ht="15.75" customHeight="1">
      <c r="A568" s="230"/>
      <c r="B568" s="230"/>
      <c r="C568" s="230"/>
      <c r="D568" s="230"/>
      <c r="E568" s="231"/>
      <c r="F568" s="230"/>
      <c r="G568" s="230"/>
    </row>
    <row r="569" ht="15.75" customHeight="1">
      <c r="A569" s="230"/>
      <c r="B569" s="230"/>
      <c r="C569" s="230"/>
      <c r="D569" s="230"/>
      <c r="E569" s="231"/>
      <c r="F569" s="230"/>
      <c r="G569" s="230"/>
    </row>
    <row r="570" ht="15.75" customHeight="1">
      <c r="A570" s="230"/>
      <c r="B570" s="230"/>
      <c r="C570" s="230"/>
      <c r="D570" s="230"/>
      <c r="E570" s="231"/>
      <c r="F570" s="230"/>
      <c r="G570" s="230"/>
    </row>
    <row r="571" ht="15.75" customHeight="1">
      <c r="A571" s="230"/>
      <c r="B571" s="230"/>
      <c r="C571" s="230"/>
      <c r="D571" s="230"/>
      <c r="E571" s="231"/>
      <c r="F571" s="230"/>
      <c r="G571" s="230"/>
    </row>
    <row r="572" ht="15.75" customHeight="1">
      <c r="A572" s="230"/>
      <c r="B572" s="230"/>
      <c r="C572" s="230"/>
      <c r="D572" s="230"/>
      <c r="E572" s="231"/>
      <c r="F572" s="230"/>
      <c r="G572" s="230"/>
    </row>
    <row r="573" ht="15.75" customHeight="1">
      <c r="A573" s="230"/>
      <c r="B573" s="230"/>
      <c r="C573" s="230"/>
      <c r="D573" s="230"/>
      <c r="E573" s="231"/>
      <c r="F573" s="230"/>
      <c r="G573" s="230"/>
    </row>
    <row r="574" ht="15.75" customHeight="1">
      <c r="A574" s="230"/>
      <c r="B574" s="230"/>
      <c r="C574" s="230"/>
      <c r="D574" s="230"/>
      <c r="E574" s="231"/>
      <c r="F574" s="230"/>
      <c r="G574" s="230"/>
    </row>
    <row r="575" ht="15.75" customHeight="1">
      <c r="A575" s="230"/>
      <c r="B575" s="230"/>
      <c r="C575" s="230"/>
      <c r="D575" s="230"/>
      <c r="E575" s="231"/>
      <c r="F575" s="230"/>
      <c r="G575" s="230"/>
    </row>
    <row r="576" ht="15.75" customHeight="1">
      <c r="A576" s="230"/>
      <c r="B576" s="230"/>
      <c r="C576" s="230"/>
      <c r="D576" s="230"/>
      <c r="E576" s="231"/>
      <c r="F576" s="230"/>
      <c r="G576" s="230"/>
    </row>
    <row r="577" ht="15.75" customHeight="1">
      <c r="A577" s="230"/>
      <c r="B577" s="230"/>
      <c r="C577" s="230"/>
      <c r="D577" s="230"/>
      <c r="E577" s="231"/>
      <c r="F577" s="230"/>
      <c r="G577" s="230"/>
    </row>
    <row r="578" ht="15.75" customHeight="1">
      <c r="A578" s="230"/>
      <c r="B578" s="230"/>
      <c r="C578" s="230"/>
      <c r="D578" s="230"/>
      <c r="E578" s="231"/>
      <c r="F578" s="230"/>
      <c r="G578" s="230"/>
    </row>
    <row r="579" ht="15.75" customHeight="1">
      <c r="A579" s="230"/>
      <c r="B579" s="230"/>
      <c r="C579" s="230"/>
      <c r="D579" s="230"/>
      <c r="E579" s="231"/>
      <c r="F579" s="230"/>
      <c r="G579" s="230"/>
    </row>
    <row r="580" ht="15.75" customHeight="1">
      <c r="A580" s="230"/>
      <c r="B580" s="230"/>
      <c r="C580" s="230"/>
      <c r="D580" s="230"/>
      <c r="E580" s="231"/>
      <c r="F580" s="230"/>
      <c r="G580" s="230"/>
    </row>
    <row r="581" ht="15.75" customHeight="1">
      <c r="A581" s="230"/>
      <c r="B581" s="230"/>
      <c r="C581" s="230"/>
      <c r="D581" s="230"/>
      <c r="E581" s="231"/>
      <c r="F581" s="230"/>
      <c r="G581" s="230"/>
    </row>
    <row r="582" ht="15.75" customHeight="1">
      <c r="A582" s="230"/>
      <c r="B582" s="230"/>
      <c r="C582" s="230"/>
      <c r="D582" s="230"/>
      <c r="E582" s="231"/>
      <c r="F582" s="230"/>
      <c r="G582" s="230"/>
    </row>
    <row r="583" ht="15.75" customHeight="1">
      <c r="A583" s="230"/>
      <c r="B583" s="230"/>
      <c r="C583" s="230"/>
      <c r="D583" s="230"/>
      <c r="E583" s="231"/>
      <c r="F583" s="230"/>
      <c r="G583" s="230"/>
    </row>
    <row r="584" ht="15.75" customHeight="1">
      <c r="A584" s="230"/>
      <c r="B584" s="230"/>
      <c r="C584" s="230"/>
      <c r="D584" s="230"/>
      <c r="E584" s="231"/>
      <c r="F584" s="230"/>
      <c r="G584" s="230"/>
    </row>
    <row r="585" ht="15.75" customHeight="1">
      <c r="A585" s="230"/>
      <c r="B585" s="230"/>
      <c r="C585" s="230"/>
      <c r="D585" s="230"/>
      <c r="E585" s="231"/>
      <c r="F585" s="230"/>
      <c r="G585" s="230"/>
    </row>
    <row r="586" ht="15.75" customHeight="1">
      <c r="A586" s="230"/>
      <c r="B586" s="230"/>
      <c r="C586" s="230"/>
      <c r="D586" s="230"/>
      <c r="E586" s="231"/>
      <c r="F586" s="230"/>
      <c r="G586" s="230"/>
    </row>
    <row r="587" ht="15.75" customHeight="1">
      <c r="A587" s="230"/>
      <c r="B587" s="230"/>
      <c r="C587" s="230"/>
      <c r="D587" s="230"/>
      <c r="E587" s="231"/>
      <c r="F587" s="230"/>
      <c r="G587" s="230"/>
    </row>
    <row r="588" ht="15.75" customHeight="1">
      <c r="A588" s="230"/>
      <c r="B588" s="230"/>
      <c r="C588" s="230"/>
      <c r="D588" s="230"/>
      <c r="E588" s="231"/>
      <c r="F588" s="230"/>
      <c r="G588" s="230"/>
    </row>
    <row r="589" ht="15.75" customHeight="1">
      <c r="A589" s="230"/>
      <c r="B589" s="230"/>
      <c r="C589" s="230"/>
      <c r="D589" s="230"/>
      <c r="E589" s="231"/>
      <c r="F589" s="230"/>
      <c r="G589" s="230"/>
    </row>
    <row r="590" ht="15.75" customHeight="1">
      <c r="A590" s="230"/>
      <c r="B590" s="230"/>
      <c r="C590" s="230"/>
      <c r="D590" s="230"/>
      <c r="E590" s="231"/>
      <c r="F590" s="230"/>
      <c r="G590" s="230"/>
    </row>
    <row r="591" ht="15.75" customHeight="1">
      <c r="A591" s="230"/>
      <c r="B591" s="230"/>
      <c r="C591" s="230"/>
      <c r="D591" s="230"/>
      <c r="E591" s="231"/>
      <c r="F591" s="230"/>
      <c r="G591" s="230"/>
    </row>
    <row r="592" ht="15.75" customHeight="1">
      <c r="A592" s="230"/>
      <c r="B592" s="230"/>
      <c r="C592" s="230"/>
      <c r="D592" s="230"/>
      <c r="E592" s="231"/>
      <c r="F592" s="230"/>
      <c r="G592" s="230"/>
    </row>
    <row r="593" ht="15.75" customHeight="1">
      <c r="A593" s="230"/>
      <c r="B593" s="230"/>
      <c r="C593" s="230"/>
      <c r="D593" s="230"/>
      <c r="E593" s="231"/>
      <c r="F593" s="230"/>
      <c r="G593" s="230"/>
    </row>
    <row r="594" ht="15.75" customHeight="1">
      <c r="A594" s="230"/>
      <c r="B594" s="230"/>
      <c r="C594" s="230"/>
      <c r="D594" s="230"/>
      <c r="E594" s="231"/>
      <c r="F594" s="230"/>
      <c r="G594" s="230"/>
    </row>
    <row r="595" ht="15.75" customHeight="1">
      <c r="A595" s="230"/>
      <c r="B595" s="230"/>
      <c r="C595" s="230"/>
      <c r="D595" s="230"/>
      <c r="E595" s="231"/>
      <c r="F595" s="230"/>
      <c r="G595" s="230"/>
    </row>
    <row r="596" ht="15.75" customHeight="1">
      <c r="A596" s="230"/>
      <c r="B596" s="230"/>
      <c r="C596" s="230"/>
      <c r="D596" s="230"/>
      <c r="E596" s="231"/>
      <c r="F596" s="230"/>
      <c r="G596" s="230"/>
    </row>
    <row r="597" ht="15.75" customHeight="1">
      <c r="A597" s="230"/>
      <c r="B597" s="230"/>
      <c r="C597" s="230"/>
      <c r="D597" s="230"/>
      <c r="E597" s="231"/>
      <c r="F597" s="230"/>
      <c r="G597" s="230"/>
    </row>
    <row r="598" ht="15.75" customHeight="1">
      <c r="A598" s="230"/>
      <c r="B598" s="230"/>
      <c r="C598" s="230"/>
      <c r="D598" s="230"/>
      <c r="E598" s="231"/>
      <c r="F598" s="230"/>
      <c r="G598" s="230"/>
    </row>
    <row r="599" ht="15.75" customHeight="1">
      <c r="A599" s="230"/>
      <c r="B599" s="230"/>
      <c r="C599" s="230"/>
      <c r="D599" s="230"/>
      <c r="E599" s="231"/>
      <c r="F599" s="230"/>
      <c r="G599" s="230"/>
    </row>
    <row r="600" ht="15.75" customHeight="1">
      <c r="A600" s="230"/>
      <c r="B600" s="230"/>
      <c r="C600" s="230"/>
      <c r="D600" s="230"/>
      <c r="E600" s="231"/>
      <c r="F600" s="230"/>
      <c r="G600" s="230"/>
    </row>
    <row r="601" ht="15.75" customHeight="1">
      <c r="A601" s="230"/>
      <c r="B601" s="230"/>
      <c r="C601" s="230"/>
      <c r="D601" s="230"/>
      <c r="E601" s="231"/>
      <c r="F601" s="230"/>
      <c r="G601" s="230"/>
    </row>
    <row r="602" ht="15.75" customHeight="1">
      <c r="A602" s="230"/>
      <c r="B602" s="230"/>
      <c r="C602" s="230"/>
      <c r="D602" s="230"/>
      <c r="E602" s="231"/>
      <c r="F602" s="230"/>
      <c r="G602" s="230"/>
    </row>
    <row r="603" ht="15.75" customHeight="1">
      <c r="A603" s="230"/>
      <c r="B603" s="230"/>
      <c r="C603" s="230"/>
      <c r="D603" s="230"/>
      <c r="E603" s="231"/>
      <c r="F603" s="230"/>
      <c r="G603" s="230"/>
    </row>
    <row r="604" ht="15.75" customHeight="1">
      <c r="A604" s="230"/>
      <c r="B604" s="230"/>
      <c r="C604" s="230"/>
      <c r="D604" s="230"/>
      <c r="E604" s="231"/>
      <c r="F604" s="230"/>
      <c r="G604" s="230"/>
    </row>
    <row r="605" ht="15.75" customHeight="1">
      <c r="A605" s="230"/>
      <c r="B605" s="230"/>
      <c r="C605" s="230"/>
      <c r="D605" s="230"/>
      <c r="E605" s="231"/>
      <c r="F605" s="230"/>
      <c r="G605" s="230"/>
    </row>
    <row r="606" ht="15.75" customHeight="1">
      <c r="A606" s="230"/>
      <c r="B606" s="230"/>
      <c r="C606" s="230"/>
      <c r="D606" s="230"/>
      <c r="E606" s="231"/>
      <c r="F606" s="230"/>
      <c r="G606" s="230"/>
    </row>
    <row r="607" ht="15.75" customHeight="1">
      <c r="A607" s="230"/>
      <c r="B607" s="230"/>
      <c r="C607" s="230"/>
      <c r="D607" s="230"/>
      <c r="E607" s="231"/>
      <c r="F607" s="230"/>
      <c r="G607" s="230"/>
    </row>
    <row r="608" ht="15.75" customHeight="1">
      <c r="A608" s="230"/>
      <c r="B608" s="230"/>
      <c r="C608" s="230"/>
      <c r="D608" s="230"/>
      <c r="E608" s="231"/>
      <c r="F608" s="230"/>
      <c r="G608" s="230"/>
    </row>
    <row r="609" ht="15.75" customHeight="1">
      <c r="A609" s="230"/>
      <c r="B609" s="230"/>
      <c r="C609" s="230"/>
      <c r="D609" s="230"/>
      <c r="E609" s="231"/>
      <c r="F609" s="230"/>
      <c r="G609" s="230"/>
    </row>
    <row r="610" ht="15.75" customHeight="1">
      <c r="A610" s="230"/>
      <c r="B610" s="230"/>
      <c r="C610" s="230"/>
      <c r="D610" s="230"/>
      <c r="E610" s="231"/>
      <c r="F610" s="230"/>
      <c r="G610" s="230"/>
    </row>
    <row r="611" ht="15.75" customHeight="1">
      <c r="A611" s="230"/>
      <c r="B611" s="230"/>
      <c r="C611" s="230"/>
      <c r="D611" s="230"/>
      <c r="E611" s="231"/>
      <c r="F611" s="230"/>
      <c r="G611" s="230"/>
    </row>
    <row r="612" ht="15.75" customHeight="1">
      <c r="A612" s="230"/>
      <c r="B612" s="230"/>
      <c r="C612" s="230"/>
      <c r="D612" s="230"/>
      <c r="E612" s="231"/>
      <c r="F612" s="230"/>
      <c r="G612" s="230"/>
    </row>
    <row r="613" ht="15.75" customHeight="1">
      <c r="A613" s="230"/>
      <c r="B613" s="230"/>
      <c r="C613" s="230"/>
      <c r="D613" s="230"/>
      <c r="E613" s="231"/>
      <c r="F613" s="230"/>
      <c r="G613" s="230"/>
    </row>
    <row r="614" ht="15.75" customHeight="1">
      <c r="A614" s="230"/>
      <c r="B614" s="230"/>
      <c r="C614" s="230"/>
      <c r="D614" s="230"/>
      <c r="E614" s="231"/>
      <c r="F614" s="230"/>
      <c r="G614" s="230"/>
    </row>
    <row r="615" ht="15.75" customHeight="1">
      <c r="A615" s="230"/>
      <c r="B615" s="230"/>
      <c r="C615" s="230"/>
      <c r="D615" s="230"/>
      <c r="E615" s="231"/>
      <c r="F615" s="230"/>
      <c r="G615" s="230"/>
    </row>
    <row r="616" ht="15.75" customHeight="1">
      <c r="A616" s="230"/>
      <c r="B616" s="230"/>
      <c r="C616" s="230"/>
      <c r="D616" s="230"/>
      <c r="E616" s="231"/>
      <c r="F616" s="230"/>
      <c r="G616" s="230"/>
    </row>
    <row r="617" ht="15.75" customHeight="1">
      <c r="A617" s="230"/>
      <c r="B617" s="230"/>
      <c r="C617" s="230"/>
      <c r="D617" s="230"/>
      <c r="E617" s="231"/>
      <c r="F617" s="230"/>
      <c r="G617" s="230"/>
    </row>
    <row r="618" ht="15.75" customHeight="1">
      <c r="A618" s="230"/>
      <c r="B618" s="230"/>
      <c r="C618" s="230"/>
      <c r="D618" s="230"/>
      <c r="E618" s="231"/>
      <c r="F618" s="230"/>
      <c r="G618" s="230"/>
    </row>
    <row r="619" ht="15.75" customHeight="1">
      <c r="A619" s="230"/>
      <c r="B619" s="230"/>
      <c r="C619" s="230"/>
      <c r="D619" s="230"/>
      <c r="E619" s="231"/>
      <c r="F619" s="230"/>
      <c r="G619" s="230"/>
    </row>
    <row r="620" ht="15.75" customHeight="1">
      <c r="A620" s="230"/>
      <c r="B620" s="230"/>
      <c r="C620" s="230"/>
      <c r="D620" s="230"/>
      <c r="E620" s="231"/>
      <c r="F620" s="230"/>
      <c r="G620" s="230"/>
    </row>
    <row r="621" ht="15.75" customHeight="1">
      <c r="A621" s="230"/>
      <c r="B621" s="230"/>
      <c r="C621" s="230"/>
      <c r="D621" s="230"/>
      <c r="E621" s="231"/>
      <c r="F621" s="230"/>
      <c r="G621" s="230"/>
    </row>
    <row r="622" ht="15.75" customHeight="1">
      <c r="A622" s="230"/>
      <c r="B622" s="230"/>
      <c r="C622" s="230"/>
      <c r="D622" s="230"/>
      <c r="E622" s="231"/>
      <c r="F622" s="230"/>
      <c r="G622" s="230"/>
    </row>
    <row r="623" ht="15.75" customHeight="1">
      <c r="A623" s="230"/>
      <c r="B623" s="230"/>
      <c r="C623" s="230"/>
      <c r="D623" s="230"/>
      <c r="E623" s="231"/>
      <c r="F623" s="230"/>
      <c r="G623" s="230"/>
    </row>
    <row r="624" ht="15.75" customHeight="1">
      <c r="A624" s="230"/>
      <c r="B624" s="230"/>
      <c r="C624" s="230"/>
      <c r="D624" s="230"/>
      <c r="E624" s="231"/>
      <c r="F624" s="230"/>
      <c r="G624" s="230"/>
    </row>
    <row r="625" ht="15.75" customHeight="1">
      <c r="A625" s="230"/>
      <c r="B625" s="230"/>
      <c r="C625" s="230"/>
      <c r="D625" s="230"/>
      <c r="E625" s="231"/>
      <c r="F625" s="230"/>
      <c r="G625" s="230"/>
    </row>
    <row r="626" ht="15.75" customHeight="1">
      <c r="A626" s="230"/>
      <c r="B626" s="230"/>
      <c r="C626" s="230"/>
      <c r="D626" s="230"/>
      <c r="E626" s="231"/>
      <c r="F626" s="230"/>
      <c r="G626" s="230"/>
    </row>
    <row r="627" ht="15.75" customHeight="1">
      <c r="A627" s="230"/>
      <c r="B627" s="230"/>
      <c r="C627" s="230"/>
      <c r="D627" s="230"/>
      <c r="E627" s="231"/>
      <c r="F627" s="230"/>
      <c r="G627" s="230"/>
    </row>
    <row r="628" ht="15.75" customHeight="1">
      <c r="A628" s="230"/>
      <c r="B628" s="230"/>
      <c r="C628" s="230"/>
      <c r="D628" s="230"/>
      <c r="E628" s="231"/>
      <c r="F628" s="230"/>
      <c r="G628" s="230"/>
    </row>
    <row r="629" ht="15.75" customHeight="1">
      <c r="A629" s="230"/>
      <c r="B629" s="230"/>
      <c r="C629" s="230"/>
      <c r="D629" s="230"/>
      <c r="E629" s="231"/>
      <c r="F629" s="230"/>
      <c r="G629" s="230"/>
    </row>
    <row r="630" ht="15.75" customHeight="1">
      <c r="A630" s="230"/>
      <c r="B630" s="230"/>
      <c r="C630" s="230"/>
      <c r="D630" s="230"/>
      <c r="E630" s="231"/>
      <c r="F630" s="230"/>
      <c r="G630" s="230"/>
    </row>
    <row r="631" ht="15.75" customHeight="1">
      <c r="A631" s="230"/>
      <c r="B631" s="230"/>
      <c r="C631" s="230"/>
      <c r="D631" s="230"/>
      <c r="E631" s="231"/>
      <c r="F631" s="230"/>
      <c r="G631" s="230"/>
    </row>
    <row r="632" ht="15.75" customHeight="1">
      <c r="A632" s="230"/>
      <c r="B632" s="230"/>
      <c r="C632" s="230"/>
      <c r="D632" s="230"/>
      <c r="E632" s="231"/>
      <c r="F632" s="230"/>
      <c r="G632" s="230"/>
    </row>
    <row r="633" ht="15.75" customHeight="1">
      <c r="A633" s="230"/>
      <c r="B633" s="230"/>
      <c r="C633" s="230"/>
      <c r="D633" s="230"/>
      <c r="E633" s="231"/>
      <c r="F633" s="230"/>
      <c r="G633" s="230"/>
    </row>
    <row r="634" ht="15.75" customHeight="1">
      <c r="A634" s="230"/>
      <c r="B634" s="230"/>
      <c r="C634" s="230"/>
      <c r="D634" s="230"/>
      <c r="E634" s="231"/>
      <c r="F634" s="230"/>
      <c r="G634" s="230"/>
    </row>
    <row r="635" ht="15.75" customHeight="1">
      <c r="A635" s="230"/>
      <c r="B635" s="230"/>
      <c r="C635" s="230"/>
      <c r="D635" s="230"/>
      <c r="E635" s="231"/>
      <c r="F635" s="230"/>
      <c r="G635" s="230"/>
    </row>
    <row r="636" ht="15.75" customHeight="1">
      <c r="A636" s="230"/>
      <c r="B636" s="230"/>
      <c r="C636" s="230"/>
      <c r="D636" s="230"/>
      <c r="E636" s="231"/>
      <c r="F636" s="230"/>
      <c r="G636" s="230"/>
    </row>
    <row r="637" ht="15.75" customHeight="1">
      <c r="A637" s="230"/>
      <c r="B637" s="230"/>
      <c r="C637" s="230"/>
      <c r="D637" s="230"/>
      <c r="E637" s="231"/>
      <c r="F637" s="230"/>
      <c r="G637" s="230"/>
    </row>
    <row r="638" ht="15.75" customHeight="1">
      <c r="A638" s="230"/>
      <c r="B638" s="230"/>
      <c r="C638" s="230"/>
      <c r="D638" s="230"/>
      <c r="E638" s="231"/>
      <c r="F638" s="230"/>
      <c r="G638" s="230"/>
    </row>
    <row r="639" ht="15.75" customHeight="1">
      <c r="A639" s="230"/>
      <c r="B639" s="230"/>
      <c r="C639" s="230"/>
      <c r="D639" s="230"/>
      <c r="E639" s="231"/>
      <c r="F639" s="230"/>
      <c r="G639" s="230"/>
    </row>
    <row r="640" ht="15.75" customHeight="1">
      <c r="A640" s="230"/>
      <c r="B640" s="230"/>
      <c r="C640" s="230"/>
      <c r="D640" s="230"/>
      <c r="E640" s="231"/>
      <c r="F640" s="230"/>
      <c r="G640" s="230"/>
    </row>
    <row r="641" ht="15.75" customHeight="1">
      <c r="A641" s="230"/>
      <c r="B641" s="230"/>
      <c r="C641" s="230"/>
      <c r="D641" s="230"/>
      <c r="E641" s="231"/>
      <c r="F641" s="230"/>
      <c r="G641" s="230"/>
    </row>
    <row r="642" ht="15.75" customHeight="1">
      <c r="A642" s="230"/>
      <c r="B642" s="230"/>
      <c r="C642" s="230"/>
      <c r="D642" s="230"/>
      <c r="E642" s="231"/>
      <c r="F642" s="230"/>
      <c r="G642" s="230"/>
    </row>
    <row r="643" ht="15.75" customHeight="1">
      <c r="A643" s="230"/>
      <c r="B643" s="230"/>
      <c r="C643" s="230"/>
      <c r="D643" s="230"/>
      <c r="E643" s="231"/>
      <c r="F643" s="230"/>
      <c r="G643" s="230"/>
    </row>
    <row r="644" ht="15.75" customHeight="1">
      <c r="A644" s="230"/>
      <c r="B644" s="230"/>
      <c r="C644" s="230"/>
      <c r="D644" s="230"/>
      <c r="E644" s="231"/>
      <c r="F644" s="230"/>
      <c r="G644" s="230"/>
    </row>
    <row r="645" ht="15.75" customHeight="1">
      <c r="A645" s="230"/>
      <c r="B645" s="230"/>
      <c r="C645" s="230"/>
      <c r="D645" s="230"/>
      <c r="E645" s="231"/>
      <c r="F645" s="230"/>
      <c r="G645" s="230"/>
    </row>
    <row r="646" ht="15.75" customHeight="1">
      <c r="A646" s="230"/>
      <c r="B646" s="230"/>
      <c r="C646" s="230"/>
      <c r="D646" s="230"/>
      <c r="E646" s="231"/>
      <c r="F646" s="230"/>
      <c r="G646" s="230"/>
    </row>
    <row r="647" ht="15.75" customHeight="1">
      <c r="A647" s="230"/>
      <c r="B647" s="230"/>
      <c r="C647" s="230"/>
      <c r="D647" s="230"/>
      <c r="E647" s="231"/>
      <c r="F647" s="230"/>
      <c r="G647" s="230"/>
    </row>
    <row r="648" ht="15.75" customHeight="1">
      <c r="A648" s="230"/>
      <c r="B648" s="230"/>
      <c r="C648" s="230"/>
      <c r="D648" s="230"/>
      <c r="E648" s="231"/>
      <c r="F648" s="230"/>
      <c r="G648" s="230"/>
    </row>
    <row r="649" ht="15.75" customHeight="1">
      <c r="A649" s="230"/>
      <c r="B649" s="230"/>
      <c r="C649" s="230"/>
      <c r="D649" s="230"/>
      <c r="E649" s="231"/>
      <c r="F649" s="230"/>
      <c r="G649" s="230"/>
    </row>
    <row r="650" ht="15.75" customHeight="1">
      <c r="A650" s="230"/>
      <c r="B650" s="230"/>
      <c r="C650" s="230"/>
      <c r="D650" s="230"/>
      <c r="E650" s="231"/>
      <c r="F650" s="230"/>
      <c r="G650" s="230"/>
    </row>
    <row r="651" ht="15.75" customHeight="1">
      <c r="A651" s="230"/>
      <c r="B651" s="230"/>
      <c r="C651" s="230"/>
      <c r="D651" s="230"/>
      <c r="E651" s="231"/>
      <c r="F651" s="230"/>
      <c r="G651" s="230"/>
    </row>
    <row r="652" ht="15.75" customHeight="1">
      <c r="A652" s="230"/>
      <c r="B652" s="230"/>
      <c r="C652" s="230"/>
      <c r="D652" s="230"/>
      <c r="E652" s="231"/>
      <c r="F652" s="230"/>
      <c r="G652" s="230"/>
    </row>
    <row r="653" ht="15.75" customHeight="1">
      <c r="A653" s="230"/>
      <c r="B653" s="230"/>
      <c r="C653" s="230"/>
      <c r="D653" s="230"/>
      <c r="E653" s="231"/>
      <c r="F653" s="230"/>
      <c r="G653" s="230"/>
    </row>
    <row r="654" ht="15.75" customHeight="1">
      <c r="A654" s="230"/>
      <c r="B654" s="230"/>
      <c r="C654" s="230"/>
      <c r="D654" s="230"/>
      <c r="E654" s="231"/>
      <c r="F654" s="230"/>
      <c r="G654" s="230"/>
    </row>
    <row r="655" ht="15.75" customHeight="1">
      <c r="A655" s="230"/>
      <c r="B655" s="230"/>
      <c r="C655" s="230"/>
      <c r="D655" s="230"/>
      <c r="E655" s="231"/>
      <c r="F655" s="230"/>
      <c r="G655" s="230"/>
    </row>
    <row r="656" ht="15.75" customHeight="1">
      <c r="A656" s="230"/>
      <c r="B656" s="230"/>
      <c r="C656" s="230"/>
      <c r="D656" s="230"/>
      <c r="E656" s="231"/>
      <c r="F656" s="230"/>
      <c r="G656" s="230"/>
    </row>
    <row r="657" ht="15.75" customHeight="1">
      <c r="A657" s="230"/>
      <c r="B657" s="230"/>
      <c r="C657" s="230"/>
      <c r="D657" s="230"/>
      <c r="E657" s="231"/>
      <c r="F657" s="230"/>
      <c r="G657" s="230"/>
    </row>
    <row r="658" ht="15.75" customHeight="1">
      <c r="A658" s="230"/>
      <c r="B658" s="230"/>
      <c r="C658" s="230"/>
      <c r="D658" s="230"/>
      <c r="E658" s="231"/>
      <c r="F658" s="230"/>
      <c r="G658" s="230"/>
    </row>
    <row r="659" ht="15.75" customHeight="1">
      <c r="A659" s="230"/>
      <c r="B659" s="230"/>
      <c r="C659" s="230"/>
      <c r="D659" s="230"/>
      <c r="E659" s="231"/>
      <c r="F659" s="230"/>
      <c r="G659" s="230"/>
    </row>
    <row r="660" ht="15.75" customHeight="1">
      <c r="A660" s="230"/>
      <c r="B660" s="230"/>
      <c r="C660" s="230"/>
      <c r="D660" s="230"/>
      <c r="E660" s="231"/>
      <c r="F660" s="230"/>
      <c r="G660" s="230"/>
    </row>
    <row r="661" ht="15.75" customHeight="1">
      <c r="A661" s="230"/>
      <c r="B661" s="230"/>
      <c r="C661" s="230"/>
      <c r="D661" s="230"/>
      <c r="E661" s="231"/>
      <c r="F661" s="230"/>
      <c r="G661" s="230"/>
    </row>
    <row r="662" ht="15.75" customHeight="1">
      <c r="A662" s="230"/>
      <c r="B662" s="230"/>
      <c r="C662" s="230"/>
      <c r="D662" s="230"/>
      <c r="E662" s="231"/>
      <c r="F662" s="230"/>
      <c r="G662" s="230"/>
    </row>
    <row r="663" ht="15.75" customHeight="1">
      <c r="A663" s="230"/>
      <c r="B663" s="230"/>
      <c r="C663" s="230"/>
      <c r="D663" s="230"/>
      <c r="E663" s="231"/>
      <c r="F663" s="230"/>
      <c r="G663" s="230"/>
    </row>
    <row r="664" ht="15.75" customHeight="1">
      <c r="A664" s="230"/>
      <c r="B664" s="230"/>
      <c r="C664" s="230"/>
      <c r="D664" s="230"/>
      <c r="E664" s="231"/>
      <c r="F664" s="230"/>
      <c r="G664" s="230"/>
    </row>
    <row r="665" ht="15.75" customHeight="1">
      <c r="A665" s="230"/>
      <c r="B665" s="230"/>
      <c r="C665" s="230"/>
      <c r="D665" s="230"/>
      <c r="E665" s="231"/>
      <c r="F665" s="230"/>
      <c r="G665" s="230"/>
    </row>
    <row r="666" ht="15.75" customHeight="1">
      <c r="A666" s="230"/>
      <c r="B666" s="230"/>
      <c r="C666" s="230"/>
      <c r="D666" s="230"/>
      <c r="E666" s="231"/>
      <c r="F666" s="230"/>
      <c r="G666" s="230"/>
    </row>
    <row r="667" ht="15.75" customHeight="1">
      <c r="A667" s="230"/>
      <c r="B667" s="230"/>
      <c r="C667" s="230"/>
      <c r="D667" s="230"/>
      <c r="E667" s="231"/>
      <c r="F667" s="230"/>
      <c r="G667" s="230"/>
    </row>
    <row r="668" ht="15.75" customHeight="1">
      <c r="A668" s="230"/>
      <c r="B668" s="230"/>
      <c r="C668" s="230"/>
      <c r="D668" s="230"/>
      <c r="E668" s="231"/>
      <c r="F668" s="230"/>
      <c r="G668" s="230"/>
    </row>
    <row r="669" ht="15.75" customHeight="1">
      <c r="A669" s="230"/>
      <c r="B669" s="230"/>
      <c r="C669" s="230"/>
      <c r="D669" s="230"/>
      <c r="E669" s="231"/>
      <c r="F669" s="230"/>
      <c r="G669" s="230"/>
    </row>
    <row r="670" ht="15.75" customHeight="1">
      <c r="A670" s="230"/>
      <c r="B670" s="230"/>
      <c r="C670" s="230"/>
      <c r="D670" s="230"/>
      <c r="E670" s="231"/>
      <c r="F670" s="230"/>
      <c r="G670" s="230"/>
    </row>
    <row r="671" ht="15.75" customHeight="1">
      <c r="A671" s="230"/>
      <c r="B671" s="230"/>
      <c r="C671" s="230"/>
      <c r="D671" s="230"/>
      <c r="E671" s="231"/>
      <c r="F671" s="230"/>
      <c r="G671" s="230"/>
    </row>
    <row r="672" ht="15.75" customHeight="1">
      <c r="A672" s="230"/>
      <c r="B672" s="230"/>
      <c r="C672" s="230"/>
      <c r="D672" s="230"/>
      <c r="E672" s="231"/>
      <c r="F672" s="230"/>
      <c r="G672" s="230"/>
    </row>
    <row r="673" ht="15.75" customHeight="1">
      <c r="A673" s="230"/>
      <c r="B673" s="230"/>
      <c r="C673" s="230"/>
      <c r="D673" s="230"/>
      <c r="E673" s="231"/>
      <c r="F673" s="230"/>
      <c r="G673" s="230"/>
    </row>
    <row r="674" ht="15.75" customHeight="1">
      <c r="A674" s="230"/>
      <c r="B674" s="230"/>
      <c r="C674" s="230"/>
      <c r="D674" s="230"/>
      <c r="E674" s="231"/>
      <c r="F674" s="230"/>
      <c r="G674" s="230"/>
    </row>
    <row r="675" ht="15.75" customHeight="1">
      <c r="A675" s="230"/>
      <c r="B675" s="230"/>
      <c r="C675" s="230"/>
      <c r="D675" s="230"/>
      <c r="E675" s="231"/>
      <c r="F675" s="230"/>
      <c r="G675" s="230"/>
    </row>
    <row r="676" ht="15.75" customHeight="1">
      <c r="A676" s="230"/>
      <c r="B676" s="230"/>
      <c r="C676" s="230"/>
      <c r="D676" s="230"/>
      <c r="E676" s="231"/>
      <c r="F676" s="230"/>
      <c r="G676" s="230"/>
    </row>
    <row r="677" ht="15.75" customHeight="1">
      <c r="A677" s="230"/>
      <c r="B677" s="230"/>
      <c r="C677" s="230"/>
      <c r="D677" s="230"/>
      <c r="E677" s="231"/>
      <c r="F677" s="230"/>
      <c r="G677" s="230"/>
    </row>
    <row r="678" ht="15.75" customHeight="1">
      <c r="A678" s="230"/>
      <c r="B678" s="230"/>
      <c r="C678" s="230"/>
      <c r="D678" s="230"/>
      <c r="E678" s="231"/>
      <c r="F678" s="230"/>
      <c r="G678" s="230"/>
    </row>
    <row r="679" ht="15.75" customHeight="1">
      <c r="A679" s="230"/>
      <c r="B679" s="230"/>
      <c r="C679" s="230"/>
      <c r="D679" s="230"/>
      <c r="E679" s="231"/>
      <c r="F679" s="230"/>
      <c r="G679" s="230"/>
    </row>
    <row r="680" ht="15.75" customHeight="1">
      <c r="A680" s="230"/>
      <c r="B680" s="230"/>
      <c r="C680" s="230"/>
      <c r="D680" s="230"/>
      <c r="E680" s="231"/>
      <c r="F680" s="230"/>
      <c r="G680" s="230"/>
    </row>
    <row r="681" ht="15.75" customHeight="1">
      <c r="A681" s="230"/>
      <c r="B681" s="230"/>
      <c r="C681" s="230"/>
      <c r="D681" s="230"/>
      <c r="E681" s="231"/>
      <c r="F681" s="230"/>
      <c r="G681" s="230"/>
    </row>
    <row r="682" ht="15.75" customHeight="1">
      <c r="A682" s="230"/>
      <c r="B682" s="230"/>
      <c r="C682" s="230"/>
      <c r="D682" s="230"/>
      <c r="E682" s="231"/>
      <c r="F682" s="230"/>
      <c r="G682" s="230"/>
    </row>
    <row r="683" ht="15.75" customHeight="1">
      <c r="A683" s="230"/>
      <c r="B683" s="230"/>
      <c r="C683" s="230"/>
      <c r="D683" s="230"/>
      <c r="E683" s="231"/>
      <c r="F683" s="230"/>
      <c r="G683" s="230"/>
    </row>
    <row r="684" ht="15.75" customHeight="1">
      <c r="A684" s="230"/>
      <c r="B684" s="230"/>
      <c r="C684" s="230"/>
      <c r="D684" s="230"/>
      <c r="E684" s="231"/>
      <c r="F684" s="230"/>
      <c r="G684" s="230"/>
    </row>
    <row r="685" ht="15.75" customHeight="1">
      <c r="A685" s="230"/>
      <c r="B685" s="230"/>
      <c r="C685" s="230"/>
      <c r="D685" s="230"/>
      <c r="E685" s="231"/>
      <c r="F685" s="230"/>
      <c r="G685" s="230"/>
    </row>
    <row r="686" ht="15.75" customHeight="1">
      <c r="A686" s="230"/>
      <c r="B686" s="230"/>
      <c r="C686" s="230"/>
      <c r="D686" s="230"/>
      <c r="E686" s="231"/>
      <c r="F686" s="230"/>
      <c r="G686" s="230"/>
    </row>
    <row r="687" ht="15.75" customHeight="1">
      <c r="A687" s="230"/>
      <c r="B687" s="230"/>
      <c r="C687" s="230"/>
      <c r="D687" s="230"/>
      <c r="E687" s="231"/>
      <c r="F687" s="230"/>
      <c r="G687" s="230"/>
    </row>
    <row r="688" ht="15.75" customHeight="1">
      <c r="A688" s="230"/>
      <c r="B688" s="230"/>
      <c r="C688" s="230"/>
      <c r="D688" s="230"/>
      <c r="E688" s="231"/>
      <c r="F688" s="230"/>
      <c r="G688" s="230"/>
    </row>
    <row r="689" ht="15.75" customHeight="1">
      <c r="A689" s="230"/>
      <c r="B689" s="230"/>
      <c r="C689" s="230"/>
      <c r="D689" s="230"/>
      <c r="E689" s="231"/>
      <c r="F689" s="230"/>
      <c r="G689" s="230"/>
    </row>
    <row r="690" ht="15.75" customHeight="1">
      <c r="A690" s="230"/>
      <c r="B690" s="230"/>
      <c r="C690" s="230"/>
      <c r="D690" s="230"/>
      <c r="E690" s="231"/>
      <c r="F690" s="230"/>
      <c r="G690" s="230"/>
    </row>
    <row r="691" ht="15.75" customHeight="1">
      <c r="A691" s="230"/>
      <c r="B691" s="230"/>
      <c r="C691" s="230"/>
      <c r="D691" s="230"/>
      <c r="E691" s="231"/>
      <c r="F691" s="230"/>
      <c r="G691" s="230"/>
    </row>
    <row r="692" ht="15.75" customHeight="1">
      <c r="A692" s="230"/>
      <c r="B692" s="230"/>
      <c r="C692" s="230"/>
      <c r="D692" s="230"/>
      <c r="E692" s="231"/>
      <c r="F692" s="230"/>
      <c r="G692" s="230"/>
    </row>
    <row r="693" ht="15.75" customHeight="1">
      <c r="A693" s="230"/>
      <c r="B693" s="230"/>
      <c r="C693" s="230"/>
      <c r="D693" s="230"/>
      <c r="E693" s="231"/>
      <c r="F693" s="230"/>
      <c r="G693" s="230"/>
    </row>
    <row r="694" ht="15.75" customHeight="1">
      <c r="A694" s="230"/>
      <c r="B694" s="230"/>
      <c r="C694" s="230"/>
      <c r="D694" s="230"/>
      <c r="E694" s="231"/>
      <c r="F694" s="230"/>
      <c r="G694" s="230"/>
    </row>
    <row r="695" ht="15.75" customHeight="1">
      <c r="A695" s="230"/>
      <c r="B695" s="230"/>
      <c r="C695" s="230"/>
      <c r="D695" s="230"/>
      <c r="E695" s="231"/>
      <c r="F695" s="230"/>
      <c r="G695" s="230"/>
    </row>
    <row r="696" ht="15.75" customHeight="1">
      <c r="A696" s="230"/>
      <c r="B696" s="230"/>
      <c r="C696" s="230"/>
      <c r="D696" s="230"/>
      <c r="E696" s="231"/>
      <c r="F696" s="230"/>
      <c r="G696" s="230"/>
    </row>
    <row r="697" ht="15.75" customHeight="1">
      <c r="A697" s="230"/>
      <c r="B697" s="230"/>
      <c r="C697" s="230"/>
      <c r="D697" s="230"/>
      <c r="E697" s="231"/>
      <c r="F697" s="230"/>
      <c r="G697" s="230"/>
    </row>
    <row r="698" ht="15.75" customHeight="1">
      <c r="A698" s="230"/>
      <c r="B698" s="230"/>
      <c r="C698" s="230"/>
      <c r="D698" s="230"/>
      <c r="E698" s="231"/>
      <c r="F698" s="230"/>
      <c r="G698" s="230"/>
    </row>
    <row r="699" ht="15.75" customHeight="1">
      <c r="A699" s="230"/>
      <c r="B699" s="230"/>
      <c r="C699" s="230"/>
      <c r="D699" s="230"/>
      <c r="E699" s="231"/>
      <c r="F699" s="230"/>
      <c r="G699" s="230"/>
    </row>
    <row r="700" ht="15.75" customHeight="1">
      <c r="A700" s="230"/>
      <c r="B700" s="230"/>
      <c r="C700" s="230"/>
      <c r="D700" s="230"/>
      <c r="E700" s="231"/>
      <c r="F700" s="230"/>
      <c r="G700" s="230"/>
    </row>
    <row r="701" ht="15.75" customHeight="1">
      <c r="A701" s="230"/>
      <c r="B701" s="230"/>
      <c r="C701" s="230"/>
      <c r="D701" s="230"/>
      <c r="E701" s="231"/>
      <c r="F701" s="230"/>
      <c r="G701" s="230"/>
    </row>
    <row r="702" ht="15.75" customHeight="1">
      <c r="A702" s="230"/>
      <c r="B702" s="230"/>
      <c r="C702" s="230"/>
      <c r="D702" s="230"/>
      <c r="E702" s="231"/>
      <c r="F702" s="230"/>
      <c r="G702" s="230"/>
    </row>
    <row r="703" ht="15.75" customHeight="1">
      <c r="A703" s="230"/>
      <c r="B703" s="230"/>
      <c r="C703" s="230"/>
      <c r="D703" s="230"/>
      <c r="E703" s="231"/>
      <c r="F703" s="230"/>
      <c r="G703" s="230"/>
    </row>
    <row r="704" ht="15.75" customHeight="1">
      <c r="A704" s="230"/>
      <c r="B704" s="230"/>
      <c r="C704" s="230"/>
      <c r="D704" s="230"/>
      <c r="E704" s="231"/>
      <c r="F704" s="230"/>
      <c r="G704" s="230"/>
    </row>
    <row r="705" ht="15.75" customHeight="1">
      <c r="A705" s="230"/>
      <c r="B705" s="230"/>
      <c r="C705" s="230"/>
      <c r="D705" s="230"/>
      <c r="E705" s="231"/>
      <c r="F705" s="230"/>
      <c r="G705" s="230"/>
    </row>
    <row r="706" ht="15.75" customHeight="1">
      <c r="A706" s="230"/>
      <c r="B706" s="230"/>
      <c r="C706" s="230"/>
      <c r="D706" s="230"/>
      <c r="E706" s="231"/>
      <c r="F706" s="230"/>
      <c r="G706" s="230"/>
    </row>
    <row r="707" ht="15.75" customHeight="1">
      <c r="A707" s="230"/>
      <c r="B707" s="230"/>
      <c r="C707" s="230"/>
      <c r="D707" s="230"/>
      <c r="E707" s="231"/>
      <c r="F707" s="230"/>
      <c r="G707" s="230"/>
    </row>
    <row r="708" ht="15.75" customHeight="1">
      <c r="A708" s="230"/>
      <c r="B708" s="230"/>
      <c r="C708" s="230"/>
      <c r="D708" s="230"/>
      <c r="E708" s="231"/>
      <c r="F708" s="230"/>
      <c r="G708" s="230"/>
    </row>
    <row r="709" ht="15.75" customHeight="1">
      <c r="A709" s="230"/>
      <c r="B709" s="230"/>
      <c r="C709" s="230"/>
      <c r="D709" s="230"/>
      <c r="E709" s="231"/>
      <c r="F709" s="230"/>
      <c r="G709" s="230"/>
    </row>
    <row r="710" ht="15.75" customHeight="1">
      <c r="A710" s="230"/>
      <c r="B710" s="230"/>
      <c r="C710" s="230"/>
      <c r="D710" s="230"/>
      <c r="E710" s="231"/>
      <c r="F710" s="230"/>
      <c r="G710" s="230"/>
    </row>
    <row r="711" ht="15.75" customHeight="1">
      <c r="A711" s="230"/>
      <c r="B711" s="230"/>
      <c r="C711" s="230"/>
      <c r="D711" s="230"/>
      <c r="E711" s="231"/>
      <c r="F711" s="230"/>
      <c r="G711" s="230"/>
    </row>
    <row r="712" ht="15.75" customHeight="1">
      <c r="A712" s="230"/>
      <c r="B712" s="230"/>
      <c r="C712" s="230"/>
      <c r="D712" s="230"/>
      <c r="E712" s="231"/>
      <c r="F712" s="230"/>
      <c r="G712" s="230"/>
    </row>
    <row r="713" ht="15.75" customHeight="1">
      <c r="A713" s="230"/>
      <c r="B713" s="230"/>
      <c r="C713" s="230"/>
      <c r="D713" s="230"/>
      <c r="E713" s="231"/>
      <c r="F713" s="230"/>
      <c r="G713" s="230"/>
    </row>
    <row r="714" ht="15.75" customHeight="1">
      <c r="A714" s="230"/>
      <c r="B714" s="230"/>
      <c r="C714" s="230"/>
      <c r="D714" s="230"/>
      <c r="E714" s="231"/>
      <c r="F714" s="230"/>
      <c r="G714" s="230"/>
    </row>
    <row r="715" ht="15.75" customHeight="1">
      <c r="A715" s="230"/>
      <c r="B715" s="230"/>
      <c r="C715" s="230"/>
      <c r="D715" s="230"/>
      <c r="E715" s="231"/>
      <c r="F715" s="230"/>
      <c r="G715" s="230"/>
    </row>
    <row r="716" ht="15.75" customHeight="1">
      <c r="A716" s="230"/>
      <c r="B716" s="230"/>
      <c r="C716" s="230"/>
      <c r="D716" s="230"/>
      <c r="E716" s="231"/>
      <c r="F716" s="230"/>
      <c r="G716" s="230"/>
    </row>
    <row r="717" ht="15.75" customHeight="1">
      <c r="A717" s="230"/>
      <c r="B717" s="230"/>
      <c r="C717" s="230"/>
      <c r="D717" s="230"/>
      <c r="E717" s="231"/>
      <c r="F717" s="230"/>
      <c r="G717" s="230"/>
    </row>
    <row r="718" ht="15.75" customHeight="1">
      <c r="A718" s="230"/>
      <c r="B718" s="230"/>
      <c r="C718" s="230"/>
      <c r="D718" s="230"/>
      <c r="E718" s="231"/>
      <c r="F718" s="230"/>
      <c r="G718" s="230"/>
    </row>
    <row r="719" ht="15.75" customHeight="1">
      <c r="A719" s="230"/>
      <c r="B719" s="230"/>
      <c r="C719" s="230"/>
      <c r="D719" s="230"/>
      <c r="E719" s="231"/>
      <c r="F719" s="230"/>
      <c r="G719" s="230"/>
    </row>
    <row r="720" ht="15.75" customHeight="1">
      <c r="A720" s="230"/>
      <c r="B720" s="230"/>
      <c r="C720" s="230"/>
      <c r="D720" s="230"/>
      <c r="E720" s="231"/>
      <c r="F720" s="230"/>
      <c r="G720" s="230"/>
    </row>
    <row r="721" ht="15.75" customHeight="1">
      <c r="A721" s="230"/>
      <c r="B721" s="230"/>
      <c r="C721" s="230"/>
      <c r="D721" s="230"/>
      <c r="E721" s="231"/>
      <c r="F721" s="230"/>
      <c r="G721" s="230"/>
    </row>
    <row r="722" ht="15.75" customHeight="1">
      <c r="A722" s="230"/>
      <c r="B722" s="230"/>
      <c r="C722" s="230"/>
      <c r="D722" s="230"/>
      <c r="E722" s="231"/>
      <c r="F722" s="230"/>
      <c r="G722" s="230"/>
    </row>
    <row r="723" ht="15.75" customHeight="1">
      <c r="A723" s="230"/>
      <c r="B723" s="230"/>
      <c r="C723" s="230"/>
      <c r="D723" s="230"/>
      <c r="E723" s="231"/>
      <c r="F723" s="230"/>
      <c r="G723" s="230"/>
    </row>
    <row r="724" ht="15.75" customHeight="1">
      <c r="A724" s="230"/>
      <c r="B724" s="230"/>
      <c r="C724" s="230"/>
      <c r="D724" s="230"/>
      <c r="E724" s="231"/>
      <c r="F724" s="230"/>
      <c r="G724" s="230"/>
    </row>
    <row r="725" ht="15.75" customHeight="1">
      <c r="A725" s="230"/>
      <c r="B725" s="230"/>
      <c r="C725" s="230"/>
      <c r="D725" s="230"/>
      <c r="E725" s="231"/>
      <c r="F725" s="230"/>
      <c r="G725" s="230"/>
    </row>
    <row r="726" ht="15.75" customHeight="1">
      <c r="A726" s="230"/>
      <c r="B726" s="230"/>
      <c r="C726" s="230"/>
      <c r="D726" s="230"/>
      <c r="E726" s="231"/>
      <c r="F726" s="230"/>
      <c r="G726" s="230"/>
    </row>
    <row r="727" ht="15.75" customHeight="1">
      <c r="A727" s="230"/>
      <c r="B727" s="230"/>
      <c r="C727" s="230"/>
      <c r="D727" s="230"/>
      <c r="E727" s="231"/>
      <c r="F727" s="230"/>
      <c r="G727" s="230"/>
    </row>
    <row r="728" ht="15.75" customHeight="1">
      <c r="A728" s="230"/>
      <c r="B728" s="230"/>
      <c r="C728" s="230"/>
      <c r="D728" s="230"/>
      <c r="E728" s="231"/>
      <c r="F728" s="230"/>
      <c r="G728" s="230"/>
    </row>
    <row r="729" ht="15.75" customHeight="1">
      <c r="A729" s="230"/>
      <c r="B729" s="230"/>
      <c r="C729" s="230"/>
      <c r="D729" s="230"/>
      <c r="E729" s="231"/>
      <c r="F729" s="230"/>
      <c r="G729" s="230"/>
    </row>
    <row r="730" ht="15.75" customHeight="1">
      <c r="A730" s="230"/>
      <c r="B730" s="230"/>
      <c r="C730" s="230"/>
      <c r="D730" s="230"/>
      <c r="E730" s="231"/>
      <c r="F730" s="230"/>
      <c r="G730" s="230"/>
    </row>
    <row r="731" ht="15.75" customHeight="1">
      <c r="A731" s="230"/>
      <c r="B731" s="230"/>
      <c r="C731" s="230"/>
      <c r="D731" s="230"/>
      <c r="E731" s="231"/>
      <c r="F731" s="230"/>
      <c r="G731" s="230"/>
    </row>
    <row r="732" ht="15.75" customHeight="1">
      <c r="A732" s="230"/>
      <c r="B732" s="230"/>
      <c r="C732" s="230"/>
      <c r="D732" s="230"/>
      <c r="E732" s="231"/>
      <c r="F732" s="230"/>
      <c r="G732" s="230"/>
    </row>
    <row r="733" ht="15.75" customHeight="1">
      <c r="A733" s="230"/>
      <c r="B733" s="230"/>
      <c r="C733" s="230"/>
      <c r="D733" s="230"/>
      <c r="E733" s="231"/>
      <c r="F733" s="230"/>
      <c r="G733" s="230"/>
    </row>
    <row r="734" ht="15.75" customHeight="1">
      <c r="A734" s="230"/>
      <c r="B734" s="230"/>
      <c r="C734" s="230"/>
      <c r="D734" s="230"/>
      <c r="E734" s="231"/>
      <c r="F734" s="230"/>
      <c r="G734" s="230"/>
    </row>
    <row r="735" ht="15.75" customHeight="1">
      <c r="A735" s="230"/>
      <c r="B735" s="230"/>
      <c r="C735" s="230"/>
      <c r="D735" s="230"/>
      <c r="E735" s="231"/>
      <c r="F735" s="230"/>
      <c r="G735" s="230"/>
    </row>
    <row r="736" ht="15.75" customHeight="1">
      <c r="A736" s="230"/>
      <c r="B736" s="230"/>
      <c r="C736" s="230"/>
      <c r="D736" s="230"/>
      <c r="E736" s="231"/>
      <c r="F736" s="230"/>
      <c r="G736" s="230"/>
    </row>
    <row r="737" ht="15.75" customHeight="1">
      <c r="A737" s="230"/>
      <c r="B737" s="230"/>
      <c r="C737" s="230"/>
      <c r="D737" s="230"/>
      <c r="E737" s="231"/>
      <c r="F737" s="230"/>
      <c r="G737" s="230"/>
    </row>
    <row r="738" ht="15.75" customHeight="1">
      <c r="A738" s="230"/>
      <c r="B738" s="230"/>
      <c r="C738" s="230"/>
      <c r="D738" s="230"/>
      <c r="E738" s="231"/>
      <c r="F738" s="230"/>
      <c r="G738" s="230"/>
    </row>
    <row r="739" ht="15.75" customHeight="1">
      <c r="A739" s="230"/>
      <c r="B739" s="230"/>
      <c r="C739" s="230"/>
      <c r="D739" s="230"/>
      <c r="E739" s="231"/>
      <c r="F739" s="230"/>
      <c r="G739" s="230"/>
    </row>
    <row r="740" ht="15.75" customHeight="1">
      <c r="A740" s="230"/>
      <c r="B740" s="230"/>
      <c r="C740" s="230"/>
      <c r="D740" s="230"/>
      <c r="E740" s="231"/>
      <c r="F740" s="230"/>
      <c r="G740" s="230"/>
    </row>
    <row r="741" ht="15.75" customHeight="1">
      <c r="A741" s="230"/>
      <c r="B741" s="230"/>
      <c r="C741" s="230"/>
      <c r="D741" s="230"/>
      <c r="E741" s="231"/>
      <c r="F741" s="230"/>
      <c r="G741" s="230"/>
    </row>
    <row r="742" ht="15.75" customHeight="1">
      <c r="A742" s="230"/>
      <c r="B742" s="230"/>
      <c r="C742" s="230"/>
      <c r="D742" s="230"/>
      <c r="E742" s="231"/>
      <c r="F742" s="230"/>
      <c r="G742" s="230"/>
    </row>
    <row r="743" ht="15.75" customHeight="1">
      <c r="A743" s="230"/>
      <c r="B743" s="230"/>
      <c r="C743" s="230"/>
      <c r="D743" s="230"/>
      <c r="E743" s="231"/>
      <c r="F743" s="230"/>
      <c r="G743" s="230"/>
    </row>
    <row r="744" ht="15.75" customHeight="1">
      <c r="A744" s="230"/>
      <c r="B744" s="230"/>
      <c r="C744" s="230"/>
      <c r="D744" s="230"/>
      <c r="E744" s="231"/>
      <c r="F744" s="230"/>
      <c r="G744" s="230"/>
    </row>
    <row r="745" ht="15.75" customHeight="1">
      <c r="A745" s="230"/>
      <c r="B745" s="230"/>
      <c r="C745" s="230"/>
      <c r="D745" s="230"/>
      <c r="E745" s="231"/>
      <c r="F745" s="230"/>
      <c r="G745" s="230"/>
    </row>
    <row r="746" ht="15.75" customHeight="1">
      <c r="A746" s="230"/>
      <c r="B746" s="230"/>
      <c r="C746" s="230"/>
      <c r="D746" s="230"/>
      <c r="E746" s="231"/>
      <c r="F746" s="230"/>
      <c r="G746" s="230"/>
    </row>
    <row r="747" ht="15.75" customHeight="1">
      <c r="A747" s="230"/>
      <c r="B747" s="230"/>
      <c r="C747" s="230"/>
      <c r="D747" s="230"/>
      <c r="E747" s="231"/>
      <c r="F747" s="230"/>
      <c r="G747" s="230"/>
    </row>
    <row r="748" ht="15.75" customHeight="1">
      <c r="A748" s="230"/>
      <c r="B748" s="230"/>
      <c r="C748" s="230"/>
      <c r="D748" s="230"/>
      <c r="E748" s="231"/>
      <c r="F748" s="230"/>
      <c r="G748" s="230"/>
    </row>
    <row r="749" ht="15.75" customHeight="1">
      <c r="A749" s="230"/>
      <c r="B749" s="230"/>
      <c r="C749" s="230"/>
      <c r="D749" s="230"/>
      <c r="E749" s="231"/>
      <c r="F749" s="230"/>
      <c r="G749" s="230"/>
    </row>
    <row r="750" ht="15.75" customHeight="1">
      <c r="A750" s="230"/>
      <c r="B750" s="230"/>
      <c r="C750" s="230"/>
      <c r="D750" s="230"/>
      <c r="E750" s="231"/>
      <c r="F750" s="230"/>
      <c r="G750" s="230"/>
    </row>
    <row r="751" ht="15.75" customHeight="1">
      <c r="A751" s="230"/>
      <c r="B751" s="230"/>
      <c r="C751" s="230"/>
      <c r="D751" s="230"/>
      <c r="E751" s="231"/>
      <c r="F751" s="230"/>
      <c r="G751" s="230"/>
    </row>
    <row r="752" ht="15.75" customHeight="1">
      <c r="A752" s="230"/>
      <c r="B752" s="230"/>
      <c r="C752" s="230"/>
      <c r="D752" s="230"/>
      <c r="E752" s="231"/>
      <c r="F752" s="230"/>
      <c r="G752" s="230"/>
    </row>
    <row r="753" ht="15.75" customHeight="1">
      <c r="A753" s="230"/>
      <c r="B753" s="230"/>
      <c r="C753" s="230"/>
      <c r="D753" s="230"/>
      <c r="E753" s="231"/>
      <c r="F753" s="230"/>
      <c r="G753" s="230"/>
    </row>
    <row r="754" ht="15.75" customHeight="1">
      <c r="A754" s="230"/>
      <c r="B754" s="230"/>
      <c r="C754" s="230"/>
      <c r="D754" s="230"/>
      <c r="E754" s="231"/>
      <c r="F754" s="230"/>
      <c r="G754" s="230"/>
    </row>
    <row r="755" ht="15.75" customHeight="1">
      <c r="A755" s="230"/>
      <c r="B755" s="230"/>
      <c r="C755" s="230"/>
      <c r="D755" s="230"/>
      <c r="E755" s="231"/>
      <c r="F755" s="230"/>
      <c r="G755" s="230"/>
    </row>
    <row r="756" ht="15.75" customHeight="1">
      <c r="A756" s="230"/>
      <c r="B756" s="230"/>
      <c r="C756" s="230"/>
      <c r="D756" s="230"/>
      <c r="E756" s="231"/>
      <c r="F756" s="230"/>
      <c r="G756" s="230"/>
    </row>
    <row r="757" ht="15.75" customHeight="1">
      <c r="A757" s="230"/>
      <c r="B757" s="230"/>
      <c r="C757" s="230"/>
      <c r="D757" s="230"/>
      <c r="E757" s="231"/>
      <c r="F757" s="230"/>
      <c r="G757" s="230"/>
    </row>
    <row r="758" ht="15.75" customHeight="1">
      <c r="A758" s="230"/>
      <c r="B758" s="230"/>
      <c r="C758" s="230"/>
      <c r="D758" s="230"/>
      <c r="E758" s="231"/>
      <c r="F758" s="230"/>
      <c r="G758" s="230"/>
    </row>
    <row r="759" ht="15.75" customHeight="1">
      <c r="A759" s="230"/>
      <c r="B759" s="230"/>
      <c r="C759" s="230"/>
      <c r="D759" s="230"/>
      <c r="E759" s="231"/>
      <c r="F759" s="230"/>
      <c r="G759" s="230"/>
    </row>
    <row r="760" ht="15.75" customHeight="1">
      <c r="A760" s="230"/>
      <c r="B760" s="230"/>
      <c r="C760" s="230"/>
      <c r="D760" s="230"/>
      <c r="E760" s="231"/>
      <c r="F760" s="230"/>
      <c r="G760" s="230"/>
    </row>
    <row r="761" ht="15.75" customHeight="1">
      <c r="A761" s="230"/>
      <c r="B761" s="230"/>
      <c r="C761" s="230"/>
      <c r="D761" s="230"/>
      <c r="E761" s="231"/>
      <c r="F761" s="230"/>
      <c r="G761" s="230"/>
    </row>
    <row r="762" ht="15.75" customHeight="1">
      <c r="A762" s="230"/>
      <c r="B762" s="230"/>
      <c r="C762" s="230"/>
      <c r="D762" s="230"/>
      <c r="E762" s="231"/>
      <c r="F762" s="230"/>
      <c r="G762" s="230"/>
    </row>
    <row r="763" ht="15.75" customHeight="1">
      <c r="A763" s="230"/>
      <c r="B763" s="230"/>
      <c r="C763" s="230"/>
      <c r="D763" s="230"/>
      <c r="E763" s="231"/>
      <c r="F763" s="230"/>
      <c r="G763" s="230"/>
    </row>
    <row r="764" ht="15.75" customHeight="1">
      <c r="A764" s="230"/>
      <c r="B764" s="230"/>
      <c r="C764" s="230"/>
      <c r="D764" s="230"/>
      <c r="E764" s="231"/>
      <c r="F764" s="230"/>
      <c r="G764" s="230"/>
    </row>
    <row r="765" ht="15.75" customHeight="1">
      <c r="A765" s="230"/>
      <c r="B765" s="230"/>
      <c r="C765" s="230"/>
      <c r="D765" s="230"/>
      <c r="E765" s="231"/>
      <c r="F765" s="230"/>
      <c r="G765" s="230"/>
    </row>
    <row r="766" ht="15.75" customHeight="1">
      <c r="A766" s="230"/>
      <c r="B766" s="230"/>
      <c r="C766" s="230"/>
      <c r="D766" s="230"/>
      <c r="E766" s="231"/>
      <c r="F766" s="230"/>
      <c r="G766" s="230"/>
    </row>
    <row r="767" ht="15.75" customHeight="1">
      <c r="A767" s="230"/>
      <c r="B767" s="230"/>
      <c r="C767" s="230"/>
      <c r="D767" s="230"/>
      <c r="E767" s="231"/>
      <c r="F767" s="230"/>
      <c r="G767" s="230"/>
    </row>
    <row r="768" ht="15.75" customHeight="1">
      <c r="A768" s="230"/>
      <c r="B768" s="230"/>
      <c r="C768" s="230"/>
      <c r="D768" s="230"/>
      <c r="E768" s="231"/>
      <c r="F768" s="230"/>
      <c r="G768" s="230"/>
    </row>
    <row r="769" ht="15.75" customHeight="1">
      <c r="A769" s="230"/>
      <c r="B769" s="230"/>
      <c r="C769" s="230"/>
      <c r="D769" s="230"/>
      <c r="E769" s="231"/>
      <c r="F769" s="230"/>
      <c r="G769" s="230"/>
    </row>
    <row r="770" ht="15.75" customHeight="1">
      <c r="A770" s="230"/>
      <c r="B770" s="230"/>
      <c r="C770" s="230"/>
      <c r="D770" s="230"/>
      <c r="E770" s="231"/>
      <c r="F770" s="230"/>
      <c r="G770" s="230"/>
    </row>
    <row r="771" ht="15.75" customHeight="1">
      <c r="A771" s="230"/>
      <c r="B771" s="230"/>
      <c r="C771" s="230"/>
      <c r="D771" s="230"/>
      <c r="E771" s="231"/>
      <c r="F771" s="230"/>
      <c r="G771" s="230"/>
    </row>
    <row r="772" ht="15.75" customHeight="1">
      <c r="A772" s="230"/>
      <c r="B772" s="230"/>
      <c r="C772" s="230"/>
      <c r="D772" s="230"/>
      <c r="E772" s="231"/>
      <c r="F772" s="230"/>
      <c r="G772" s="230"/>
    </row>
    <row r="773" ht="15.75" customHeight="1">
      <c r="A773" s="230"/>
      <c r="B773" s="230"/>
      <c r="C773" s="230"/>
      <c r="D773" s="230"/>
      <c r="E773" s="231"/>
      <c r="F773" s="230"/>
      <c r="G773" s="230"/>
    </row>
    <row r="774" ht="15.75" customHeight="1">
      <c r="A774" s="230"/>
      <c r="B774" s="230"/>
      <c r="C774" s="230"/>
      <c r="D774" s="230"/>
      <c r="E774" s="231"/>
      <c r="F774" s="230"/>
      <c r="G774" s="230"/>
    </row>
    <row r="775" ht="15.75" customHeight="1">
      <c r="A775" s="230"/>
      <c r="B775" s="230"/>
      <c r="C775" s="230"/>
      <c r="D775" s="230"/>
      <c r="E775" s="231"/>
      <c r="F775" s="230"/>
      <c r="G775" s="230"/>
    </row>
    <row r="776" ht="15.75" customHeight="1">
      <c r="A776" s="230"/>
      <c r="B776" s="230"/>
      <c r="C776" s="230"/>
      <c r="D776" s="230"/>
      <c r="E776" s="231"/>
      <c r="F776" s="230"/>
      <c r="G776" s="230"/>
    </row>
    <row r="777" ht="15.75" customHeight="1">
      <c r="A777" s="230"/>
      <c r="B777" s="230"/>
      <c r="C777" s="230"/>
      <c r="D777" s="230"/>
      <c r="E777" s="231"/>
      <c r="F777" s="230"/>
      <c r="G777" s="230"/>
    </row>
    <row r="778" ht="15.75" customHeight="1">
      <c r="A778" s="230"/>
      <c r="B778" s="230"/>
      <c r="C778" s="230"/>
      <c r="D778" s="230"/>
      <c r="E778" s="231"/>
      <c r="F778" s="230"/>
      <c r="G778" s="230"/>
    </row>
    <row r="779" ht="15.75" customHeight="1">
      <c r="A779" s="230"/>
      <c r="B779" s="230"/>
      <c r="C779" s="230"/>
      <c r="D779" s="230"/>
      <c r="E779" s="231"/>
      <c r="F779" s="230"/>
      <c r="G779" s="230"/>
    </row>
    <row r="780" ht="15.75" customHeight="1">
      <c r="A780" s="230"/>
      <c r="B780" s="230"/>
      <c r="C780" s="230"/>
      <c r="D780" s="230"/>
      <c r="E780" s="231"/>
      <c r="F780" s="230"/>
      <c r="G780" s="230"/>
    </row>
    <row r="781" ht="15.75" customHeight="1">
      <c r="A781" s="230"/>
      <c r="B781" s="230"/>
      <c r="C781" s="230"/>
      <c r="D781" s="230"/>
      <c r="E781" s="231"/>
      <c r="F781" s="230"/>
      <c r="G781" s="230"/>
    </row>
    <row r="782" ht="15.75" customHeight="1">
      <c r="A782" s="230"/>
      <c r="B782" s="230"/>
      <c r="C782" s="230"/>
      <c r="D782" s="230"/>
      <c r="E782" s="231"/>
      <c r="F782" s="230"/>
      <c r="G782" s="230"/>
    </row>
    <row r="783" ht="15.75" customHeight="1">
      <c r="A783" s="230"/>
      <c r="B783" s="230"/>
      <c r="C783" s="230"/>
      <c r="D783" s="230"/>
      <c r="E783" s="231"/>
      <c r="F783" s="230"/>
      <c r="G783" s="230"/>
    </row>
    <row r="784" ht="15.75" customHeight="1">
      <c r="A784" s="230"/>
      <c r="B784" s="230"/>
      <c r="C784" s="230"/>
      <c r="D784" s="230"/>
      <c r="E784" s="231"/>
      <c r="F784" s="230"/>
      <c r="G784" s="230"/>
    </row>
    <row r="785" ht="15.75" customHeight="1">
      <c r="A785" s="230"/>
      <c r="B785" s="230"/>
      <c r="C785" s="230"/>
      <c r="D785" s="230"/>
      <c r="E785" s="231"/>
      <c r="F785" s="230"/>
      <c r="G785" s="230"/>
    </row>
    <row r="786" ht="15.75" customHeight="1">
      <c r="A786" s="230"/>
      <c r="B786" s="230"/>
      <c r="C786" s="230"/>
      <c r="D786" s="230"/>
      <c r="E786" s="231"/>
      <c r="F786" s="230"/>
      <c r="G786" s="230"/>
    </row>
    <row r="787" ht="15.75" customHeight="1">
      <c r="A787" s="230"/>
      <c r="B787" s="230"/>
      <c r="C787" s="230"/>
      <c r="D787" s="230"/>
      <c r="E787" s="231"/>
      <c r="F787" s="230"/>
      <c r="G787" s="230"/>
    </row>
    <row r="788" ht="15.75" customHeight="1">
      <c r="A788" s="230"/>
      <c r="B788" s="230"/>
      <c r="C788" s="230"/>
      <c r="D788" s="230"/>
      <c r="E788" s="231"/>
      <c r="F788" s="230"/>
      <c r="G788" s="230"/>
    </row>
    <row r="789" ht="15.75" customHeight="1">
      <c r="A789" s="230"/>
      <c r="B789" s="230"/>
      <c r="C789" s="230"/>
      <c r="D789" s="230"/>
      <c r="E789" s="231"/>
      <c r="F789" s="230"/>
      <c r="G789" s="230"/>
    </row>
    <row r="790" ht="15.75" customHeight="1">
      <c r="A790" s="230"/>
      <c r="B790" s="230"/>
      <c r="C790" s="230"/>
      <c r="D790" s="230"/>
      <c r="E790" s="231"/>
      <c r="F790" s="230"/>
      <c r="G790" s="230"/>
    </row>
    <row r="791" ht="15.75" customHeight="1">
      <c r="A791" s="230"/>
      <c r="B791" s="230"/>
      <c r="C791" s="230"/>
      <c r="D791" s="230"/>
      <c r="E791" s="231"/>
      <c r="F791" s="230"/>
      <c r="G791" s="230"/>
    </row>
    <row r="792" ht="15.75" customHeight="1">
      <c r="A792" s="230"/>
      <c r="B792" s="230"/>
      <c r="C792" s="230"/>
      <c r="D792" s="230"/>
      <c r="E792" s="231"/>
      <c r="F792" s="230"/>
      <c r="G792" s="230"/>
    </row>
    <row r="793" ht="15.75" customHeight="1">
      <c r="A793" s="230"/>
      <c r="B793" s="230"/>
      <c r="C793" s="230"/>
      <c r="D793" s="230"/>
      <c r="E793" s="231"/>
      <c r="F793" s="230"/>
      <c r="G793" s="230"/>
    </row>
    <row r="794" ht="15.75" customHeight="1">
      <c r="A794" s="230"/>
      <c r="B794" s="230"/>
      <c r="C794" s="230"/>
      <c r="D794" s="230"/>
      <c r="E794" s="231"/>
      <c r="F794" s="230"/>
      <c r="G794" s="230"/>
    </row>
    <row r="795" ht="15.75" customHeight="1">
      <c r="A795" s="230"/>
      <c r="B795" s="230"/>
      <c r="C795" s="230"/>
      <c r="D795" s="230"/>
      <c r="E795" s="231"/>
      <c r="F795" s="230"/>
      <c r="G795" s="230"/>
    </row>
    <row r="796" ht="15.75" customHeight="1">
      <c r="A796" s="230"/>
      <c r="B796" s="230"/>
      <c r="C796" s="230"/>
      <c r="D796" s="230"/>
      <c r="E796" s="231"/>
      <c r="F796" s="230"/>
      <c r="G796" s="230"/>
    </row>
    <row r="797" ht="15.75" customHeight="1">
      <c r="A797" s="230"/>
      <c r="B797" s="230"/>
      <c r="C797" s="230"/>
      <c r="D797" s="230"/>
      <c r="E797" s="231"/>
      <c r="F797" s="230"/>
      <c r="G797" s="230"/>
    </row>
    <row r="798" ht="15.75" customHeight="1">
      <c r="A798" s="230"/>
      <c r="B798" s="230"/>
      <c r="C798" s="230"/>
      <c r="D798" s="230"/>
      <c r="E798" s="231"/>
      <c r="F798" s="230"/>
      <c r="G798" s="230"/>
    </row>
    <row r="799" ht="15.75" customHeight="1">
      <c r="A799" s="230"/>
      <c r="B799" s="230"/>
      <c r="C799" s="230"/>
      <c r="D799" s="230"/>
      <c r="E799" s="231"/>
      <c r="F799" s="230"/>
      <c r="G799" s="230"/>
    </row>
    <row r="800" ht="15.75" customHeight="1">
      <c r="A800" s="230"/>
      <c r="B800" s="230"/>
      <c r="C800" s="230"/>
      <c r="D800" s="230"/>
      <c r="E800" s="231"/>
      <c r="F800" s="230"/>
      <c r="G800" s="230"/>
    </row>
    <row r="801" ht="15.75" customHeight="1">
      <c r="A801" s="230"/>
      <c r="B801" s="230"/>
      <c r="C801" s="230"/>
      <c r="D801" s="230"/>
      <c r="E801" s="231"/>
      <c r="F801" s="230"/>
      <c r="G801" s="230"/>
    </row>
    <row r="802" ht="15.75" customHeight="1">
      <c r="A802" s="230"/>
      <c r="B802" s="230"/>
      <c r="C802" s="230"/>
      <c r="D802" s="230"/>
      <c r="E802" s="231"/>
      <c r="F802" s="230"/>
      <c r="G802" s="230"/>
    </row>
    <row r="803" ht="15.75" customHeight="1">
      <c r="A803" s="230"/>
      <c r="B803" s="230"/>
      <c r="C803" s="230"/>
      <c r="D803" s="230"/>
      <c r="E803" s="231"/>
      <c r="F803" s="230"/>
      <c r="G803" s="230"/>
    </row>
    <row r="804" ht="15.75" customHeight="1">
      <c r="A804" s="230"/>
      <c r="B804" s="230"/>
      <c r="C804" s="230"/>
      <c r="D804" s="230"/>
      <c r="E804" s="231"/>
      <c r="F804" s="230"/>
      <c r="G804" s="230"/>
    </row>
    <row r="805" ht="15.75" customHeight="1">
      <c r="A805" s="230"/>
      <c r="B805" s="230"/>
      <c r="C805" s="230"/>
      <c r="D805" s="230"/>
      <c r="E805" s="231"/>
      <c r="F805" s="230"/>
      <c r="G805" s="230"/>
    </row>
    <row r="806" ht="15.75" customHeight="1">
      <c r="A806" s="230"/>
      <c r="B806" s="230"/>
      <c r="C806" s="230"/>
      <c r="D806" s="230"/>
      <c r="E806" s="231"/>
      <c r="F806" s="230"/>
      <c r="G806" s="230"/>
    </row>
    <row r="807" ht="15.75" customHeight="1">
      <c r="A807" s="230"/>
      <c r="B807" s="230"/>
      <c r="C807" s="230"/>
      <c r="D807" s="230"/>
      <c r="E807" s="231"/>
      <c r="F807" s="230"/>
      <c r="G807" s="230"/>
    </row>
    <row r="808" ht="15.75" customHeight="1">
      <c r="A808" s="230"/>
      <c r="B808" s="230"/>
      <c r="C808" s="230"/>
      <c r="D808" s="230"/>
      <c r="E808" s="231"/>
      <c r="F808" s="230"/>
      <c r="G808" s="230"/>
    </row>
    <row r="809" ht="15.75" customHeight="1">
      <c r="A809" s="230"/>
      <c r="B809" s="230"/>
      <c r="C809" s="230"/>
      <c r="D809" s="230"/>
      <c r="E809" s="231"/>
      <c r="F809" s="230"/>
      <c r="G809" s="230"/>
    </row>
    <row r="810" ht="15.75" customHeight="1">
      <c r="A810" s="230"/>
      <c r="B810" s="230"/>
      <c r="C810" s="230"/>
      <c r="D810" s="230"/>
      <c r="E810" s="231"/>
      <c r="F810" s="230"/>
      <c r="G810" s="230"/>
    </row>
    <row r="811" ht="15.75" customHeight="1">
      <c r="A811" s="230"/>
      <c r="B811" s="230"/>
      <c r="C811" s="230"/>
      <c r="D811" s="230"/>
      <c r="E811" s="231"/>
      <c r="F811" s="230"/>
      <c r="G811" s="230"/>
    </row>
    <row r="812" ht="15.75" customHeight="1">
      <c r="A812" s="230"/>
      <c r="B812" s="230"/>
      <c r="C812" s="230"/>
      <c r="D812" s="230"/>
      <c r="E812" s="231"/>
      <c r="F812" s="230"/>
      <c r="G812" s="230"/>
    </row>
    <row r="813" ht="15.75" customHeight="1">
      <c r="A813" s="230"/>
      <c r="B813" s="230"/>
      <c r="C813" s="230"/>
      <c r="D813" s="230"/>
      <c r="E813" s="231"/>
      <c r="F813" s="230"/>
      <c r="G813" s="230"/>
    </row>
    <row r="814" ht="15.75" customHeight="1">
      <c r="A814" s="230"/>
      <c r="B814" s="230"/>
      <c r="C814" s="230"/>
      <c r="D814" s="230"/>
      <c r="E814" s="231"/>
      <c r="F814" s="230"/>
      <c r="G814" s="230"/>
    </row>
    <row r="815" ht="15.75" customHeight="1">
      <c r="A815" s="230"/>
      <c r="B815" s="230"/>
      <c r="C815" s="230"/>
      <c r="D815" s="230"/>
      <c r="E815" s="231"/>
      <c r="F815" s="230"/>
      <c r="G815" s="230"/>
    </row>
    <row r="816" ht="15.75" customHeight="1">
      <c r="A816" s="230"/>
      <c r="B816" s="230"/>
      <c r="C816" s="230"/>
      <c r="D816" s="230"/>
      <c r="E816" s="231"/>
      <c r="F816" s="230"/>
      <c r="G816" s="230"/>
    </row>
    <row r="817" ht="15.75" customHeight="1">
      <c r="A817" s="230"/>
      <c r="B817" s="230"/>
      <c r="C817" s="230"/>
      <c r="D817" s="230"/>
      <c r="E817" s="231"/>
      <c r="F817" s="230"/>
      <c r="G817" s="230"/>
    </row>
    <row r="818" ht="15.75" customHeight="1">
      <c r="A818" s="230"/>
      <c r="B818" s="230"/>
      <c r="C818" s="230"/>
      <c r="D818" s="230"/>
      <c r="E818" s="231"/>
      <c r="F818" s="230"/>
      <c r="G818" s="230"/>
    </row>
    <row r="819" ht="15.75" customHeight="1">
      <c r="A819" s="230"/>
      <c r="B819" s="230"/>
      <c r="C819" s="230"/>
      <c r="D819" s="230"/>
      <c r="E819" s="231"/>
      <c r="F819" s="230"/>
      <c r="G819" s="230"/>
    </row>
    <row r="820" ht="15.75" customHeight="1">
      <c r="A820" s="230"/>
      <c r="B820" s="230"/>
      <c r="C820" s="230"/>
      <c r="D820" s="230"/>
      <c r="E820" s="231"/>
      <c r="F820" s="230"/>
      <c r="G820" s="230"/>
    </row>
    <row r="821" ht="15.75" customHeight="1">
      <c r="A821" s="230"/>
      <c r="B821" s="230"/>
      <c r="C821" s="230"/>
      <c r="D821" s="230"/>
      <c r="E821" s="231"/>
      <c r="F821" s="230"/>
      <c r="G821" s="230"/>
    </row>
    <row r="822" ht="15.75" customHeight="1">
      <c r="A822" s="230"/>
      <c r="B822" s="230"/>
      <c r="C822" s="230"/>
      <c r="D822" s="230"/>
      <c r="E822" s="231"/>
      <c r="F822" s="230"/>
      <c r="G822" s="230"/>
    </row>
    <row r="823" ht="15.75" customHeight="1">
      <c r="A823" s="230"/>
      <c r="B823" s="230"/>
      <c r="C823" s="230"/>
      <c r="D823" s="230"/>
      <c r="E823" s="231"/>
      <c r="F823" s="230"/>
      <c r="G823" s="230"/>
    </row>
    <row r="824" ht="15.75" customHeight="1">
      <c r="A824" s="230"/>
      <c r="B824" s="230"/>
      <c r="C824" s="230"/>
      <c r="D824" s="230"/>
      <c r="E824" s="231"/>
      <c r="F824" s="230"/>
      <c r="G824" s="230"/>
    </row>
    <row r="825" ht="15.75" customHeight="1">
      <c r="A825" s="230"/>
      <c r="B825" s="230"/>
      <c r="C825" s="230"/>
      <c r="D825" s="230"/>
      <c r="E825" s="231"/>
      <c r="F825" s="230"/>
      <c r="G825" s="230"/>
    </row>
    <row r="826" ht="15.75" customHeight="1">
      <c r="A826" s="230"/>
      <c r="B826" s="230"/>
      <c r="C826" s="230"/>
      <c r="D826" s="230"/>
      <c r="E826" s="231"/>
      <c r="F826" s="230"/>
      <c r="G826" s="230"/>
    </row>
    <row r="827" ht="15.75" customHeight="1">
      <c r="A827" s="230"/>
      <c r="B827" s="230"/>
      <c r="C827" s="230"/>
      <c r="D827" s="230"/>
      <c r="E827" s="231"/>
      <c r="F827" s="230"/>
      <c r="G827" s="230"/>
    </row>
    <row r="828" ht="15.75" customHeight="1">
      <c r="A828" s="230"/>
      <c r="B828" s="230"/>
      <c r="C828" s="230"/>
      <c r="D828" s="230"/>
      <c r="E828" s="231"/>
      <c r="F828" s="230"/>
      <c r="G828" s="230"/>
    </row>
    <row r="829" ht="15.75" customHeight="1">
      <c r="A829" s="230"/>
      <c r="B829" s="230"/>
      <c r="C829" s="230"/>
      <c r="D829" s="230"/>
      <c r="E829" s="231"/>
      <c r="F829" s="230"/>
      <c r="G829" s="230"/>
    </row>
    <row r="830" ht="15.75" customHeight="1">
      <c r="A830" s="230"/>
      <c r="B830" s="230"/>
      <c r="C830" s="230"/>
      <c r="D830" s="230"/>
      <c r="E830" s="231"/>
      <c r="F830" s="230"/>
      <c r="G830" s="230"/>
    </row>
    <row r="831" ht="15.75" customHeight="1">
      <c r="A831" s="230"/>
      <c r="B831" s="230"/>
      <c r="C831" s="230"/>
      <c r="D831" s="230"/>
      <c r="E831" s="231"/>
      <c r="F831" s="230"/>
      <c r="G831" s="230"/>
    </row>
    <row r="832" ht="15.75" customHeight="1">
      <c r="A832" s="230"/>
      <c r="B832" s="230"/>
      <c r="C832" s="230"/>
      <c r="D832" s="230"/>
      <c r="E832" s="231"/>
      <c r="F832" s="230"/>
      <c r="G832" s="230"/>
    </row>
    <row r="833" ht="15.75" customHeight="1">
      <c r="A833" s="230"/>
      <c r="B833" s="230"/>
      <c r="C833" s="230"/>
      <c r="D833" s="230"/>
      <c r="E833" s="231"/>
      <c r="F833" s="230"/>
      <c r="G833" s="230"/>
    </row>
    <row r="834" ht="15.75" customHeight="1">
      <c r="A834" s="230"/>
      <c r="B834" s="230"/>
      <c r="C834" s="230"/>
      <c r="D834" s="230"/>
      <c r="E834" s="231"/>
      <c r="F834" s="230"/>
      <c r="G834" s="230"/>
    </row>
    <row r="835" ht="15.75" customHeight="1">
      <c r="A835" s="230"/>
      <c r="B835" s="230"/>
      <c r="C835" s="230"/>
      <c r="D835" s="230"/>
      <c r="E835" s="231"/>
      <c r="F835" s="230"/>
      <c r="G835" s="230"/>
    </row>
    <row r="836" ht="15.75" customHeight="1">
      <c r="A836" s="230"/>
      <c r="B836" s="230"/>
      <c r="C836" s="230"/>
      <c r="D836" s="230"/>
      <c r="E836" s="231"/>
      <c r="F836" s="230"/>
      <c r="G836" s="230"/>
    </row>
    <row r="837" ht="15.75" customHeight="1">
      <c r="A837" s="230"/>
      <c r="B837" s="230"/>
      <c r="C837" s="230"/>
      <c r="D837" s="230"/>
      <c r="E837" s="231"/>
      <c r="F837" s="230"/>
      <c r="G837" s="230"/>
    </row>
    <row r="838" ht="15.75" customHeight="1">
      <c r="A838" s="230"/>
      <c r="B838" s="230"/>
      <c r="C838" s="230"/>
      <c r="D838" s="230"/>
      <c r="E838" s="231"/>
      <c r="F838" s="230"/>
      <c r="G838" s="230"/>
    </row>
    <row r="839" ht="15.75" customHeight="1">
      <c r="A839" s="230"/>
      <c r="B839" s="230"/>
      <c r="C839" s="230"/>
      <c r="D839" s="230"/>
      <c r="E839" s="231"/>
      <c r="F839" s="230"/>
      <c r="G839" s="230"/>
    </row>
    <row r="840" ht="15.75" customHeight="1">
      <c r="A840" s="230"/>
      <c r="B840" s="230"/>
      <c r="C840" s="230"/>
      <c r="D840" s="230"/>
      <c r="E840" s="231"/>
      <c r="F840" s="230"/>
      <c r="G840" s="230"/>
    </row>
    <row r="841" ht="15.75" customHeight="1">
      <c r="A841" s="230"/>
      <c r="B841" s="230"/>
      <c r="C841" s="230"/>
      <c r="D841" s="230"/>
      <c r="E841" s="231"/>
      <c r="F841" s="230"/>
      <c r="G841" s="230"/>
    </row>
    <row r="842" ht="15.75" customHeight="1">
      <c r="A842" s="230"/>
      <c r="B842" s="230"/>
      <c r="C842" s="230"/>
      <c r="D842" s="230"/>
      <c r="E842" s="231"/>
      <c r="F842" s="230"/>
      <c r="G842" s="230"/>
    </row>
    <row r="843" ht="15.75" customHeight="1">
      <c r="A843" s="230"/>
      <c r="B843" s="230"/>
      <c r="C843" s="230"/>
      <c r="D843" s="230"/>
      <c r="E843" s="231"/>
      <c r="F843" s="230"/>
      <c r="G843" s="230"/>
    </row>
    <row r="844" ht="15.75" customHeight="1">
      <c r="A844" s="230"/>
      <c r="B844" s="230"/>
      <c r="C844" s="230"/>
      <c r="D844" s="230"/>
      <c r="E844" s="231"/>
      <c r="F844" s="230"/>
      <c r="G844" s="230"/>
    </row>
    <row r="845" ht="15.75" customHeight="1">
      <c r="A845" s="230"/>
      <c r="B845" s="230"/>
      <c r="C845" s="230"/>
      <c r="D845" s="230"/>
      <c r="E845" s="231"/>
      <c r="F845" s="230"/>
      <c r="G845" s="230"/>
    </row>
    <row r="846" ht="15.75" customHeight="1">
      <c r="A846" s="230"/>
      <c r="B846" s="230"/>
      <c r="C846" s="230"/>
      <c r="D846" s="230"/>
      <c r="E846" s="231"/>
      <c r="F846" s="230"/>
      <c r="G846" s="230"/>
    </row>
    <row r="847" ht="15.75" customHeight="1">
      <c r="A847" s="230"/>
      <c r="B847" s="230"/>
      <c r="C847" s="230"/>
      <c r="D847" s="230"/>
      <c r="E847" s="231"/>
      <c r="F847" s="230"/>
      <c r="G847" s="230"/>
    </row>
    <row r="848" ht="15.75" customHeight="1">
      <c r="A848" s="230"/>
      <c r="B848" s="230"/>
      <c r="C848" s="230"/>
      <c r="D848" s="230"/>
      <c r="E848" s="231"/>
      <c r="F848" s="230"/>
      <c r="G848" s="230"/>
    </row>
    <row r="849" ht="15.75" customHeight="1">
      <c r="A849" s="230"/>
      <c r="B849" s="230"/>
      <c r="C849" s="230"/>
      <c r="D849" s="230"/>
      <c r="E849" s="231"/>
      <c r="F849" s="230"/>
      <c r="G849" s="230"/>
    </row>
    <row r="850" ht="15.75" customHeight="1">
      <c r="A850" s="230"/>
      <c r="B850" s="230"/>
      <c r="C850" s="230"/>
      <c r="D850" s="230"/>
      <c r="E850" s="231"/>
      <c r="F850" s="230"/>
      <c r="G850" s="230"/>
    </row>
    <row r="851" ht="15.75" customHeight="1">
      <c r="A851" s="230"/>
      <c r="B851" s="230"/>
      <c r="C851" s="230"/>
      <c r="D851" s="230"/>
      <c r="E851" s="231"/>
      <c r="F851" s="230"/>
      <c r="G851" s="230"/>
    </row>
    <row r="852" ht="15.75" customHeight="1">
      <c r="A852" s="230"/>
      <c r="B852" s="230"/>
      <c r="C852" s="230"/>
      <c r="D852" s="230"/>
      <c r="E852" s="231"/>
      <c r="F852" s="230"/>
      <c r="G852" s="230"/>
    </row>
    <row r="853" ht="15.75" customHeight="1">
      <c r="A853" s="230"/>
      <c r="B853" s="230"/>
      <c r="C853" s="230"/>
      <c r="D853" s="230"/>
      <c r="E853" s="231"/>
      <c r="F853" s="230"/>
      <c r="G853" s="230"/>
    </row>
    <row r="854" ht="15.75" customHeight="1">
      <c r="A854" s="230"/>
      <c r="B854" s="230"/>
      <c r="C854" s="230"/>
      <c r="D854" s="230"/>
      <c r="E854" s="231"/>
      <c r="F854" s="230"/>
      <c r="G854" s="230"/>
    </row>
    <row r="855" ht="15.75" customHeight="1">
      <c r="A855" s="230"/>
      <c r="B855" s="230"/>
      <c r="C855" s="230"/>
      <c r="D855" s="230"/>
      <c r="E855" s="231"/>
      <c r="F855" s="230"/>
      <c r="G855" s="230"/>
    </row>
    <row r="856" ht="15.75" customHeight="1">
      <c r="A856" s="230"/>
      <c r="B856" s="230"/>
      <c r="C856" s="230"/>
      <c r="D856" s="230"/>
      <c r="E856" s="231"/>
      <c r="F856" s="230"/>
      <c r="G856" s="230"/>
    </row>
    <row r="857" ht="15.75" customHeight="1">
      <c r="A857" s="230"/>
      <c r="B857" s="230"/>
      <c r="C857" s="230"/>
      <c r="D857" s="230"/>
      <c r="E857" s="231"/>
      <c r="F857" s="230"/>
      <c r="G857" s="230"/>
    </row>
    <row r="858" ht="15.75" customHeight="1">
      <c r="A858" s="230"/>
      <c r="B858" s="230"/>
      <c r="C858" s="230"/>
      <c r="D858" s="230"/>
      <c r="E858" s="231"/>
      <c r="F858" s="230"/>
      <c r="G858" s="230"/>
    </row>
    <row r="859" ht="15.75" customHeight="1">
      <c r="A859" s="230"/>
      <c r="B859" s="230"/>
      <c r="C859" s="230"/>
      <c r="D859" s="230"/>
      <c r="E859" s="231"/>
      <c r="F859" s="230"/>
      <c r="G859" s="230"/>
    </row>
    <row r="860" ht="15.75" customHeight="1">
      <c r="A860" s="230"/>
      <c r="B860" s="230"/>
      <c r="C860" s="230"/>
      <c r="D860" s="230"/>
      <c r="E860" s="231"/>
      <c r="F860" s="230"/>
      <c r="G860" s="230"/>
    </row>
    <row r="861" ht="15.75" customHeight="1">
      <c r="A861" s="230"/>
      <c r="B861" s="230"/>
      <c r="C861" s="230"/>
      <c r="D861" s="230"/>
      <c r="E861" s="231"/>
      <c r="F861" s="230"/>
      <c r="G861" s="230"/>
    </row>
    <row r="862" ht="15.75" customHeight="1">
      <c r="A862" s="230"/>
      <c r="B862" s="230"/>
      <c r="C862" s="230"/>
      <c r="D862" s="230"/>
      <c r="E862" s="231"/>
      <c r="F862" s="230"/>
      <c r="G862" s="230"/>
    </row>
    <row r="863" ht="15.75" customHeight="1">
      <c r="A863" s="230"/>
      <c r="B863" s="230"/>
      <c r="C863" s="230"/>
      <c r="D863" s="230"/>
      <c r="E863" s="231"/>
      <c r="F863" s="230"/>
      <c r="G863" s="230"/>
    </row>
    <row r="864" ht="15.75" customHeight="1">
      <c r="A864" s="230"/>
      <c r="B864" s="230"/>
      <c r="C864" s="230"/>
      <c r="D864" s="230"/>
      <c r="E864" s="231"/>
      <c r="F864" s="230"/>
      <c r="G864" s="230"/>
    </row>
    <row r="865" ht="15.75" customHeight="1">
      <c r="A865" s="230"/>
      <c r="B865" s="230"/>
      <c r="C865" s="230"/>
      <c r="D865" s="230"/>
      <c r="E865" s="231"/>
      <c r="F865" s="230"/>
      <c r="G865" s="230"/>
    </row>
    <row r="866" ht="15.75" customHeight="1">
      <c r="A866" s="230"/>
      <c r="B866" s="230"/>
      <c r="C866" s="230"/>
      <c r="D866" s="230"/>
      <c r="E866" s="231"/>
      <c r="F866" s="230"/>
      <c r="G866" s="230"/>
    </row>
    <row r="867" ht="15.75" customHeight="1">
      <c r="A867" s="230"/>
      <c r="B867" s="230"/>
      <c r="C867" s="230"/>
      <c r="D867" s="230"/>
      <c r="E867" s="231"/>
      <c r="F867" s="230"/>
      <c r="G867" s="230"/>
    </row>
    <row r="868" ht="15.75" customHeight="1">
      <c r="A868" s="230"/>
      <c r="B868" s="230"/>
      <c r="C868" s="230"/>
      <c r="D868" s="230"/>
      <c r="E868" s="231"/>
      <c r="F868" s="230"/>
      <c r="G868" s="230"/>
    </row>
    <row r="869" ht="15.75" customHeight="1">
      <c r="A869" s="230"/>
      <c r="B869" s="230"/>
      <c r="C869" s="230"/>
      <c r="D869" s="230"/>
      <c r="E869" s="231"/>
      <c r="F869" s="230"/>
      <c r="G869" s="230"/>
    </row>
    <row r="870" ht="15.75" customHeight="1">
      <c r="A870" s="230"/>
      <c r="B870" s="230"/>
      <c r="C870" s="230"/>
      <c r="D870" s="230"/>
      <c r="E870" s="231"/>
      <c r="F870" s="230"/>
      <c r="G870" s="230"/>
    </row>
    <row r="871" ht="15.75" customHeight="1">
      <c r="A871" s="230"/>
      <c r="B871" s="230"/>
      <c r="C871" s="230"/>
      <c r="D871" s="230"/>
      <c r="E871" s="231"/>
      <c r="F871" s="230"/>
      <c r="G871" s="230"/>
    </row>
    <row r="872" ht="15.75" customHeight="1">
      <c r="A872" s="230"/>
      <c r="B872" s="230"/>
      <c r="C872" s="230"/>
      <c r="D872" s="230"/>
      <c r="E872" s="231"/>
      <c r="F872" s="230"/>
      <c r="G872" s="230"/>
    </row>
    <row r="873" ht="15.75" customHeight="1">
      <c r="A873" s="230"/>
      <c r="B873" s="230"/>
      <c r="C873" s="230"/>
      <c r="D873" s="230"/>
      <c r="E873" s="231"/>
      <c r="F873" s="230"/>
      <c r="G873" s="230"/>
    </row>
    <row r="874" ht="15.75" customHeight="1">
      <c r="A874" s="230"/>
      <c r="B874" s="230"/>
      <c r="C874" s="230"/>
      <c r="D874" s="230"/>
      <c r="E874" s="231"/>
      <c r="F874" s="230"/>
      <c r="G874" s="230"/>
    </row>
    <row r="875" ht="15.75" customHeight="1">
      <c r="A875" s="230"/>
      <c r="B875" s="230"/>
      <c r="C875" s="230"/>
      <c r="D875" s="230"/>
      <c r="E875" s="231"/>
      <c r="F875" s="230"/>
      <c r="G875" s="230"/>
    </row>
    <row r="876" ht="15.75" customHeight="1">
      <c r="A876" s="230"/>
      <c r="B876" s="230"/>
      <c r="C876" s="230"/>
      <c r="D876" s="230"/>
      <c r="E876" s="231"/>
      <c r="F876" s="230"/>
      <c r="G876" s="230"/>
    </row>
    <row r="877" ht="15.75" customHeight="1">
      <c r="A877" s="230"/>
      <c r="B877" s="230"/>
      <c r="C877" s="230"/>
      <c r="D877" s="230"/>
      <c r="E877" s="231"/>
      <c r="F877" s="230"/>
      <c r="G877" s="230"/>
    </row>
    <row r="878" ht="15.75" customHeight="1">
      <c r="A878" s="230"/>
      <c r="B878" s="230"/>
      <c r="C878" s="230"/>
      <c r="D878" s="230"/>
      <c r="E878" s="231"/>
      <c r="F878" s="230"/>
      <c r="G878" s="230"/>
    </row>
    <row r="879" ht="15.75" customHeight="1">
      <c r="A879" s="230"/>
      <c r="B879" s="230"/>
      <c r="C879" s="230"/>
      <c r="D879" s="230"/>
      <c r="E879" s="231"/>
      <c r="F879" s="230"/>
      <c r="G879" s="230"/>
    </row>
    <row r="880" ht="15.75" customHeight="1">
      <c r="A880" s="230"/>
      <c r="B880" s="230"/>
      <c r="C880" s="230"/>
      <c r="D880" s="230"/>
      <c r="E880" s="231"/>
      <c r="F880" s="230"/>
      <c r="G880" s="230"/>
    </row>
    <row r="881" ht="15.75" customHeight="1">
      <c r="A881" s="230"/>
      <c r="B881" s="230"/>
      <c r="C881" s="230"/>
      <c r="D881" s="230"/>
      <c r="E881" s="231"/>
      <c r="F881" s="230"/>
      <c r="G881" s="230"/>
    </row>
    <row r="882" ht="15.75" customHeight="1">
      <c r="A882" s="230"/>
      <c r="B882" s="230"/>
      <c r="C882" s="230"/>
      <c r="D882" s="230"/>
      <c r="E882" s="231"/>
      <c r="F882" s="230"/>
      <c r="G882" s="230"/>
    </row>
    <row r="883" ht="15.75" customHeight="1">
      <c r="A883" s="230"/>
      <c r="B883" s="230"/>
      <c r="C883" s="230"/>
      <c r="D883" s="230"/>
      <c r="E883" s="231"/>
      <c r="F883" s="230"/>
      <c r="G883" s="230"/>
    </row>
    <row r="884" ht="15.75" customHeight="1">
      <c r="A884" s="230"/>
      <c r="B884" s="230"/>
      <c r="C884" s="230"/>
      <c r="D884" s="230"/>
      <c r="E884" s="231"/>
      <c r="F884" s="230"/>
      <c r="G884" s="230"/>
    </row>
    <row r="885" ht="15.75" customHeight="1">
      <c r="A885" s="230"/>
      <c r="B885" s="230"/>
      <c r="C885" s="230"/>
      <c r="D885" s="230"/>
      <c r="E885" s="231"/>
      <c r="F885" s="230"/>
      <c r="G885" s="230"/>
    </row>
    <row r="886" ht="15.75" customHeight="1">
      <c r="A886" s="230"/>
      <c r="B886" s="230"/>
      <c r="C886" s="230"/>
      <c r="D886" s="230"/>
      <c r="E886" s="231"/>
      <c r="F886" s="230"/>
      <c r="G886" s="230"/>
    </row>
    <row r="887" ht="15.75" customHeight="1">
      <c r="A887" s="230"/>
      <c r="B887" s="230"/>
      <c r="C887" s="230"/>
      <c r="D887" s="230"/>
      <c r="E887" s="231"/>
      <c r="F887" s="230"/>
      <c r="G887" s="230"/>
    </row>
    <row r="888" ht="15.75" customHeight="1">
      <c r="A888" s="230"/>
      <c r="B888" s="230"/>
      <c r="C888" s="230"/>
      <c r="D888" s="230"/>
      <c r="E888" s="231"/>
      <c r="F888" s="230"/>
      <c r="G888" s="230"/>
    </row>
    <row r="889" ht="15.75" customHeight="1">
      <c r="A889" s="230"/>
      <c r="B889" s="230"/>
      <c r="C889" s="230"/>
      <c r="D889" s="230"/>
      <c r="E889" s="231"/>
      <c r="F889" s="230"/>
      <c r="G889" s="230"/>
    </row>
    <row r="890" ht="15.75" customHeight="1">
      <c r="A890" s="230"/>
      <c r="B890" s="230"/>
      <c r="C890" s="230"/>
      <c r="D890" s="230"/>
      <c r="E890" s="231"/>
      <c r="F890" s="230"/>
      <c r="G890" s="230"/>
    </row>
    <row r="891" ht="15.75" customHeight="1">
      <c r="A891" s="230"/>
      <c r="B891" s="230"/>
      <c r="C891" s="230"/>
      <c r="D891" s="230"/>
      <c r="E891" s="231"/>
      <c r="F891" s="230"/>
      <c r="G891" s="230"/>
    </row>
    <row r="892" ht="15.75" customHeight="1">
      <c r="A892" s="230"/>
      <c r="B892" s="230"/>
      <c r="C892" s="230"/>
      <c r="D892" s="230"/>
      <c r="E892" s="231"/>
      <c r="F892" s="230"/>
      <c r="G892" s="230"/>
    </row>
    <row r="893" ht="15.75" customHeight="1">
      <c r="A893" s="230"/>
      <c r="B893" s="230"/>
      <c r="C893" s="230"/>
      <c r="D893" s="230"/>
      <c r="E893" s="231"/>
      <c r="F893" s="230"/>
      <c r="G893" s="230"/>
    </row>
    <row r="894" ht="15.75" customHeight="1">
      <c r="A894" s="230"/>
      <c r="B894" s="230"/>
      <c r="C894" s="230"/>
      <c r="D894" s="230"/>
      <c r="E894" s="231"/>
      <c r="F894" s="230"/>
      <c r="G894" s="230"/>
    </row>
    <row r="895" ht="15.75" customHeight="1">
      <c r="A895" s="230"/>
      <c r="B895" s="230"/>
      <c r="C895" s="230"/>
      <c r="D895" s="230"/>
      <c r="E895" s="231"/>
      <c r="F895" s="230"/>
      <c r="G895" s="230"/>
    </row>
    <row r="896" ht="15.75" customHeight="1">
      <c r="A896" s="230"/>
      <c r="B896" s="230"/>
      <c r="C896" s="230"/>
      <c r="D896" s="230"/>
      <c r="E896" s="231"/>
      <c r="F896" s="230"/>
      <c r="G896" s="230"/>
    </row>
    <row r="897" ht="15.75" customHeight="1">
      <c r="A897" s="230"/>
      <c r="B897" s="230"/>
      <c r="C897" s="230"/>
      <c r="D897" s="230"/>
      <c r="E897" s="231"/>
      <c r="F897" s="230"/>
      <c r="G897" s="230"/>
    </row>
    <row r="898" ht="15.75" customHeight="1">
      <c r="A898" s="230"/>
      <c r="B898" s="230"/>
      <c r="C898" s="230"/>
      <c r="D898" s="230"/>
      <c r="E898" s="231"/>
      <c r="F898" s="230"/>
      <c r="G898" s="230"/>
    </row>
    <row r="899" ht="15.75" customHeight="1">
      <c r="A899" s="230"/>
      <c r="B899" s="230"/>
      <c r="C899" s="230"/>
      <c r="D899" s="230"/>
      <c r="E899" s="231"/>
      <c r="F899" s="230"/>
      <c r="G899" s="230"/>
    </row>
    <row r="900" ht="15.75" customHeight="1">
      <c r="A900" s="230"/>
      <c r="B900" s="230"/>
      <c r="C900" s="230"/>
      <c r="D900" s="230"/>
      <c r="E900" s="231"/>
      <c r="F900" s="230"/>
      <c r="G900" s="230"/>
    </row>
    <row r="901" ht="15.75" customHeight="1">
      <c r="A901" s="230"/>
      <c r="B901" s="230"/>
      <c r="C901" s="230"/>
      <c r="D901" s="230"/>
      <c r="E901" s="231"/>
      <c r="F901" s="230"/>
      <c r="G901" s="230"/>
    </row>
    <row r="902" ht="15.75" customHeight="1">
      <c r="A902" s="230"/>
      <c r="B902" s="230"/>
      <c r="C902" s="230"/>
      <c r="D902" s="230"/>
      <c r="E902" s="231"/>
      <c r="F902" s="230"/>
      <c r="G902" s="230"/>
    </row>
    <row r="903" ht="15.75" customHeight="1">
      <c r="A903" s="230"/>
      <c r="B903" s="230"/>
      <c r="C903" s="230"/>
      <c r="D903" s="230"/>
      <c r="E903" s="231"/>
      <c r="F903" s="230"/>
      <c r="G903" s="230"/>
    </row>
    <row r="904" ht="15.75" customHeight="1">
      <c r="A904" s="230"/>
      <c r="B904" s="230"/>
      <c r="C904" s="230"/>
      <c r="D904" s="230"/>
      <c r="E904" s="231"/>
      <c r="F904" s="230"/>
      <c r="G904" s="230"/>
    </row>
    <row r="905" ht="15.75" customHeight="1">
      <c r="A905" s="230"/>
      <c r="B905" s="230"/>
      <c r="C905" s="230"/>
      <c r="D905" s="230"/>
      <c r="E905" s="231"/>
      <c r="F905" s="230"/>
      <c r="G905" s="230"/>
    </row>
    <row r="906" ht="15.75" customHeight="1">
      <c r="A906" s="230"/>
      <c r="B906" s="230"/>
      <c r="C906" s="230"/>
      <c r="D906" s="230"/>
      <c r="E906" s="231"/>
      <c r="F906" s="230"/>
      <c r="G906" s="230"/>
    </row>
    <row r="907" ht="15.75" customHeight="1">
      <c r="A907" s="230"/>
      <c r="B907" s="230"/>
      <c r="C907" s="230"/>
      <c r="D907" s="230"/>
      <c r="E907" s="231"/>
      <c r="F907" s="230"/>
      <c r="G907" s="230"/>
    </row>
    <row r="908" ht="15.75" customHeight="1">
      <c r="A908" s="230"/>
      <c r="B908" s="230"/>
      <c r="C908" s="230"/>
      <c r="D908" s="230"/>
      <c r="E908" s="231"/>
      <c r="F908" s="230"/>
      <c r="G908" s="230"/>
    </row>
    <row r="909" ht="15.75" customHeight="1">
      <c r="A909" s="230"/>
      <c r="B909" s="230"/>
      <c r="C909" s="230"/>
      <c r="D909" s="230"/>
      <c r="E909" s="231"/>
      <c r="F909" s="230"/>
      <c r="G909" s="230"/>
    </row>
    <row r="910" ht="15.75" customHeight="1">
      <c r="A910" s="230"/>
      <c r="B910" s="230"/>
      <c r="C910" s="230"/>
      <c r="D910" s="230"/>
      <c r="E910" s="231"/>
      <c r="F910" s="230"/>
      <c r="G910" s="230"/>
    </row>
    <row r="911" ht="15.75" customHeight="1">
      <c r="A911" s="230"/>
      <c r="B911" s="230"/>
      <c r="C911" s="230"/>
      <c r="D911" s="230"/>
      <c r="E911" s="231"/>
      <c r="F911" s="230"/>
      <c r="G911" s="230"/>
    </row>
    <row r="912" ht="15.75" customHeight="1">
      <c r="A912" s="230"/>
      <c r="B912" s="230"/>
      <c r="C912" s="230"/>
      <c r="D912" s="230"/>
      <c r="E912" s="231"/>
      <c r="F912" s="230"/>
      <c r="G912" s="230"/>
    </row>
    <row r="913" ht="15.75" customHeight="1">
      <c r="A913" s="230"/>
      <c r="B913" s="230"/>
      <c r="C913" s="230"/>
      <c r="D913" s="230"/>
      <c r="E913" s="231"/>
      <c r="F913" s="230"/>
      <c r="G913" s="230"/>
    </row>
    <row r="914" ht="15.75" customHeight="1">
      <c r="A914" s="230"/>
      <c r="B914" s="230"/>
      <c r="C914" s="230"/>
      <c r="D914" s="230"/>
      <c r="E914" s="231"/>
      <c r="F914" s="230"/>
      <c r="G914" s="230"/>
    </row>
    <row r="915" ht="15.75" customHeight="1">
      <c r="A915" s="230"/>
      <c r="B915" s="230"/>
      <c r="C915" s="230"/>
      <c r="D915" s="230"/>
      <c r="E915" s="231"/>
      <c r="F915" s="230"/>
      <c r="G915" s="230"/>
    </row>
    <row r="916" ht="15.75" customHeight="1">
      <c r="A916" s="230"/>
      <c r="B916" s="230"/>
      <c r="C916" s="230"/>
      <c r="D916" s="230"/>
      <c r="E916" s="231"/>
      <c r="F916" s="230"/>
      <c r="G916" s="230"/>
    </row>
    <row r="917" ht="15.75" customHeight="1">
      <c r="A917" s="230"/>
      <c r="B917" s="230"/>
      <c r="C917" s="230"/>
      <c r="D917" s="230"/>
      <c r="E917" s="231"/>
      <c r="F917" s="230"/>
      <c r="G917" s="230"/>
    </row>
    <row r="918" ht="15.75" customHeight="1">
      <c r="A918" s="230"/>
      <c r="B918" s="230"/>
      <c r="C918" s="230"/>
      <c r="D918" s="230"/>
      <c r="E918" s="231"/>
      <c r="F918" s="230"/>
      <c r="G918" s="230"/>
    </row>
    <row r="919" ht="15.75" customHeight="1">
      <c r="A919" s="230"/>
      <c r="B919" s="230"/>
      <c r="C919" s="230"/>
      <c r="D919" s="230"/>
      <c r="E919" s="231"/>
      <c r="F919" s="230"/>
      <c r="G919" s="230"/>
    </row>
    <row r="920" ht="15.75" customHeight="1">
      <c r="A920" s="230"/>
      <c r="B920" s="230"/>
      <c r="C920" s="230"/>
      <c r="D920" s="230"/>
      <c r="E920" s="231"/>
      <c r="F920" s="230"/>
      <c r="G920" s="230"/>
    </row>
    <row r="921" ht="15.75" customHeight="1">
      <c r="A921" s="230"/>
      <c r="B921" s="230"/>
      <c r="C921" s="230"/>
      <c r="D921" s="230"/>
      <c r="E921" s="231"/>
      <c r="F921" s="230"/>
      <c r="G921" s="230"/>
    </row>
    <row r="922" ht="15.75" customHeight="1">
      <c r="A922" s="230"/>
      <c r="B922" s="230"/>
      <c r="C922" s="230"/>
      <c r="D922" s="230"/>
      <c r="E922" s="231"/>
      <c r="F922" s="230"/>
      <c r="G922" s="230"/>
    </row>
    <row r="923" ht="15.75" customHeight="1">
      <c r="A923" s="230"/>
      <c r="B923" s="230"/>
      <c r="C923" s="230"/>
      <c r="D923" s="230"/>
      <c r="E923" s="231"/>
      <c r="F923" s="230"/>
      <c r="G923" s="230"/>
    </row>
    <row r="924" ht="15.75" customHeight="1">
      <c r="A924" s="230"/>
      <c r="B924" s="230"/>
      <c r="C924" s="230"/>
      <c r="D924" s="230"/>
      <c r="E924" s="231"/>
      <c r="F924" s="230"/>
      <c r="G924" s="230"/>
    </row>
    <row r="925" ht="15.75" customHeight="1">
      <c r="A925" s="230"/>
      <c r="B925" s="230"/>
      <c r="C925" s="230"/>
      <c r="D925" s="230"/>
      <c r="E925" s="231"/>
      <c r="F925" s="230"/>
      <c r="G925" s="230"/>
    </row>
    <row r="926" ht="15.75" customHeight="1">
      <c r="A926" s="230"/>
      <c r="B926" s="230"/>
      <c r="C926" s="230"/>
      <c r="D926" s="230"/>
      <c r="E926" s="231"/>
      <c r="F926" s="230"/>
      <c r="G926" s="230"/>
    </row>
    <row r="927" ht="15.75" customHeight="1">
      <c r="A927" s="230"/>
      <c r="B927" s="230"/>
      <c r="C927" s="230"/>
      <c r="D927" s="230"/>
      <c r="E927" s="231"/>
      <c r="F927" s="230"/>
      <c r="G927" s="230"/>
    </row>
    <row r="928" ht="15.75" customHeight="1">
      <c r="A928" s="230"/>
      <c r="B928" s="230"/>
      <c r="C928" s="230"/>
      <c r="D928" s="230"/>
      <c r="E928" s="231"/>
      <c r="F928" s="230"/>
      <c r="G928" s="230"/>
    </row>
    <row r="929" ht="15.75" customHeight="1">
      <c r="A929" s="230"/>
      <c r="B929" s="230"/>
      <c r="C929" s="230"/>
      <c r="D929" s="230"/>
      <c r="E929" s="231"/>
      <c r="F929" s="230"/>
      <c r="G929" s="230"/>
    </row>
    <row r="930" ht="15.75" customHeight="1">
      <c r="A930" s="230"/>
      <c r="B930" s="230"/>
      <c r="C930" s="230"/>
      <c r="D930" s="230"/>
      <c r="E930" s="231"/>
      <c r="F930" s="230"/>
      <c r="G930" s="230"/>
    </row>
    <row r="931" ht="15.75" customHeight="1">
      <c r="A931" s="230"/>
      <c r="B931" s="230"/>
      <c r="C931" s="230"/>
      <c r="D931" s="230"/>
      <c r="E931" s="231"/>
      <c r="F931" s="230"/>
      <c r="G931" s="230"/>
    </row>
    <row r="932" ht="15.75" customHeight="1">
      <c r="A932" s="230"/>
      <c r="B932" s="230"/>
      <c r="C932" s="230"/>
      <c r="D932" s="230"/>
      <c r="E932" s="231"/>
      <c r="F932" s="230"/>
      <c r="G932" s="230"/>
    </row>
    <row r="933" ht="15.75" customHeight="1">
      <c r="A933" s="230"/>
      <c r="B933" s="230"/>
      <c r="C933" s="230"/>
      <c r="D933" s="230"/>
      <c r="E933" s="231"/>
      <c r="F933" s="230"/>
      <c r="G933" s="230"/>
    </row>
    <row r="934" ht="15.75" customHeight="1">
      <c r="A934" s="230"/>
      <c r="B934" s="230"/>
      <c r="C934" s="230"/>
      <c r="D934" s="230"/>
      <c r="E934" s="231"/>
      <c r="F934" s="230"/>
      <c r="G934" s="230"/>
    </row>
    <row r="935" ht="15.75" customHeight="1">
      <c r="A935" s="230"/>
      <c r="B935" s="230"/>
      <c r="C935" s="230"/>
      <c r="D935" s="230"/>
      <c r="E935" s="231"/>
      <c r="F935" s="230"/>
      <c r="G935" s="230"/>
    </row>
    <row r="936" ht="15.75" customHeight="1">
      <c r="A936" s="230"/>
      <c r="B936" s="230"/>
      <c r="C936" s="230"/>
      <c r="D936" s="230"/>
      <c r="E936" s="231"/>
      <c r="F936" s="230"/>
      <c r="G936" s="230"/>
    </row>
    <row r="937" ht="15.75" customHeight="1">
      <c r="A937" s="230"/>
      <c r="B937" s="230"/>
      <c r="C937" s="230"/>
      <c r="D937" s="230"/>
      <c r="E937" s="231"/>
      <c r="F937" s="230"/>
      <c r="G937" s="230"/>
    </row>
    <row r="938" ht="15.75" customHeight="1">
      <c r="A938" s="230"/>
      <c r="B938" s="230"/>
      <c r="C938" s="230"/>
      <c r="D938" s="230"/>
      <c r="E938" s="231"/>
      <c r="F938" s="230"/>
      <c r="G938" s="230"/>
    </row>
    <row r="939" ht="15.75" customHeight="1">
      <c r="A939" s="230"/>
      <c r="B939" s="230"/>
      <c r="C939" s="230"/>
      <c r="D939" s="230"/>
      <c r="E939" s="231"/>
      <c r="F939" s="230"/>
      <c r="G939" s="230"/>
    </row>
    <row r="940" ht="15.75" customHeight="1">
      <c r="A940" s="230"/>
      <c r="B940" s="230"/>
      <c r="C940" s="230"/>
      <c r="D940" s="230"/>
      <c r="E940" s="231"/>
      <c r="F940" s="230"/>
      <c r="G940" s="230"/>
    </row>
    <row r="941" ht="15.75" customHeight="1">
      <c r="A941" s="230"/>
      <c r="B941" s="230"/>
      <c r="C941" s="230"/>
      <c r="D941" s="230"/>
      <c r="E941" s="231"/>
      <c r="F941" s="230"/>
      <c r="G941" s="230"/>
    </row>
    <row r="942" ht="15.75" customHeight="1">
      <c r="A942" s="230"/>
      <c r="B942" s="230"/>
      <c r="C942" s="230"/>
      <c r="D942" s="230"/>
      <c r="E942" s="231"/>
      <c r="F942" s="230"/>
      <c r="G942" s="230"/>
    </row>
    <row r="943" ht="15.75" customHeight="1">
      <c r="A943" s="230"/>
      <c r="B943" s="230"/>
      <c r="C943" s="230"/>
      <c r="D943" s="230"/>
      <c r="E943" s="231"/>
      <c r="F943" s="230"/>
      <c r="G943" s="230"/>
    </row>
    <row r="944" ht="15.75" customHeight="1">
      <c r="A944" s="230"/>
      <c r="B944" s="230"/>
      <c r="C944" s="230"/>
      <c r="D944" s="230"/>
      <c r="E944" s="231"/>
      <c r="F944" s="230"/>
      <c r="G944" s="230"/>
    </row>
    <row r="945" ht="15.75" customHeight="1">
      <c r="A945" s="230"/>
      <c r="B945" s="230"/>
      <c r="C945" s="230"/>
      <c r="D945" s="230"/>
      <c r="E945" s="231"/>
      <c r="F945" s="230"/>
      <c r="G945" s="230"/>
    </row>
    <row r="946" ht="15.75" customHeight="1">
      <c r="A946" s="230"/>
      <c r="B946" s="230"/>
      <c r="C946" s="230"/>
      <c r="D946" s="230"/>
      <c r="E946" s="231"/>
      <c r="F946" s="230"/>
      <c r="G946" s="230"/>
    </row>
    <row r="947" ht="15.75" customHeight="1">
      <c r="A947" s="230"/>
      <c r="B947" s="230"/>
      <c r="C947" s="230"/>
      <c r="D947" s="230"/>
      <c r="E947" s="231"/>
      <c r="F947" s="230"/>
      <c r="G947" s="230"/>
    </row>
    <row r="948" ht="15.75" customHeight="1">
      <c r="A948" s="230"/>
      <c r="B948" s="230"/>
      <c r="C948" s="230"/>
      <c r="D948" s="230"/>
      <c r="E948" s="231"/>
      <c r="F948" s="230"/>
      <c r="G948" s="230"/>
    </row>
    <row r="949" ht="15.75" customHeight="1">
      <c r="A949" s="230"/>
      <c r="B949" s="230"/>
      <c r="C949" s="230"/>
      <c r="D949" s="230"/>
      <c r="E949" s="231"/>
      <c r="F949" s="230"/>
      <c r="G949" s="230"/>
    </row>
    <row r="950" ht="15.75" customHeight="1">
      <c r="A950" s="230"/>
      <c r="B950" s="230"/>
      <c r="C950" s="230"/>
      <c r="D950" s="230"/>
      <c r="E950" s="231"/>
      <c r="F950" s="230"/>
      <c r="G950" s="230"/>
    </row>
    <row r="951" ht="15.75" customHeight="1">
      <c r="A951" s="230"/>
      <c r="B951" s="230"/>
      <c r="C951" s="230"/>
      <c r="D951" s="230"/>
      <c r="E951" s="231"/>
      <c r="F951" s="230"/>
      <c r="G951" s="230"/>
    </row>
    <row r="952" ht="15.75" customHeight="1">
      <c r="A952" s="230"/>
      <c r="B952" s="230"/>
      <c r="C952" s="230"/>
      <c r="D952" s="230"/>
      <c r="E952" s="231"/>
      <c r="F952" s="230"/>
      <c r="G952" s="230"/>
    </row>
    <row r="953" ht="15.75" customHeight="1">
      <c r="A953" s="230"/>
      <c r="B953" s="230"/>
      <c r="C953" s="230"/>
      <c r="D953" s="230"/>
      <c r="E953" s="231"/>
      <c r="F953" s="230"/>
      <c r="G953" s="230"/>
    </row>
    <row r="954" ht="15.75" customHeight="1">
      <c r="A954" s="230"/>
      <c r="B954" s="230"/>
      <c r="C954" s="230"/>
      <c r="D954" s="230"/>
      <c r="E954" s="231"/>
      <c r="F954" s="230"/>
      <c r="G954" s="230"/>
    </row>
    <row r="955" ht="15.75" customHeight="1">
      <c r="A955" s="230"/>
      <c r="B955" s="230"/>
      <c r="C955" s="230"/>
      <c r="D955" s="230"/>
      <c r="E955" s="231"/>
      <c r="F955" s="230"/>
      <c r="G955" s="230"/>
    </row>
    <row r="956" ht="15.75" customHeight="1">
      <c r="A956" s="230"/>
      <c r="B956" s="230"/>
      <c r="C956" s="230"/>
      <c r="D956" s="230"/>
      <c r="E956" s="231"/>
      <c r="F956" s="230"/>
      <c r="G956" s="230"/>
    </row>
    <row r="957" ht="15.75" customHeight="1">
      <c r="A957" s="230"/>
      <c r="B957" s="230"/>
      <c r="C957" s="230"/>
      <c r="D957" s="230"/>
      <c r="E957" s="231"/>
      <c r="F957" s="230"/>
      <c r="G957" s="230"/>
    </row>
    <row r="958" ht="15.75" customHeight="1">
      <c r="A958" s="230"/>
      <c r="B958" s="230"/>
      <c r="C958" s="230"/>
      <c r="D958" s="230"/>
      <c r="E958" s="231"/>
      <c r="F958" s="230"/>
      <c r="G958" s="230"/>
    </row>
    <row r="959" ht="15.75" customHeight="1">
      <c r="A959" s="230"/>
      <c r="B959" s="230"/>
      <c r="C959" s="230"/>
      <c r="D959" s="230"/>
      <c r="E959" s="231"/>
      <c r="F959" s="230"/>
      <c r="G959" s="230"/>
    </row>
    <row r="960" ht="15.75" customHeight="1">
      <c r="A960" s="230"/>
      <c r="B960" s="230"/>
      <c r="C960" s="230"/>
      <c r="D960" s="230"/>
      <c r="E960" s="231"/>
      <c r="F960" s="230"/>
      <c r="G960" s="230"/>
    </row>
    <row r="961" ht="15.75" customHeight="1">
      <c r="A961" s="230"/>
      <c r="B961" s="230"/>
      <c r="C961" s="230"/>
      <c r="D961" s="230"/>
      <c r="E961" s="231"/>
      <c r="F961" s="230"/>
      <c r="G961" s="230"/>
    </row>
    <row r="962" ht="15.75" customHeight="1">
      <c r="A962" s="230"/>
      <c r="B962" s="230"/>
      <c r="C962" s="230"/>
      <c r="D962" s="230"/>
      <c r="E962" s="231"/>
      <c r="F962" s="230"/>
      <c r="G962" s="230"/>
    </row>
    <row r="963" ht="15.75" customHeight="1">
      <c r="A963" s="230"/>
      <c r="B963" s="230"/>
      <c r="C963" s="230"/>
      <c r="D963" s="230"/>
      <c r="E963" s="231"/>
      <c r="F963" s="230"/>
      <c r="G963" s="230"/>
    </row>
    <row r="964" ht="15.75" customHeight="1">
      <c r="A964" s="230"/>
      <c r="B964" s="230"/>
      <c r="C964" s="230"/>
      <c r="D964" s="230"/>
      <c r="E964" s="231"/>
      <c r="F964" s="230"/>
      <c r="G964" s="230"/>
    </row>
    <row r="965" ht="15.75" customHeight="1">
      <c r="A965" s="230"/>
      <c r="B965" s="230"/>
      <c r="C965" s="230"/>
      <c r="D965" s="230"/>
      <c r="E965" s="231"/>
      <c r="F965" s="230"/>
      <c r="G965" s="230"/>
    </row>
    <row r="966" ht="15.75" customHeight="1">
      <c r="A966" s="230"/>
      <c r="B966" s="230"/>
      <c r="C966" s="230"/>
      <c r="D966" s="230"/>
      <c r="E966" s="231"/>
      <c r="F966" s="230"/>
      <c r="G966" s="230"/>
    </row>
    <row r="967" ht="15.75" customHeight="1">
      <c r="A967" s="230"/>
      <c r="B967" s="230"/>
      <c r="C967" s="230"/>
      <c r="D967" s="230"/>
      <c r="E967" s="231"/>
      <c r="F967" s="230"/>
      <c r="G967" s="230"/>
    </row>
    <row r="968" ht="15.75" customHeight="1">
      <c r="A968" s="230"/>
      <c r="B968" s="230"/>
      <c r="C968" s="230"/>
      <c r="D968" s="230"/>
      <c r="E968" s="231"/>
      <c r="F968" s="230"/>
      <c r="G968" s="230"/>
    </row>
    <row r="969" ht="15.75" customHeight="1">
      <c r="A969" s="230"/>
      <c r="B969" s="230"/>
      <c r="C969" s="230"/>
      <c r="D969" s="230"/>
      <c r="E969" s="231"/>
      <c r="F969" s="230"/>
      <c r="G969" s="230"/>
    </row>
    <row r="970" ht="15.75" customHeight="1">
      <c r="A970" s="230"/>
      <c r="B970" s="230"/>
      <c r="C970" s="230"/>
      <c r="D970" s="230"/>
      <c r="E970" s="231"/>
      <c r="F970" s="230"/>
      <c r="G970" s="230"/>
    </row>
    <row r="971" ht="15.75" customHeight="1">
      <c r="A971" s="230"/>
      <c r="B971" s="230"/>
      <c r="C971" s="230"/>
      <c r="D971" s="230"/>
      <c r="E971" s="231"/>
      <c r="F971" s="230"/>
      <c r="G971" s="230"/>
    </row>
    <row r="972" ht="15.75" customHeight="1">
      <c r="A972" s="230"/>
      <c r="B972" s="230"/>
      <c r="C972" s="230"/>
      <c r="D972" s="230"/>
      <c r="E972" s="231"/>
      <c r="F972" s="230"/>
      <c r="G972" s="230"/>
    </row>
    <row r="973" ht="15.75" customHeight="1">
      <c r="A973" s="230"/>
      <c r="B973" s="230"/>
      <c r="C973" s="230"/>
      <c r="D973" s="230"/>
      <c r="E973" s="231"/>
      <c r="F973" s="230"/>
      <c r="G973" s="230"/>
    </row>
    <row r="974" ht="15.75" customHeight="1">
      <c r="A974" s="230"/>
      <c r="B974" s="230"/>
      <c r="C974" s="230"/>
      <c r="D974" s="230"/>
      <c r="E974" s="231"/>
      <c r="F974" s="230"/>
      <c r="G974" s="230"/>
    </row>
    <row r="975" ht="15.75" customHeight="1">
      <c r="A975" s="230"/>
      <c r="B975" s="230"/>
      <c r="C975" s="230"/>
      <c r="D975" s="230"/>
      <c r="E975" s="231"/>
      <c r="F975" s="230"/>
      <c r="G975" s="230"/>
    </row>
    <row r="976" ht="15.75" customHeight="1">
      <c r="A976" s="230"/>
      <c r="B976" s="230"/>
      <c r="C976" s="230"/>
      <c r="D976" s="230"/>
      <c r="E976" s="231"/>
      <c r="F976" s="230"/>
      <c r="G976" s="230"/>
    </row>
    <row r="977" ht="15.75" customHeight="1">
      <c r="A977" s="230"/>
      <c r="B977" s="230"/>
      <c r="C977" s="230"/>
      <c r="D977" s="230"/>
      <c r="E977" s="231"/>
      <c r="F977" s="230"/>
      <c r="G977" s="230"/>
    </row>
    <row r="978" ht="15.75" customHeight="1">
      <c r="A978" s="230"/>
      <c r="B978" s="230"/>
      <c r="C978" s="230"/>
      <c r="D978" s="230"/>
      <c r="E978" s="231"/>
      <c r="F978" s="230"/>
      <c r="G978" s="230"/>
    </row>
    <row r="979" ht="15.75" customHeight="1">
      <c r="A979" s="230"/>
      <c r="B979" s="230"/>
      <c r="C979" s="230"/>
      <c r="D979" s="230"/>
      <c r="E979" s="231"/>
      <c r="F979" s="230"/>
      <c r="G979" s="230"/>
    </row>
    <row r="980" ht="15.75" customHeight="1">
      <c r="A980" s="230"/>
      <c r="B980" s="230"/>
      <c r="C980" s="230"/>
      <c r="D980" s="230"/>
      <c r="E980" s="231"/>
      <c r="F980" s="230"/>
      <c r="G980" s="230"/>
    </row>
    <row r="981" ht="15.75" customHeight="1">
      <c r="A981" s="230"/>
      <c r="B981" s="230"/>
      <c r="C981" s="230"/>
      <c r="D981" s="230"/>
      <c r="E981" s="231"/>
      <c r="F981" s="230"/>
      <c r="G981" s="230"/>
    </row>
    <row r="982" ht="15.75" customHeight="1">
      <c r="A982" s="230"/>
      <c r="B982" s="230"/>
      <c r="C982" s="230"/>
      <c r="D982" s="230"/>
      <c r="E982" s="231"/>
      <c r="F982" s="230"/>
      <c r="G982" s="230"/>
    </row>
    <row r="983" ht="15.75" customHeight="1">
      <c r="A983" s="230"/>
      <c r="B983" s="230"/>
      <c r="C983" s="230"/>
      <c r="D983" s="230"/>
      <c r="E983" s="231"/>
      <c r="F983" s="230"/>
      <c r="G983" s="230"/>
    </row>
    <row r="984" ht="15.75" customHeight="1">
      <c r="A984" s="230"/>
      <c r="B984" s="230"/>
      <c r="C984" s="230"/>
      <c r="D984" s="230"/>
      <c r="E984" s="231"/>
      <c r="F984" s="230"/>
      <c r="G984" s="230"/>
    </row>
    <row r="985" ht="15.75" customHeight="1">
      <c r="A985" s="230"/>
      <c r="B985" s="230"/>
      <c r="C985" s="230"/>
      <c r="D985" s="230"/>
      <c r="E985" s="231"/>
      <c r="F985" s="230"/>
      <c r="G985" s="230"/>
    </row>
    <row r="986" ht="15.75" customHeight="1">
      <c r="A986" s="230"/>
      <c r="B986" s="230"/>
      <c r="C986" s="230"/>
      <c r="D986" s="230"/>
      <c r="E986" s="231"/>
      <c r="F986" s="230"/>
      <c r="G986" s="230"/>
    </row>
    <row r="987" ht="15.75" customHeight="1">
      <c r="A987" s="230"/>
      <c r="B987" s="230"/>
      <c r="C987" s="230"/>
      <c r="D987" s="230"/>
      <c r="E987" s="231"/>
      <c r="F987" s="230"/>
      <c r="G987" s="230"/>
    </row>
  </sheetData>
  <conditionalFormatting sqref="I1:I987">
    <cfRule type="cellIs" dxfId="14" priority="1" operator="equal">
      <formula>1</formula>
    </cfRule>
  </conditionalFormatting>
  <conditionalFormatting sqref="J2:L157">
    <cfRule type="cellIs" dxfId="14" priority="2" operator="equal">
      <formula>1</formula>
    </cfRule>
  </conditionalFormatting>
  <conditionalFormatting sqref="I2:L157">
    <cfRule type="cellIs" dxfId="15" priority="3" operator="equal">
      <formula>0</formula>
    </cfRule>
  </conditionalFormatting>
  <dataValidations>
    <dataValidation type="custom" allowBlank="1" showDropDown="1" sqref="E2:E159">
      <formula1>OR(NOT(ISERROR(DATEVALUE(E2))), AND(ISNUMBER(E2), LEFT(CELL("format", E2))="D"))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32" t="s">
        <v>0</v>
      </c>
      <c r="B1" s="216" t="s">
        <v>1127</v>
      </c>
      <c r="C1" s="216" t="s">
        <v>1128</v>
      </c>
      <c r="D1" s="216" t="s">
        <v>3</v>
      </c>
      <c r="E1" s="26" t="s">
        <v>1567</v>
      </c>
      <c r="F1" s="216" t="s">
        <v>1568</v>
      </c>
      <c r="G1" s="216" t="s">
        <v>1569</v>
      </c>
      <c r="H1" s="216" t="s">
        <v>1570</v>
      </c>
      <c r="I1" s="216" t="s">
        <v>1571</v>
      </c>
      <c r="J1" s="216" t="s">
        <v>1572</v>
      </c>
      <c r="K1" s="216" t="s">
        <v>1573</v>
      </c>
      <c r="L1" s="217" t="s">
        <v>1574</v>
      </c>
    </row>
    <row r="2">
      <c r="A2" s="233">
        <v>1.0</v>
      </c>
      <c r="B2" s="166">
        <v>2.172633E7</v>
      </c>
      <c r="C2" s="166" t="s">
        <v>1575</v>
      </c>
      <c r="D2" s="166"/>
      <c r="E2" s="28">
        <v>39868.0</v>
      </c>
      <c r="F2" s="166">
        <v>16.0</v>
      </c>
      <c r="G2" s="166" t="s">
        <v>1576</v>
      </c>
      <c r="H2" s="166"/>
      <c r="I2" s="166">
        <v>0.0</v>
      </c>
      <c r="J2" s="166">
        <v>0.0</v>
      </c>
      <c r="K2" s="166">
        <v>0.0</v>
      </c>
      <c r="L2" s="234">
        <v>1.0</v>
      </c>
    </row>
    <row r="3">
      <c r="A3" s="235">
        <v>2.0</v>
      </c>
      <c r="B3" s="161">
        <v>3.1963497E7</v>
      </c>
      <c r="C3" s="161" t="s">
        <v>1577</v>
      </c>
      <c r="D3" s="161">
        <v>5.4185111E7</v>
      </c>
      <c r="E3" s="30">
        <v>41872.0</v>
      </c>
      <c r="F3" s="161">
        <v>11.0</v>
      </c>
      <c r="G3" s="161" t="s">
        <v>1576</v>
      </c>
      <c r="H3" s="161"/>
      <c r="I3" s="161">
        <v>0.0</v>
      </c>
      <c r="J3" s="161">
        <v>0.0</v>
      </c>
      <c r="K3" s="161">
        <v>1.0</v>
      </c>
      <c r="L3" s="236">
        <v>0.0</v>
      </c>
    </row>
    <row r="4">
      <c r="A4" s="233">
        <v>3.0</v>
      </c>
      <c r="B4" s="166">
        <v>3.1963497E7</v>
      </c>
      <c r="C4" s="166" t="s">
        <v>1578</v>
      </c>
      <c r="D4" s="166">
        <v>4.9002653E7</v>
      </c>
      <c r="E4" s="28">
        <v>39879.0</v>
      </c>
      <c r="F4" s="166">
        <v>16.0</v>
      </c>
      <c r="G4" s="166" t="s">
        <v>1576</v>
      </c>
      <c r="H4" s="166"/>
      <c r="I4" s="166">
        <v>0.0</v>
      </c>
      <c r="J4" s="166">
        <v>0.0</v>
      </c>
      <c r="K4" s="166">
        <v>0.0</v>
      </c>
      <c r="L4" s="234">
        <v>1.0</v>
      </c>
    </row>
    <row r="5">
      <c r="A5" s="235">
        <v>4.0</v>
      </c>
      <c r="B5" s="161">
        <v>2.5379033E7</v>
      </c>
      <c r="C5" s="161" t="s">
        <v>1579</v>
      </c>
      <c r="D5" s="161">
        <v>5.3171566E7</v>
      </c>
      <c r="E5" s="30">
        <v>41358.0</v>
      </c>
      <c r="F5" s="161">
        <v>12.0</v>
      </c>
      <c r="G5" s="161" t="s">
        <v>1576</v>
      </c>
      <c r="H5" s="161"/>
      <c r="I5" s="161">
        <v>0.0</v>
      </c>
      <c r="J5" s="161">
        <v>0.0</v>
      </c>
      <c r="K5" s="161">
        <v>0.0</v>
      </c>
      <c r="L5" s="236">
        <v>1.0</v>
      </c>
    </row>
    <row r="6">
      <c r="A6" s="233">
        <v>5.0</v>
      </c>
      <c r="B6" s="166">
        <v>3.8184089E7</v>
      </c>
      <c r="C6" s="166" t="s">
        <v>1580</v>
      </c>
      <c r="D6" s="166">
        <v>5.8254918E7</v>
      </c>
      <c r="E6" s="28">
        <v>43954.0</v>
      </c>
      <c r="F6" s="166">
        <v>5.0</v>
      </c>
      <c r="G6" s="166" t="s">
        <v>1576</v>
      </c>
      <c r="H6" s="166"/>
      <c r="I6" s="166">
        <v>1.0</v>
      </c>
      <c r="J6" s="166">
        <v>0.0</v>
      </c>
      <c r="K6" s="166">
        <v>0.0</v>
      </c>
      <c r="L6" s="234">
        <v>0.0</v>
      </c>
    </row>
    <row r="7">
      <c r="A7" s="235">
        <v>6.0</v>
      </c>
      <c r="B7" s="161">
        <v>3.8184089E7</v>
      </c>
      <c r="C7" s="161" t="s">
        <v>1581</v>
      </c>
      <c r="D7" s="161">
        <v>5.9036365E7</v>
      </c>
      <c r="E7" s="30">
        <v>44469.0</v>
      </c>
      <c r="F7" s="161">
        <v>4.0</v>
      </c>
      <c r="G7" s="161" t="s">
        <v>1576</v>
      </c>
      <c r="H7" s="161"/>
      <c r="I7" s="161">
        <v>1.0</v>
      </c>
      <c r="J7" s="161">
        <v>0.0</v>
      </c>
      <c r="K7" s="161">
        <v>0.0</v>
      </c>
      <c r="L7" s="236">
        <v>0.0</v>
      </c>
    </row>
    <row r="8">
      <c r="A8" s="233">
        <v>7.0</v>
      </c>
      <c r="B8" s="166">
        <v>3.8894668E7</v>
      </c>
      <c r="C8" s="166" t="s">
        <v>1582</v>
      </c>
      <c r="D8" s="166">
        <v>5.4881018E7</v>
      </c>
      <c r="E8" s="28">
        <v>42177.0</v>
      </c>
      <c r="F8" s="166">
        <v>10.0</v>
      </c>
      <c r="G8" s="166" t="s">
        <v>1576</v>
      </c>
      <c r="H8" s="166"/>
      <c r="I8" s="166">
        <v>0.0</v>
      </c>
      <c r="J8" s="166">
        <v>0.0</v>
      </c>
      <c r="K8" s="166">
        <v>1.0</v>
      </c>
      <c r="L8" s="234">
        <v>0.0</v>
      </c>
    </row>
    <row r="9">
      <c r="A9" s="235">
        <v>8.0</v>
      </c>
      <c r="B9" s="161">
        <v>4.2012262E7</v>
      </c>
      <c r="C9" s="161" t="s">
        <v>1583</v>
      </c>
      <c r="D9" s="161">
        <v>5.6664434E7</v>
      </c>
      <c r="E9" s="30">
        <v>43052.0</v>
      </c>
      <c r="F9" s="161">
        <v>8.0</v>
      </c>
      <c r="G9" s="161" t="s">
        <v>1576</v>
      </c>
      <c r="H9" s="161"/>
      <c r="I9" s="161">
        <v>0.0</v>
      </c>
      <c r="J9" s="161">
        <v>1.0</v>
      </c>
      <c r="K9" s="161">
        <v>0.0</v>
      </c>
      <c r="L9" s="236">
        <v>0.0</v>
      </c>
    </row>
    <row r="10">
      <c r="A10" s="233">
        <v>9.0</v>
      </c>
      <c r="B10" s="166">
        <v>3.3155103E7</v>
      </c>
      <c r="C10" s="166" t="s">
        <v>1584</v>
      </c>
      <c r="D10" s="166">
        <v>4.9008586E7</v>
      </c>
      <c r="E10" s="28">
        <v>39710.0</v>
      </c>
      <c r="F10" s="166">
        <v>17.0</v>
      </c>
      <c r="G10" s="166" t="s">
        <v>1576</v>
      </c>
      <c r="H10" s="166"/>
      <c r="I10" s="166">
        <v>0.0</v>
      </c>
      <c r="J10" s="166">
        <v>0.0</v>
      </c>
      <c r="K10" s="166">
        <v>0.0</v>
      </c>
      <c r="L10" s="234">
        <v>1.0</v>
      </c>
    </row>
    <row r="11">
      <c r="A11" s="235">
        <v>10.0</v>
      </c>
      <c r="B11" s="161">
        <v>9.3996095E7</v>
      </c>
      <c r="C11" s="161" t="s">
        <v>1585</v>
      </c>
      <c r="D11" s="161">
        <v>5.6385774E7</v>
      </c>
      <c r="E11" s="30">
        <v>42893.0</v>
      </c>
      <c r="F11" s="161">
        <v>8.0</v>
      </c>
      <c r="G11" s="161" t="s">
        <v>1576</v>
      </c>
      <c r="H11" s="161"/>
      <c r="I11" s="161">
        <v>0.0</v>
      </c>
      <c r="J11" s="161">
        <v>1.0</v>
      </c>
      <c r="K11" s="161">
        <v>0.0</v>
      </c>
      <c r="L11" s="236">
        <v>0.0</v>
      </c>
    </row>
    <row r="12">
      <c r="A12" s="233">
        <v>11.0</v>
      </c>
      <c r="B12" s="166">
        <v>9.3996095E7</v>
      </c>
      <c r="C12" s="166" t="s">
        <v>1586</v>
      </c>
      <c r="D12" s="166">
        <v>4.9002705E7</v>
      </c>
      <c r="E12" s="28">
        <v>39910.0</v>
      </c>
      <c r="F12" s="166">
        <v>16.0</v>
      </c>
      <c r="G12" s="166" t="s">
        <v>1576</v>
      </c>
      <c r="H12" s="166"/>
      <c r="I12" s="166">
        <v>0.0</v>
      </c>
      <c r="J12" s="166">
        <v>0.0</v>
      </c>
      <c r="K12" s="166">
        <v>0.0</v>
      </c>
      <c r="L12" s="234">
        <v>1.0</v>
      </c>
    </row>
    <row r="13">
      <c r="A13" s="235">
        <v>12.0</v>
      </c>
      <c r="B13" s="161">
        <v>9.3996095E7</v>
      </c>
      <c r="C13" s="161" t="s">
        <v>1587</v>
      </c>
      <c r="D13" s="161">
        <v>5.0289552E7</v>
      </c>
      <c r="E13" s="30">
        <v>40323.0</v>
      </c>
      <c r="F13" s="161">
        <v>15.0</v>
      </c>
      <c r="G13" s="161" t="s">
        <v>1576</v>
      </c>
      <c r="H13" s="161"/>
      <c r="I13" s="161">
        <v>0.0</v>
      </c>
      <c r="J13" s="161">
        <v>0.0</v>
      </c>
      <c r="K13" s="161">
        <v>0.0</v>
      </c>
      <c r="L13" s="236">
        <v>1.0</v>
      </c>
    </row>
    <row r="14">
      <c r="A14" s="233">
        <v>13.0</v>
      </c>
      <c r="B14" s="166">
        <v>9.5102089E7</v>
      </c>
      <c r="C14" s="166" t="s">
        <v>1588</v>
      </c>
      <c r="D14" s="166">
        <v>9.5028129E7</v>
      </c>
      <c r="E14" s="28">
        <v>36046.0</v>
      </c>
      <c r="F14" s="166">
        <v>27.0</v>
      </c>
      <c r="G14" s="166" t="s">
        <v>1576</v>
      </c>
      <c r="H14" s="166"/>
      <c r="I14" s="166">
        <v>0.0</v>
      </c>
      <c r="J14" s="166">
        <v>0.0</v>
      </c>
      <c r="K14" s="166">
        <v>0.0</v>
      </c>
      <c r="L14" s="234">
        <v>0.0</v>
      </c>
    </row>
    <row r="15">
      <c r="A15" s="235">
        <v>14.0</v>
      </c>
      <c r="B15" s="161">
        <v>9.5102089E7</v>
      </c>
      <c r="C15" s="161" t="s">
        <v>1589</v>
      </c>
      <c r="D15" s="161">
        <v>9.5102102E7</v>
      </c>
      <c r="E15" s="30">
        <v>38543.0</v>
      </c>
      <c r="F15" s="161">
        <v>20.0</v>
      </c>
      <c r="G15" s="161" t="s">
        <v>1576</v>
      </c>
      <c r="H15" s="161"/>
      <c r="I15" s="161">
        <v>0.0</v>
      </c>
      <c r="J15" s="161">
        <v>0.0</v>
      </c>
      <c r="K15" s="161">
        <v>0.0</v>
      </c>
      <c r="L15" s="236">
        <v>0.0</v>
      </c>
    </row>
    <row r="16">
      <c r="A16" s="233">
        <v>15.0</v>
      </c>
      <c r="B16" s="166">
        <v>9.5189729E7</v>
      </c>
      <c r="C16" s="166" t="s">
        <v>1590</v>
      </c>
      <c r="D16" s="166">
        <v>5.5389451E7</v>
      </c>
      <c r="E16" s="28">
        <v>42398.0</v>
      </c>
      <c r="F16" s="166">
        <v>9.0</v>
      </c>
      <c r="G16" s="166" t="s">
        <v>1576</v>
      </c>
      <c r="H16" s="166"/>
      <c r="I16" s="166">
        <v>0.0</v>
      </c>
      <c r="J16" s="166">
        <v>0.0</v>
      </c>
      <c r="K16" s="166">
        <v>1.0</v>
      </c>
      <c r="L16" s="234">
        <v>0.0</v>
      </c>
    </row>
    <row r="17">
      <c r="A17" s="235">
        <v>16.0</v>
      </c>
      <c r="B17" s="161">
        <v>9.5189729E7</v>
      </c>
      <c r="C17" s="161" t="s">
        <v>1591</v>
      </c>
      <c r="D17" s="161">
        <v>5.3649865E7</v>
      </c>
      <c r="E17" s="30">
        <v>41651.0</v>
      </c>
      <c r="F17" s="161">
        <v>11.0</v>
      </c>
      <c r="G17" s="161" t="s">
        <v>1576</v>
      </c>
      <c r="H17" s="161"/>
      <c r="I17" s="161">
        <v>0.0</v>
      </c>
      <c r="J17" s="161">
        <v>0.0</v>
      </c>
      <c r="K17" s="161">
        <v>1.0</v>
      </c>
      <c r="L17" s="236">
        <v>0.0</v>
      </c>
    </row>
    <row r="18">
      <c r="A18" s="233">
        <v>17.0</v>
      </c>
      <c r="B18" s="166">
        <v>9.5189729E7</v>
      </c>
      <c r="C18" s="166" t="s">
        <v>1592</v>
      </c>
      <c r="D18" s="166">
        <v>9.5189737E7</v>
      </c>
      <c r="E18" s="28">
        <v>40095.0</v>
      </c>
      <c r="F18" s="166">
        <v>16.0</v>
      </c>
      <c r="G18" s="166" t="s">
        <v>1576</v>
      </c>
      <c r="H18" s="166"/>
      <c r="I18" s="166">
        <v>0.0</v>
      </c>
      <c r="J18" s="166">
        <v>0.0</v>
      </c>
      <c r="K18" s="166">
        <v>0.0</v>
      </c>
      <c r="L18" s="234">
        <v>1.0</v>
      </c>
    </row>
    <row r="19">
      <c r="A19" s="235">
        <v>18.0</v>
      </c>
      <c r="B19" s="161">
        <v>9.5189729E7</v>
      </c>
      <c r="C19" s="161" t="s">
        <v>1593</v>
      </c>
      <c r="D19" s="161">
        <v>9.5189738E7</v>
      </c>
      <c r="E19" s="30">
        <v>39336.0</v>
      </c>
      <c r="F19" s="161">
        <v>18.0</v>
      </c>
      <c r="G19" s="161" t="s">
        <v>1576</v>
      </c>
      <c r="H19" s="161"/>
      <c r="I19" s="161">
        <v>0.0</v>
      </c>
      <c r="J19" s="161">
        <v>0.0</v>
      </c>
      <c r="K19" s="161">
        <v>0.0</v>
      </c>
      <c r="L19" s="236">
        <v>1.0</v>
      </c>
    </row>
    <row r="20">
      <c r="A20" s="233">
        <v>19.0</v>
      </c>
      <c r="B20" s="166">
        <v>9.5189729E7</v>
      </c>
      <c r="C20" s="166" t="s">
        <v>1594</v>
      </c>
      <c r="D20" s="166">
        <v>9.5189739E7</v>
      </c>
      <c r="E20" s="28">
        <v>38842.0</v>
      </c>
      <c r="F20" s="166">
        <v>19.0</v>
      </c>
      <c r="G20" s="166" t="s">
        <v>1576</v>
      </c>
      <c r="H20" s="166"/>
      <c r="I20" s="166">
        <v>0.0</v>
      </c>
      <c r="J20" s="166">
        <v>0.0</v>
      </c>
      <c r="K20" s="166">
        <v>0.0</v>
      </c>
      <c r="L20" s="234">
        <v>1.0</v>
      </c>
    </row>
    <row r="21">
      <c r="A21" s="235">
        <v>20.0</v>
      </c>
      <c r="B21" s="161">
        <v>2.0009014E7</v>
      </c>
      <c r="C21" s="161" t="s">
        <v>1595</v>
      </c>
      <c r="D21" s="161">
        <v>4.8313602E7</v>
      </c>
      <c r="E21" s="30">
        <v>39406.0</v>
      </c>
      <c r="F21" s="161">
        <v>18.0</v>
      </c>
      <c r="G21" s="161" t="s">
        <v>1576</v>
      </c>
      <c r="H21" s="161"/>
      <c r="I21" s="161">
        <v>0.0</v>
      </c>
      <c r="J21" s="161">
        <v>0.0</v>
      </c>
      <c r="K21" s="161">
        <v>0.0</v>
      </c>
      <c r="L21" s="236">
        <v>1.0</v>
      </c>
    </row>
    <row r="22">
      <c r="A22" s="233">
        <v>21.0</v>
      </c>
      <c r="B22" s="166">
        <v>2.0009014E7</v>
      </c>
      <c r="C22" s="166" t="s">
        <v>1596</v>
      </c>
      <c r="D22" s="166">
        <v>4.4554988E7</v>
      </c>
      <c r="E22" s="28">
        <v>37624.0</v>
      </c>
      <c r="F22" s="166">
        <v>22.0</v>
      </c>
      <c r="G22" s="166" t="s">
        <v>1576</v>
      </c>
      <c r="H22" s="166"/>
      <c r="I22" s="166">
        <v>0.0</v>
      </c>
      <c r="J22" s="166">
        <v>0.0</v>
      </c>
      <c r="K22" s="166">
        <v>0.0</v>
      </c>
      <c r="L22" s="234">
        <v>0.0</v>
      </c>
    </row>
    <row r="23">
      <c r="A23" s="235">
        <v>22.0</v>
      </c>
      <c r="B23" s="161">
        <v>2.0009014E7</v>
      </c>
      <c r="C23" s="161" t="s">
        <v>1597</v>
      </c>
      <c r="D23" s="161">
        <v>3.7904714E7</v>
      </c>
      <c r="E23" s="30">
        <v>34229.0</v>
      </c>
      <c r="F23" s="161">
        <v>32.0</v>
      </c>
      <c r="G23" s="161" t="s">
        <v>1576</v>
      </c>
      <c r="H23" s="161"/>
      <c r="I23" s="161">
        <v>0.0</v>
      </c>
      <c r="J23" s="161">
        <v>0.0</v>
      </c>
      <c r="K23" s="161">
        <v>0.0</v>
      </c>
      <c r="L23" s="236">
        <v>0.0</v>
      </c>
    </row>
    <row r="24">
      <c r="A24" s="233">
        <v>23.0</v>
      </c>
      <c r="B24" s="166">
        <v>3.3905319E7</v>
      </c>
      <c r="C24" s="166" t="s">
        <v>1598</v>
      </c>
      <c r="D24" s="166">
        <v>5.3815519E7</v>
      </c>
      <c r="E24" s="28">
        <v>44373.0</v>
      </c>
      <c r="F24" s="166">
        <v>4.0</v>
      </c>
      <c r="G24" s="166" t="s">
        <v>1576</v>
      </c>
      <c r="H24" s="166"/>
      <c r="I24" s="166">
        <v>1.0</v>
      </c>
      <c r="J24" s="166">
        <v>0.0</v>
      </c>
      <c r="K24" s="166">
        <v>0.0</v>
      </c>
      <c r="L24" s="234">
        <v>0.0</v>
      </c>
    </row>
    <row r="25">
      <c r="A25" s="235">
        <v>25.0</v>
      </c>
      <c r="B25" s="161">
        <v>3.2554313E7</v>
      </c>
      <c r="C25" s="161" t="s">
        <v>1599</v>
      </c>
      <c r="D25" s="161">
        <v>5.6177284E7</v>
      </c>
      <c r="E25" s="30">
        <v>39901.0</v>
      </c>
      <c r="F25" s="161">
        <v>16.0</v>
      </c>
      <c r="G25" s="161" t="s">
        <v>1576</v>
      </c>
      <c r="H25" s="161"/>
      <c r="I25" s="161">
        <v>0.0</v>
      </c>
      <c r="J25" s="161">
        <v>0.0</v>
      </c>
      <c r="K25" s="161">
        <v>0.0</v>
      </c>
      <c r="L25" s="236">
        <v>1.0</v>
      </c>
    </row>
    <row r="26">
      <c r="A26" s="233">
        <v>26.0</v>
      </c>
      <c r="B26" s="166">
        <v>2.5060598E7</v>
      </c>
      <c r="C26" s="166" t="s">
        <v>1600</v>
      </c>
      <c r="D26" s="166">
        <v>5.4386305E7</v>
      </c>
      <c r="E26" s="28">
        <v>41638.0</v>
      </c>
      <c r="F26" s="166">
        <v>12.0</v>
      </c>
      <c r="G26" s="166" t="s">
        <v>1576</v>
      </c>
      <c r="H26" s="166"/>
      <c r="I26" s="166">
        <v>0.0</v>
      </c>
      <c r="J26" s="166">
        <v>0.0</v>
      </c>
      <c r="K26" s="166">
        <v>0.0</v>
      </c>
      <c r="L26" s="234">
        <v>1.0</v>
      </c>
    </row>
    <row r="27">
      <c r="A27" s="235">
        <v>27.0</v>
      </c>
      <c r="B27" s="161">
        <v>2.9635937E7</v>
      </c>
      <c r="C27" s="161" t="s">
        <v>1601</v>
      </c>
      <c r="D27" s="161">
        <v>4.7170109E7</v>
      </c>
      <c r="E27" s="30">
        <v>38780.0</v>
      </c>
      <c r="F27" s="161">
        <v>19.0</v>
      </c>
      <c r="G27" s="161" t="s">
        <v>1576</v>
      </c>
      <c r="H27" s="161"/>
      <c r="I27" s="161">
        <v>0.0</v>
      </c>
      <c r="J27" s="161">
        <v>0.0</v>
      </c>
      <c r="K27" s="161">
        <v>0.0</v>
      </c>
      <c r="L27" s="236">
        <v>1.0</v>
      </c>
    </row>
    <row r="28">
      <c r="A28" s="233">
        <v>28.0</v>
      </c>
      <c r="B28" s="166">
        <v>2.5060598E7</v>
      </c>
      <c r="C28" s="166" t="s">
        <v>1602</v>
      </c>
      <c r="D28" s="166">
        <v>5.1140548E7</v>
      </c>
      <c r="E28" s="28">
        <v>40907.0</v>
      </c>
      <c r="F28" s="166">
        <v>14.0</v>
      </c>
      <c r="G28" s="166" t="s">
        <v>1576</v>
      </c>
      <c r="H28" s="166"/>
      <c r="I28" s="166">
        <v>0.0</v>
      </c>
      <c r="J28" s="166">
        <v>0.0</v>
      </c>
      <c r="K28" s="166">
        <v>0.0</v>
      </c>
      <c r="L28" s="234">
        <v>1.0</v>
      </c>
    </row>
    <row r="29">
      <c r="A29" s="235">
        <v>29.0</v>
      </c>
      <c r="B29" s="161">
        <v>2.5060598E7</v>
      </c>
      <c r="C29" s="161" t="s">
        <v>1603</v>
      </c>
      <c r="D29" s="161">
        <v>4.8715443E7</v>
      </c>
      <c r="E29" s="30">
        <v>39446.0</v>
      </c>
      <c r="F29" s="161">
        <v>18.0</v>
      </c>
      <c r="G29" s="161" t="s">
        <v>1576</v>
      </c>
      <c r="H29" s="161"/>
      <c r="I29" s="161">
        <v>0.0</v>
      </c>
      <c r="J29" s="161">
        <v>0.0</v>
      </c>
      <c r="K29" s="161">
        <v>0.0</v>
      </c>
      <c r="L29" s="236">
        <v>1.0</v>
      </c>
    </row>
    <row r="30">
      <c r="A30" s="233">
        <v>30.0</v>
      </c>
      <c r="B30" s="166">
        <v>3.1896263E7</v>
      </c>
      <c r="C30" s="166" t="s">
        <v>1604</v>
      </c>
      <c r="D30" s="166">
        <v>4.8677298E7</v>
      </c>
      <c r="E30" s="28">
        <v>39559.0</v>
      </c>
      <c r="F30" s="166">
        <v>17.0</v>
      </c>
      <c r="G30" s="166" t="s">
        <v>1576</v>
      </c>
      <c r="H30" s="166"/>
      <c r="I30" s="166">
        <v>0.0</v>
      </c>
      <c r="J30" s="166">
        <v>0.0</v>
      </c>
      <c r="K30" s="166">
        <v>0.0</v>
      </c>
      <c r="L30" s="234">
        <v>1.0</v>
      </c>
    </row>
    <row r="31">
      <c r="A31" s="235">
        <v>31.0</v>
      </c>
      <c r="B31" s="161">
        <v>3.2554313E7</v>
      </c>
      <c r="C31" s="161" t="s">
        <v>1605</v>
      </c>
      <c r="D31" s="161">
        <v>4.9373859E7</v>
      </c>
      <c r="E31" s="30">
        <v>39936.0</v>
      </c>
      <c r="F31" s="161">
        <v>16.0</v>
      </c>
      <c r="G31" s="161" t="s">
        <v>1576</v>
      </c>
      <c r="H31" s="161"/>
      <c r="I31" s="161">
        <v>0.0</v>
      </c>
      <c r="J31" s="161">
        <v>0.0</v>
      </c>
      <c r="K31" s="161">
        <v>0.0</v>
      </c>
      <c r="L31" s="236">
        <v>1.0</v>
      </c>
    </row>
    <row r="32">
      <c r="A32" s="233">
        <v>32.0</v>
      </c>
      <c r="B32" s="166">
        <v>3.3905319E7</v>
      </c>
      <c r="C32" s="166" t="s">
        <v>1606</v>
      </c>
      <c r="D32" s="166">
        <v>5.3815519E7</v>
      </c>
      <c r="E32" s="28">
        <v>41746.0</v>
      </c>
      <c r="F32" s="166">
        <v>11.0</v>
      </c>
      <c r="G32" s="166" t="s">
        <v>1576</v>
      </c>
      <c r="H32" s="166"/>
      <c r="I32" s="166">
        <v>0.0</v>
      </c>
      <c r="J32" s="166">
        <v>0.0</v>
      </c>
      <c r="K32" s="166">
        <v>1.0</v>
      </c>
      <c r="L32" s="234">
        <v>0.0</v>
      </c>
    </row>
    <row r="33">
      <c r="A33" s="235">
        <v>33.0</v>
      </c>
      <c r="B33" s="161">
        <v>3.0211914E7</v>
      </c>
      <c r="C33" s="161" t="s">
        <v>1607</v>
      </c>
      <c r="D33" s="161">
        <v>4.937386E7</v>
      </c>
      <c r="E33" s="30">
        <v>40520.0</v>
      </c>
      <c r="F33" s="161">
        <v>15.0</v>
      </c>
      <c r="G33" s="161" t="s">
        <v>1576</v>
      </c>
      <c r="H33" s="161"/>
      <c r="I33" s="161">
        <v>0.0</v>
      </c>
      <c r="J33" s="161">
        <v>0.0</v>
      </c>
      <c r="K33" s="161">
        <v>0.0</v>
      </c>
      <c r="L33" s="236">
        <v>1.0</v>
      </c>
    </row>
    <row r="34">
      <c r="A34" s="233">
        <v>34.0</v>
      </c>
      <c r="B34" s="166">
        <v>4.0873767E7</v>
      </c>
      <c r="C34" s="166" t="s">
        <v>1608</v>
      </c>
      <c r="D34" s="166"/>
      <c r="E34" s="28">
        <v>41691.0</v>
      </c>
      <c r="F34" s="166">
        <v>11.0</v>
      </c>
      <c r="G34" s="166" t="s">
        <v>1576</v>
      </c>
      <c r="H34" s="166"/>
      <c r="I34" s="166">
        <v>0.0</v>
      </c>
      <c r="J34" s="166">
        <v>0.0</v>
      </c>
      <c r="K34" s="166">
        <v>1.0</v>
      </c>
      <c r="L34" s="234">
        <v>0.0</v>
      </c>
    </row>
    <row r="35">
      <c r="A35" s="235">
        <v>35.0</v>
      </c>
      <c r="B35" s="161">
        <v>4.0873767E7</v>
      </c>
      <c r="C35" s="161" t="s">
        <v>1609</v>
      </c>
      <c r="D35" s="161"/>
      <c r="E35" s="30">
        <v>39970.0</v>
      </c>
      <c r="F35" s="161">
        <v>16.0</v>
      </c>
      <c r="G35" s="161" t="s">
        <v>1576</v>
      </c>
      <c r="H35" s="161"/>
      <c r="I35" s="161">
        <v>0.0</v>
      </c>
      <c r="J35" s="161">
        <v>0.0</v>
      </c>
      <c r="K35" s="161">
        <v>0.0</v>
      </c>
      <c r="L35" s="236">
        <v>1.0</v>
      </c>
    </row>
    <row r="36">
      <c r="A36" s="233">
        <v>36.0</v>
      </c>
      <c r="B36" s="166">
        <v>2.9064893E7</v>
      </c>
      <c r="C36" s="166" t="s">
        <v>1610</v>
      </c>
      <c r="D36" s="166">
        <v>5.299061E7</v>
      </c>
      <c r="E36" s="28">
        <v>41330.0</v>
      </c>
      <c r="F36" s="166">
        <v>12.0</v>
      </c>
      <c r="G36" s="166" t="s">
        <v>1576</v>
      </c>
      <c r="H36" s="166"/>
      <c r="I36" s="166">
        <v>0.0</v>
      </c>
      <c r="J36" s="166">
        <v>0.0</v>
      </c>
      <c r="K36" s="166">
        <v>0.0</v>
      </c>
      <c r="L36" s="234">
        <v>1.0</v>
      </c>
    </row>
    <row r="37">
      <c r="A37" s="235">
        <v>37.0</v>
      </c>
      <c r="B37" s="161">
        <v>2.9064893E7</v>
      </c>
      <c r="C37" s="161" t="s">
        <v>1611</v>
      </c>
      <c r="D37" s="161">
        <v>5.4039861E7</v>
      </c>
      <c r="E37" s="30">
        <v>41741.0</v>
      </c>
      <c r="F37" s="161">
        <v>11.0</v>
      </c>
      <c r="G37" s="161" t="s">
        <v>1576</v>
      </c>
      <c r="H37" s="161"/>
      <c r="I37" s="161">
        <v>0.0</v>
      </c>
      <c r="J37" s="161">
        <v>0.0</v>
      </c>
      <c r="K37" s="161">
        <v>1.0</v>
      </c>
      <c r="L37" s="236">
        <v>0.0</v>
      </c>
    </row>
    <row r="38">
      <c r="A38" s="233">
        <v>38.0</v>
      </c>
      <c r="B38" s="166">
        <v>2.9064893E7</v>
      </c>
      <c r="C38" s="166" t="s">
        <v>1612</v>
      </c>
      <c r="D38" s="166">
        <v>5.2915598E7</v>
      </c>
      <c r="E38" s="28">
        <v>41312.0</v>
      </c>
      <c r="F38" s="166">
        <v>12.0</v>
      </c>
      <c r="G38" s="166" t="s">
        <v>1576</v>
      </c>
      <c r="H38" s="166"/>
      <c r="I38" s="166">
        <v>0.0</v>
      </c>
      <c r="J38" s="166">
        <v>0.0</v>
      </c>
      <c r="K38" s="166">
        <v>0.0</v>
      </c>
      <c r="L38" s="234">
        <v>1.0</v>
      </c>
    </row>
    <row r="39">
      <c r="A39" s="235">
        <v>39.0</v>
      </c>
      <c r="B39" s="161">
        <v>1.0000001E7</v>
      </c>
      <c r="C39" s="161" t="s">
        <v>1613</v>
      </c>
      <c r="D39" s="161">
        <v>5.6252686E7</v>
      </c>
      <c r="E39" s="30">
        <v>42837.0</v>
      </c>
      <c r="F39" s="161">
        <v>8.0</v>
      </c>
      <c r="G39" s="161" t="s">
        <v>1576</v>
      </c>
      <c r="H39" s="161"/>
      <c r="I39" s="161">
        <v>0.0</v>
      </c>
      <c r="J39" s="161">
        <v>1.0</v>
      </c>
      <c r="K39" s="161">
        <v>0.0</v>
      </c>
      <c r="L39" s="236">
        <v>0.0</v>
      </c>
    </row>
    <row r="40">
      <c r="A40" s="233">
        <v>40.0</v>
      </c>
      <c r="B40" s="166">
        <v>1.0000002E7</v>
      </c>
      <c r="C40" s="166" t="s">
        <v>1614</v>
      </c>
      <c r="D40" s="166">
        <v>5.2696388E7</v>
      </c>
      <c r="E40" s="28">
        <v>41149.0</v>
      </c>
      <c r="F40" s="166">
        <v>13.0</v>
      </c>
      <c r="G40" s="166" t="s">
        <v>1576</v>
      </c>
      <c r="H40" s="166"/>
      <c r="I40" s="166">
        <v>0.0</v>
      </c>
      <c r="J40" s="166">
        <v>0.0</v>
      </c>
      <c r="K40" s="166">
        <v>0.0</v>
      </c>
      <c r="L40" s="234">
        <v>1.0</v>
      </c>
    </row>
    <row r="41">
      <c r="A41" s="235">
        <v>41.0</v>
      </c>
      <c r="B41" s="161">
        <v>1.0000003E7</v>
      </c>
      <c r="C41" s="161" t="s">
        <v>1615</v>
      </c>
      <c r="D41" s="161">
        <v>5.5075344E7</v>
      </c>
      <c r="E41" s="30">
        <v>42291.0</v>
      </c>
      <c r="F41" s="161">
        <v>10.0</v>
      </c>
      <c r="G41" s="161" t="s">
        <v>1576</v>
      </c>
      <c r="H41" s="161"/>
      <c r="I41" s="161">
        <v>0.0</v>
      </c>
      <c r="J41" s="161">
        <v>0.0</v>
      </c>
      <c r="K41" s="161">
        <v>1.0</v>
      </c>
      <c r="L41" s="236">
        <v>0.0</v>
      </c>
    </row>
    <row r="42">
      <c r="A42" s="233">
        <v>42.0</v>
      </c>
      <c r="B42" s="166">
        <v>1.0000004E7</v>
      </c>
      <c r="C42" s="166" t="s">
        <v>1616</v>
      </c>
      <c r="D42" s="166">
        <v>5.7103234E7</v>
      </c>
      <c r="E42" s="28">
        <v>43246.0</v>
      </c>
      <c r="F42" s="166">
        <v>7.0</v>
      </c>
      <c r="G42" s="166" t="s">
        <v>1576</v>
      </c>
      <c r="H42" s="166"/>
      <c r="I42" s="166">
        <v>0.0</v>
      </c>
      <c r="J42" s="166">
        <v>1.0</v>
      </c>
      <c r="K42" s="166">
        <v>0.0</v>
      </c>
      <c r="L42" s="234">
        <v>0.0</v>
      </c>
    </row>
    <row r="43">
      <c r="A43" s="235">
        <v>43.0</v>
      </c>
      <c r="B43" s="161">
        <v>1.0000005E7</v>
      </c>
      <c r="C43" s="161" t="s">
        <v>1617</v>
      </c>
      <c r="D43" s="161">
        <v>4.7170109E7</v>
      </c>
      <c r="E43" s="30">
        <v>38780.0</v>
      </c>
      <c r="F43" s="161">
        <v>19.0</v>
      </c>
      <c r="G43" s="161" t="s">
        <v>1576</v>
      </c>
      <c r="H43" s="161"/>
      <c r="I43" s="161">
        <v>0.0</v>
      </c>
      <c r="J43" s="161">
        <v>0.0</v>
      </c>
      <c r="K43" s="161">
        <v>0.0</v>
      </c>
      <c r="L43" s="236">
        <v>1.0</v>
      </c>
    </row>
    <row r="44">
      <c r="A44" s="233">
        <v>44.0</v>
      </c>
      <c r="B44" s="166">
        <v>1.0000006E7</v>
      </c>
      <c r="C44" s="166" t="s">
        <v>1618</v>
      </c>
      <c r="D44" s="166">
        <v>5.4215352E7</v>
      </c>
      <c r="E44" s="28">
        <v>41894.0</v>
      </c>
      <c r="F44" s="166">
        <v>11.0</v>
      </c>
      <c r="G44" s="166" t="s">
        <v>1576</v>
      </c>
      <c r="H44" s="166"/>
      <c r="I44" s="166">
        <v>0.0</v>
      </c>
      <c r="J44" s="166">
        <v>0.0</v>
      </c>
      <c r="K44" s="166">
        <v>1.0</v>
      </c>
      <c r="L44" s="234">
        <v>0.0</v>
      </c>
    </row>
    <row r="45">
      <c r="A45" s="235">
        <v>45.0</v>
      </c>
      <c r="B45" s="161">
        <v>1.0000006E7</v>
      </c>
      <c r="C45" s="161" t="s">
        <v>1619</v>
      </c>
      <c r="D45" s="161">
        <v>5.6784336E7</v>
      </c>
      <c r="E45" s="30">
        <v>43134.0</v>
      </c>
      <c r="F45" s="161">
        <v>7.0</v>
      </c>
      <c r="G45" s="161" t="s">
        <v>1576</v>
      </c>
      <c r="H45" s="161"/>
      <c r="I45" s="161">
        <v>0.0</v>
      </c>
      <c r="J45" s="161">
        <v>1.0</v>
      </c>
      <c r="K45" s="161">
        <v>0.0</v>
      </c>
      <c r="L45" s="236">
        <v>0.0</v>
      </c>
    </row>
    <row r="46">
      <c r="A46" s="233">
        <v>46.0</v>
      </c>
      <c r="B46" s="166">
        <v>1.0000006E7</v>
      </c>
      <c r="C46" s="166" t="s">
        <v>1620</v>
      </c>
      <c r="D46" s="166">
        <v>5.95585E7</v>
      </c>
      <c r="E46" s="28">
        <v>44610.0</v>
      </c>
      <c r="F46" s="166">
        <v>3.0</v>
      </c>
      <c r="G46" s="166" t="s">
        <v>1576</v>
      </c>
      <c r="H46" s="166"/>
      <c r="I46" s="166">
        <v>0.0</v>
      </c>
      <c r="J46" s="166">
        <v>0.0</v>
      </c>
      <c r="K46" s="166">
        <v>0.0</v>
      </c>
      <c r="L46" s="234">
        <v>0.0</v>
      </c>
    </row>
    <row r="47">
      <c r="A47" s="235">
        <v>47.0</v>
      </c>
      <c r="B47" s="161">
        <v>1.0000007E7</v>
      </c>
      <c r="C47" s="161" t="s">
        <v>1621</v>
      </c>
      <c r="D47" s="161">
        <v>5.3878036E7</v>
      </c>
      <c r="E47" s="30">
        <v>41694.0</v>
      </c>
      <c r="F47" s="161">
        <v>11.0</v>
      </c>
      <c r="G47" s="161" t="s">
        <v>1576</v>
      </c>
      <c r="H47" s="161"/>
      <c r="I47" s="161">
        <v>0.0</v>
      </c>
      <c r="J47" s="161">
        <v>0.0</v>
      </c>
      <c r="K47" s="161">
        <v>1.0</v>
      </c>
      <c r="L47" s="236">
        <v>0.0</v>
      </c>
    </row>
    <row r="48">
      <c r="A48" s="233">
        <v>48.0</v>
      </c>
      <c r="B48" s="166">
        <v>1.0000007E7</v>
      </c>
      <c r="C48" s="166" t="s">
        <v>1622</v>
      </c>
      <c r="D48" s="166">
        <v>5.6865794E7</v>
      </c>
      <c r="E48" s="28">
        <v>43143.0</v>
      </c>
      <c r="F48" s="166">
        <v>7.0</v>
      </c>
      <c r="G48" s="166" t="s">
        <v>1576</v>
      </c>
      <c r="H48" s="166"/>
      <c r="I48" s="166">
        <v>0.0</v>
      </c>
      <c r="J48" s="166">
        <v>1.0</v>
      </c>
      <c r="K48" s="166">
        <v>0.0</v>
      </c>
      <c r="L48" s="234">
        <v>0.0</v>
      </c>
    </row>
    <row r="49">
      <c r="A49" s="235">
        <v>49.0</v>
      </c>
      <c r="B49" s="161">
        <v>1.0000008E7</v>
      </c>
      <c r="C49" s="161" t="s">
        <v>1623</v>
      </c>
      <c r="D49" s="161">
        <v>5.7172279E7</v>
      </c>
      <c r="E49" s="30">
        <v>43316.0</v>
      </c>
      <c r="F49" s="161">
        <v>7.0</v>
      </c>
      <c r="G49" s="161" t="s">
        <v>1576</v>
      </c>
      <c r="H49" s="161"/>
      <c r="I49" s="161">
        <v>0.0</v>
      </c>
      <c r="J49" s="161">
        <v>1.0</v>
      </c>
      <c r="K49" s="161">
        <v>0.0</v>
      </c>
      <c r="L49" s="236">
        <v>0.0</v>
      </c>
    </row>
    <row r="50">
      <c r="A50" s="233">
        <v>50.0</v>
      </c>
      <c r="B50" s="166">
        <v>1.0000009E7</v>
      </c>
      <c r="C50" s="166" t="s">
        <v>1624</v>
      </c>
      <c r="D50" s="166">
        <v>5.5690082E7</v>
      </c>
      <c r="E50" s="28">
        <v>42557.0</v>
      </c>
      <c r="F50" s="166">
        <v>9.0</v>
      </c>
      <c r="G50" s="166" t="s">
        <v>1576</v>
      </c>
      <c r="H50" s="166"/>
      <c r="I50" s="166">
        <v>0.0</v>
      </c>
      <c r="J50" s="166">
        <v>0.0</v>
      </c>
      <c r="K50" s="166">
        <v>1.0</v>
      </c>
      <c r="L50" s="234">
        <v>0.0</v>
      </c>
    </row>
    <row r="51">
      <c r="A51" s="235">
        <v>51.0</v>
      </c>
      <c r="B51" s="161">
        <v>1.000001E7</v>
      </c>
      <c r="C51" s="161" t="s">
        <v>1625</v>
      </c>
      <c r="D51" s="161">
        <v>5.5070052E7</v>
      </c>
      <c r="E51" s="30">
        <v>42265.0</v>
      </c>
      <c r="F51" s="161">
        <v>10.0</v>
      </c>
      <c r="G51" s="161" t="s">
        <v>1576</v>
      </c>
      <c r="H51" s="161"/>
      <c r="I51" s="161">
        <v>0.0</v>
      </c>
      <c r="J51" s="161">
        <v>0.0</v>
      </c>
      <c r="K51" s="161">
        <v>1.0</v>
      </c>
      <c r="L51" s="236">
        <v>0.0</v>
      </c>
    </row>
    <row r="52">
      <c r="A52" s="233">
        <v>52.0</v>
      </c>
      <c r="B52" s="166">
        <v>1.000001E7</v>
      </c>
      <c r="C52" s="166" t="s">
        <v>1626</v>
      </c>
      <c r="D52" s="166">
        <v>5.1220905E7</v>
      </c>
      <c r="E52" s="28">
        <v>40712.0</v>
      </c>
      <c r="F52" s="166">
        <v>14.0</v>
      </c>
      <c r="G52" s="166" t="s">
        <v>1576</v>
      </c>
      <c r="H52" s="166"/>
      <c r="I52" s="166">
        <v>0.0</v>
      </c>
      <c r="J52" s="166">
        <v>0.0</v>
      </c>
      <c r="K52" s="166">
        <v>0.0</v>
      </c>
      <c r="L52" s="234">
        <v>1.0</v>
      </c>
    </row>
    <row r="53">
      <c r="A53" s="235">
        <v>53.0</v>
      </c>
      <c r="B53" s="161">
        <v>1.0000011E7</v>
      </c>
      <c r="C53" s="161" t="s">
        <v>1627</v>
      </c>
      <c r="D53" s="161">
        <v>5.5604251E7</v>
      </c>
      <c r="E53" s="30">
        <v>42524.0</v>
      </c>
      <c r="F53" s="161">
        <v>9.0</v>
      </c>
      <c r="G53" s="161" t="s">
        <v>1576</v>
      </c>
      <c r="H53" s="161"/>
      <c r="I53" s="161">
        <v>0.0</v>
      </c>
      <c r="J53" s="161">
        <v>0.0</v>
      </c>
      <c r="K53" s="161">
        <v>1.0</v>
      </c>
      <c r="L53" s="236">
        <v>0.0</v>
      </c>
    </row>
    <row r="54">
      <c r="A54" s="233">
        <v>54.0</v>
      </c>
      <c r="B54" s="166">
        <v>1.0000012E7</v>
      </c>
      <c r="C54" s="166" t="s">
        <v>1628</v>
      </c>
      <c r="D54" s="166">
        <v>4.8239121E7</v>
      </c>
      <c r="E54" s="28">
        <v>39364.0</v>
      </c>
      <c r="F54" s="166">
        <v>18.0</v>
      </c>
      <c r="G54" s="166" t="s">
        <v>1576</v>
      </c>
      <c r="H54" s="166"/>
      <c r="I54" s="166">
        <v>0.0</v>
      </c>
      <c r="J54" s="166">
        <v>0.0</v>
      </c>
      <c r="K54" s="166">
        <v>0.0</v>
      </c>
      <c r="L54" s="234">
        <v>1.0</v>
      </c>
    </row>
    <row r="55">
      <c r="A55" s="235">
        <v>55.0</v>
      </c>
      <c r="B55" s="161">
        <v>1.0000012E7</v>
      </c>
      <c r="C55" s="161" t="s">
        <v>1629</v>
      </c>
      <c r="D55" s="161">
        <v>5.3085021E7</v>
      </c>
      <c r="E55" s="30">
        <v>41377.0</v>
      </c>
      <c r="F55" s="161">
        <v>12.0</v>
      </c>
      <c r="G55" s="161" t="s">
        <v>1576</v>
      </c>
      <c r="H55" s="161"/>
      <c r="I55" s="161">
        <v>0.0</v>
      </c>
      <c r="J55" s="161">
        <v>0.0</v>
      </c>
      <c r="K55" s="161">
        <v>0.0</v>
      </c>
      <c r="L55" s="236">
        <v>1.0</v>
      </c>
    </row>
    <row r="56">
      <c r="A56" s="233">
        <v>56.0</v>
      </c>
      <c r="B56" s="166">
        <v>1.0000013E7</v>
      </c>
      <c r="C56" s="166" t="s">
        <v>1630</v>
      </c>
      <c r="D56" s="166">
        <v>5.4631191E7</v>
      </c>
      <c r="E56" s="28">
        <v>42067.0</v>
      </c>
      <c r="F56" s="166">
        <v>10.0</v>
      </c>
      <c r="G56" s="166" t="s">
        <v>1576</v>
      </c>
      <c r="H56" s="166"/>
      <c r="I56" s="166">
        <v>0.0</v>
      </c>
      <c r="J56" s="166">
        <v>0.0</v>
      </c>
      <c r="K56" s="166">
        <v>1.0</v>
      </c>
      <c r="L56" s="234">
        <v>0.0</v>
      </c>
    </row>
    <row r="57">
      <c r="A57" s="235">
        <v>59.0</v>
      </c>
      <c r="B57" s="161">
        <v>1.0000015E7</v>
      </c>
      <c r="C57" s="161" t="s">
        <v>1631</v>
      </c>
      <c r="D57" s="161">
        <v>5.5696264E7</v>
      </c>
      <c r="E57" s="30">
        <v>42576.0</v>
      </c>
      <c r="F57" s="161">
        <v>9.0</v>
      </c>
      <c r="G57" s="161" t="s">
        <v>1576</v>
      </c>
      <c r="H57" s="161"/>
      <c r="I57" s="161">
        <v>0.0</v>
      </c>
      <c r="J57" s="161">
        <v>0.0</v>
      </c>
      <c r="K57" s="161">
        <v>1.0</v>
      </c>
      <c r="L57" s="236">
        <v>0.0</v>
      </c>
    </row>
    <row r="58">
      <c r="A58" s="233">
        <v>60.0</v>
      </c>
      <c r="B58" s="166">
        <v>1.0000015E7</v>
      </c>
      <c r="C58" s="166" t="s">
        <v>1632</v>
      </c>
      <c r="D58" s="166">
        <v>5.6992871E7</v>
      </c>
      <c r="E58" s="28">
        <v>43170.0</v>
      </c>
      <c r="F58" s="166">
        <v>7.0</v>
      </c>
      <c r="G58" s="166" t="s">
        <v>1576</v>
      </c>
      <c r="H58" s="166"/>
      <c r="I58" s="166">
        <v>0.0</v>
      </c>
      <c r="J58" s="166">
        <v>1.0</v>
      </c>
      <c r="K58" s="166">
        <v>0.0</v>
      </c>
      <c r="L58" s="234">
        <v>0.0</v>
      </c>
    </row>
    <row r="59">
      <c r="A59" s="235">
        <v>61.0</v>
      </c>
      <c r="B59" s="161">
        <v>1.906315E7</v>
      </c>
      <c r="C59" s="161" t="s">
        <v>1633</v>
      </c>
      <c r="D59" s="161">
        <v>4.8463113E7</v>
      </c>
      <c r="E59" s="30">
        <v>39475.0</v>
      </c>
      <c r="F59" s="161">
        <v>17.0</v>
      </c>
      <c r="G59" s="161" t="s">
        <v>1576</v>
      </c>
      <c r="H59" s="161"/>
      <c r="I59" s="161">
        <v>0.0</v>
      </c>
      <c r="J59" s="161">
        <v>0.0</v>
      </c>
      <c r="K59" s="161">
        <v>0.0</v>
      </c>
      <c r="L59" s="236">
        <v>1.0</v>
      </c>
    </row>
    <row r="60">
      <c r="A60" s="233">
        <v>62.0</v>
      </c>
      <c r="B60" s="166">
        <v>1.906315E7</v>
      </c>
      <c r="C60" s="166" t="s">
        <v>1634</v>
      </c>
      <c r="D60" s="166">
        <v>5.0437489E7</v>
      </c>
      <c r="E60" s="28">
        <v>40381.0</v>
      </c>
      <c r="F60" s="166">
        <v>15.0</v>
      </c>
      <c r="G60" s="166" t="s">
        <v>1576</v>
      </c>
      <c r="H60" s="166"/>
      <c r="I60" s="166">
        <v>0.0</v>
      </c>
      <c r="J60" s="166">
        <v>0.0</v>
      </c>
      <c r="K60" s="166">
        <v>0.0</v>
      </c>
      <c r="L60" s="234">
        <v>1.0</v>
      </c>
    </row>
    <row r="61">
      <c r="A61" s="235">
        <v>63.0</v>
      </c>
      <c r="B61" s="161">
        <v>2.2447579E7</v>
      </c>
      <c r="C61" s="161" t="s">
        <v>1635</v>
      </c>
      <c r="D61" s="161">
        <v>4.7489951E7</v>
      </c>
      <c r="E61" s="30">
        <v>39005.0</v>
      </c>
      <c r="F61" s="161">
        <v>19.0</v>
      </c>
      <c r="G61" s="161" t="s">
        <v>1576</v>
      </c>
      <c r="H61" s="161"/>
      <c r="I61" s="161">
        <v>0.0</v>
      </c>
      <c r="J61" s="161">
        <v>0.0</v>
      </c>
      <c r="K61" s="161">
        <v>0.0</v>
      </c>
      <c r="L61" s="236">
        <v>1.0</v>
      </c>
    </row>
    <row r="62">
      <c r="A62" s="233">
        <v>64.0</v>
      </c>
      <c r="B62" s="166">
        <v>2.2447579E7</v>
      </c>
      <c r="C62" s="166" t="s">
        <v>1636</v>
      </c>
      <c r="D62" s="166">
        <v>4.900615E7</v>
      </c>
      <c r="E62" s="28">
        <v>39713.0</v>
      </c>
      <c r="F62" s="166">
        <v>17.0</v>
      </c>
      <c r="G62" s="166" t="s">
        <v>1576</v>
      </c>
      <c r="H62" s="166"/>
      <c r="I62" s="166">
        <v>0.0</v>
      </c>
      <c r="J62" s="166">
        <v>0.0</v>
      </c>
      <c r="K62" s="166">
        <v>0.0</v>
      </c>
      <c r="L62" s="234">
        <v>1.0</v>
      </c>
    </row>
    <row r="63">
      <c r="A63" s="235">
        <v>65.0</v>
      </c>
      <c r="B63" s="161">
        <v>2.2826482E7</v>
      </c>
      <c r="C63" s="161" t="s">
        <v>1637</v>
      </c>
      <c r="D63" s="161">
        <v>5.2139693E7</v>
      </c>
      <c r="E63" s="30">
        <v>40920.0</v>
      </c>
      <c r="F63" s="161">
        <v>13.0</v>
      </c>
      <c r="G63" s="161" t="s">
        <v>1576</v>
      </c>
      <c r="H63" s="161"/>
      <c r="I63" s="161">
        <v>0.0</v>
      </c>
      <c r="J63" s="161">
        <v>0.0</v>
      </c>
      <c r="K63" s="161">
        <v>0.0</v>
      </c>
      <c r="L63" s="236">
        <v>1.0</v>
      </c>
    </row>
    <row r="64">
      <c r="A64" s="233">
        <v>66.0</v>
      </c>
      <c r="B64" s="166">
        <v>2.2826482E7</v>
      </c>
      <c r="C64" s="166" t="s">
        <v>1638</v>
      </c>
      <c r="D64" s="166"/>
      <c r="E64" s="28">
        <v>40163.0</v>
      </c>
      <c r="F64" s="166">
        <v>16.0</v>
      </c>
      <c r="G64" s="166" t="s">
        <v>1576</v>
      </c>
      <c r="H64" s="166"/>
      <c r="I64" s="166">
        <v>0.0</v>
      </c>
      <c r="J64" s="166">
        <v>0.0</v>
      </c>
      <c r="K64" s="166">
        <v>0.0</v>
      </c>
      <c r="L64" s="234">
        <v>1.0</v>
      </c>
    </row>
    <row r="65">
      <c r="A65" s="235">
        <v>67.0</v>
      </c>
      <c r="B65" s="161">
        <v>2.2982124E7</v>
      </c>
      <c r="C65" s="161" t="s">
        <v>1639</v>
      </c>
      <c r="D65" s="161">
        <v>4.9982218E7</v>
      </c>
      <c r="E65" s="30">
        <v>40191.0</v>
      </c>
      <c r="F65" s="161">
        <v>15.0</v>
      </c>
      <c r="G65" s="161" t="s">
        <v>1576</v>
      </c>
      <c r="H65" s="161"/>
      <c r="I65" s="161">
        <v>0.0</v>
      </c>
      <c r="J65" s="161">
        <v>0.0</v>
      </c>
      <c r="K65" s="161">
        <v>0.0</v>
      </c>
      <c r="L65" s="236">
        <v>1.0</v>
      </c>
    </row>
    <row r="66">
      <c r="A66" s="233">
        <v>68.0</v>
      </c>
      <c r="B66" s="166">
        <v>2.2986617E7</v>
      </c>
      <c r="C66" s="166" t="s">
        <v>1640</v>
      </c>
      <c r="D66" s="166">
        <v>5.5761712E7</v>
      </c>
      <c r="E66" s="28">
        <v>43410.0</v>
      </c>
      <c r="F66" s="166">
        <v>7.0</v>
      </c>
      <c r="G66" s="166" t="s">
        <v>1576</v>
      </c>
      <c r="H66" s="166"/>
      <c r="I66" s="166">
        <v>0.0</v>
      </c>
      <c r="J66" s="166">
        <v>1.0</v>
      </c>
      <c r="K66" s="166">
        <v>0.0</v>
      </c>
      <c r="L66" s="234">
        <v>0.0</v>
      </c>
    </row>
    <row r="67">
      <c r="A67" s="235">
        <v>69.0</v>
      </c>
      <c r="B67" s="161">
        <v>2.3506497E7</v>
      </c>
      <c r="C67" s="161" t="s">
        <v>1641</v>
      </c>
      <c r="D67" s="161">
        <v>4.7575244E7</v>
      </c>
      <c r="E67" s="30">
        <v>39062.0</v>
      </c>
      <c r="F67" s="161">
        <v>19.0</v>
      </c>
      <c r="G67" s="161" t="s">
        <v>1576</v>
      </c>
      <c r="H67" s="161"/>
      <c r="I67" s="161">
        <v>0.0</v>
      </c>
      <c r="J67" s="161">
        <v>0.0</v>
      </c>
      <c r="K67" s="161">
        <v>0.0</v>
      </c>
      <c r="L67" s="236">
        <v>1.0</v>
      </c>
    </row>
    <row r="68">
      <c r="A68" s="233">
        <v>70.0</v>
      </c>
      <c r="B68" s="166">
        <v>2.3506497E7</v>
      </c>
      <c r="C68" s="166" t="s">
        <v>1642</v>
      </c>
      <c r="D68" s="166"/>
      <c r="E68" s="28">
        <v>36500.0</v>
      </c>
      <c r="F68" s="166">
        <v>26.0</v>
      </c>
      <c r="G68" s="166" t="s">
        <v>1576</v>
      </c>
      <c r="H68" s="166"/>
      <c r="I68" s="166">
        <v>0.0</v>
      </c>
      <c r="J68" s="166">
        <v>0.0</v>
      </c>
      <c r="K68" s="166">
        <v>0.0</v>
      </c>
      <c r="L68" s="234">
        <v>0.0</v>
      </c>
    </row>
    <row r="69">
      <c r="A69" s="235">
        <v>71.0</v>
      </c>
      <c r="B69" s="161">
        <v>2.3696368E7</v>
      </c>
      <c r="C69" s="161" t="s">
        <v>1643</v>
      </c>
      <c r="D69" s="161">
        <v>5.1221884E7</v>
      </c>
      <c r="E69" s="30">
        <v>40757.0</v>
      </c>
      <c r="F69" s="161">
        <v>14.0</v>
      </c>
      <c r="G69" s="161" t="s">
        <v>1576</v>
      </c>
      <c r="H69" s="161"/>
      <c r="I69" s="161">
        <v>0.0</v>
      </c>
      <c r="J69" s="161">
        <v>0.0</v>
      </c>
      <c r="K69" s="161">
        <v>0.0</v>
      </c>
      <c r="L69" s="236">
        <v>1.0</v>
      </c>
    </row>
    <row r="70">
      <c r="A70" s="233">
        <v>72.0</v>
      </c>
      <c r="B70" s="166">
        <v>2.4033237E7</v>
      </c>
      <c r="C70" s="166" t="s">
        <v>1644</v>
      </c>
      <c r="D70" s="166"/>
      <c r="E70" s="28">
        <v>39448.0</v>
      </c>
      <c r="F70" s="166">
        <v>17.0</v>
      </c>
      <c r="G70" s="166" t="s">
        <v>1576</v>
      </c>
      <c r="H70" s="166"/>
      <c r="I70" s="166">
        <v>0.0</v>
      </c>
      <c r="J70" s="166">
        <v>0.0</v>
      </c>
      <c r="K70" s="166">
        <v>0.0</v>
      </c>
      <c r="L70" s="234">
        <v>1.0</v>
      </c>
    </row>
    <row r="71">
      <c r="A71" s="235">
        <v>73.0</v>
      </c>
      <c r="B71" s="161">
        <v>2.4033237E7</v>
      </c>
      <c r="C71" s="161" t="s">
        <v>1645</v>
      </c>
      <c r="D71" s="161"/>
      <c r="E71" s="30">
        <v>40909.0</v>
      </c>
      <c r="F71" s="161">
        <v>13.0</v>
      </c>
      <c r="G71" s="161" t="s">
        <v>1576</v>
      </c>
      <c r="H71" s="161"/>
      <c r="I71" s="161">
        <v>0.0</v>
      </c>
      <c r="J71" s="161">
        <v>0.0</v>
      </c>
      <c r="K71" s="161">
        <v>0.0</v>
      </c>
      <c r="L71" s="236">
        <v>1.0</v>
      </c>
    </row>
    <row r="72">
      <c r="A72" s="233">
        <v>75.0</v>
      </c>
      <c r="B72" s="166">
        <v>2.5681364E7</v>
      </c>
      <c r="C72" s="166" t="s">
        <v>1646</v>
      </c>
      <c r="D72" s="166">
        <v>5.2768578E7</v>
      </c>
      <c r="E72" s="28">
        <v>41242.0</v>
      </c>
      <c r="F72" s="166">
        <v>13.0</v>
      </c>
      <c r="G72" s="166" t="s">
        <v>1576</v>
      </c>
      <c r="H72" s="166"/>
      <c r="I72" s="166">
        <v>0.0</v>
      </c>
      <c r="J72" s="166">
        <v>0.0</v>
      </c>
      <c r="K72" s="166">
        <v>0.0</v>
      </c>
      <c r="L72" s="234">
        <v>1.0</v>
      </c>
    </row>
    <row r="73">
      <c r="A73" s="235">
        <v>76.0</v>
      </c>
      <c r="B73" s="161">
        <v>2.5847688E7</v>
      </c>
      <c r="C73" s="161" t="s">
        <v>1647</v>
      </c>
      <c r="D73" s="161">
        <v>4.8446084E7</v>
      </c>
      <c r="E73" s="30">
        <v>39469.0</v>
      </c>
      <c r="F73" s="161">
        <v>17.0</v>
      </c>
      <c r="G73" s="161" t="s">
        <v>1576</v>
      </c>
      <c r="H73" s="161"/>
      <c r="I73" s="161">
        <v>0.0</v>
      </c>
      <c r="J73" s="161">
        <v>0.0</v>
      </c>
      <c r="K73" s="161">
        <v>0.0</v>
      </c>
      <c r="L73" s="236">
        <v>1.0</v>
      </c>
    </row>
    <row r="74">
      <c r="A74" s="233">
        <v>77.0</v>
      </c>
      <c r="B74" s="166">
        <v>2.5847688E7</v>
      </c>
      <c r="C74" s="166" t="s">
        <v>1648</v>
      </c>
      <c r="D74" s="166">
        <v>5.7018907E7</v>
      </c>
      <c r="E74" s="28">
        <v>43220.0</v>
      </c>
      <c r="F74" s="166">
        <v>7.0</v>
      </c>
      <c r="G74" s="166" t="s">
        <v>1576</v>
      </c>
      <c r="H74" s="166"/>
      <c r="I74" s="166">
        <v>0.0</v>
      </c>
      <c r="J74" s="166">
        <v>1.0</v>
      </c>
      <c r="K74" s="166">
        <v>0.0</v>
      </c>
      <c r="L74" s="234">
        <v>0.0</v>
      </c>
    </row>
    <row r="75">
      <c r="A75" s="235">
        <v>78.0</v>
      </c>
      <c r="B75" s="161">
        <v>2.7259537E7</v>
      </c>
      <c r="C75" s="161" t="s">
        <v>1649</v>
      </c>
      <c r="D75" s="161">
        <v>5.0678363E7</v>
      </c>
      <c r="E75" s="30">
        <v>40455.0</v>
      </c>
      <c r="F75" s="161">
        <v>15.0</v>
      </c>
      <c r="G75" s="161" t="s">
        <v>1576</v>
      </c>
      <c r="H75" s="161"/>
      <c r="I75" s="161">
        <v>0.0</v>
      </c>
      <c r="J75" s="161">
        <v>0.0</v>
      </c>
      <c r="K75" s="161">
        <v>0.0</v>
      </c>
      <c r="L75" s="236">
        <v>1.0</v>
      </c>
    </row>
    <row r="76">
      <c r="A76" s="233">
        <v>79.0</v>
      </c>
      <c r="B76" s="166">
        <v>2.7259537E7</v>
      </c>
      <c r="C76" s="166" t="s">
        <v>1650</v>
      </c>
      <c r="D76" s="166">
        <v>5.2656821E7</v>
      </c>
      <c r="E76" s="28">
        <v>41121.0</v>
      </c>
      <c r="F76" s="166">
        <v>13.0</v>
      </c>
      <c r="G76" s="166" t="s">
        <v>1576</v>
      </c>
      <c r="H76" s="166"/>
      <c r="I76" s="166">
        <v>0.0</v>
      </c>
      <c r="J76" s="166">
        <v>0.0</v>
      </c>
      <c r="K76" s="166">
        <v>0.0</v>
      </c>
      <c r="L76" s="234">
        <v>1.0</v>
      </c>
    </row>
    <row r="77">
      <c r="A77" s="235">
        <v>80.0</v>
      </c>
      <c r="B77" s="161">
        <v>2.7767903E7</v>
      </c>
      <c r="C77" s="161" t="s">
        <v>1651</v>
      </c>
      <c r="D77" s="161"/>
      <c r="E77" s="30">
        <v>43496.0</v>
      </c>
      <c r="F77" s="161">
        <v>6.0</v>
      </c>
      <c r="G77" s="161" t="s">
        <v>1576</v>
      </c>
      <c r="H77" s="161"/>
      <c r="I77" s="161">
        <v>0.0</v>
      </c>
      <c r="J77" s="161">
        <v>1.0</v>
      </c>
      <c r="K77" s="161">
        <v>0.0</v>
      </c>
      <c r="L77" s="236">
        <v>0.0</v>
      </c>
    </row>
    <row r="78">
      <c r="A78" s="233">
        <v>81.0</v>
      </c>
      <c r="B78" s="166">
        <v>2.8054001E7</v>
      </c>
      <c r="C78" s="166" t="s">
        <v>1652</v>
      </c>
      <c r="D78" s="166"/>
      <c r="E78" s="28">
        <v>37825.0</v>
      </c>
      <c r="F78" s="166">
        <v>22.0</v>
      </c>
      <c r="G78" s="166" t="s">
        <v>1576</v>
      </c>
      <c r="H78" s="166"/>
      <c r="I78" s="166">
        <v>0.0</v>
      </c>
      <c r="J78" s="166">
        <v>0.0</v>
      </c>
      <c r="K78" s="166">
        <v>0.0</v>
      </c>
      <c r="L78" s="234">
        <v>0.0</v>
      </c>
    </row>
    <row r="79">
      <c r="A79" s="235">
        <v>82.0</v>
      </c>
      <c r="B79" s="161">
        <v>2.8168835E7</v>
      </c>
      <c r="C79" s="161" t="s">
        <v>1653</v>
      </c>
      <c r="D79" s="161"/>
      <c r="E79" s="30">
        <v>37736.0</v>
      </c>
      <c r="F79" s="161">
        <v>22.0</v>
      </c>
      <c r="G79" s="161" t="s">
        <v>1576</v>
      </c>
      <c r="H79" s="161"/>
      <c r="I79" s="161">
        <v>0.0</v>
      </c>
      <c r="J79" s="161">
        <v>0.0</v>
      </c>
      <c r="K79" s="161">
        <v>0.0</v>
      </c>
      <c r="L79" s="236">
        <v>0.0</v>
      </c>
    </row>
    <row r="80">
      <c r="A80" s="233">
        <v>83.0</v>
      </c>
      <c r="B80" s="166">
        <v>2.8168835E7</v>
      </c>
      <c r="C80" s="166" t="s">
        <v>1654</v>
      </c>
      <c r="D80" s="166"/>
      <c r="E80" s="28">
        <v>39596.0</v>
      </c>
      <c r="F80" s="166">
        <v>17.0</v>
      </c>
      <c r="G80" s="166" t="s">
        <v>1576</v>
      </c>
      <c r="H80" s="166"/>
      <c r="I80" s="166">
        <v>0.0</v>
      </c>
      <c r="J80" s="166">
        <v>0.0</v>
      </c>
      <c r="K80" s="166">
        <v>0.0</v>
      </c>
      <c r="L80" s="234">
        <v>1.0</v>
      </c>
    </row>
    <row r="81">
      <c r="A81" s="235">
        <v>84.0</v>
      </c>
      <c r="B81" s="161">
        <v>2.8168835E7</v>
      </c>
      <c r="C81" s="161" t="s">
        <v>1655</v>
      </c>
      <c r="D81" s="161"/>
      <c r="E81" s="30">
        <v>40584.0</v>
      </c>
      <c r="F81" s="161">
        <v>14.0</v>
      </c>
      <c r="G81" s="161" t="s">
        <v>1576</v>
      </c>
      <c r="H81" s="161"/>
      <c r="I81" s="161">
        <v>0.0</v>
      </c>
      <c r="J81" s="161">
        <v>0.0</v>
      </c>
      <c r="K81" s="161">
        <v>0.0</v>
      </c>
      <c r="L81" s="236">
        <v>1.0</v>
      </c>
    </row>
    <row r="82">
      <c r="A82" s="233">
        <v>85.0</v>
      </c>
      <c r="B82" s="166">
        <v>2.8418896E7</v>
      </c>
      <c r="C82" s="166" t="s">
        <v>1656</v>
      </c>
      <c r="D82" s="166">
        <v>5.1576533E7</v>
      </c>
      <c r="E82" s="28">
        <v>40903.0</v>
      </c>
      <c r="F82" s="166">
        <v>14.0</v>
      </c>
      <c r="G82" s="166" t="s">
        <v>1576</v>
      </c>
      <c r="H82" s="166"/>
      <c r="I82" s="166">
        <v>0.0</v>
      </c>
      <c r="J82" s="166">
        <v>0.0</v>
      </c>
      <c r="K82" s="166">
        <v>0.0</v>
      </c>
      <c r="L82" s="234">
        <v>1.0</v>
      </c>
    </row>
    <row r="83">
      <c r="A83" s="235">
        <v>86.0</v>
      </c>
      <c r="B83" s="161">
        <v>2.8683156E7</v>
      </c>
      <c r="C83" s="161" t="s">
        <v>1657</v>
      </c>
      <c r="D83" s="161">
        <v>4.6122212E7</v>
      </c>
      <c r="E83" s="30">
        <v>38494.0</v>
      </c>
      <c r="F83" s="161">
        <v>20.0</v>
      </c>
      <c r="G83" s="161" t="s">
        <v>1576</v>
      </c>
      <c r="H83" s="161"/>
      <c r="I83" s="161">
        <v>0.0</v>
      </c>
      <c r="J83" s="161">
        <v>0.0</v>
      </c>
      <c r="K83" s="161">
        <v>0.0</v>
      </c>
      <c r="L83" s="236">
        <v>0.0</v>
      </c>
    </row>
    <row r="84">
      <c r="A84" s="233">
        <v>87.0</v>
      </c>
      <c r="B84" s="166">
        <v>2.8683156E7</v>
      </c>
      <c r="C84" s="166" t="s">
        <v>1658</v>
      </c>
      <c r="D84" s="166">
        <v>5.028852E7</v>
      </c>
      <c r="E84" s="28">
        <v>40303.0</v>
      </c>
      <c r="F84" s="166">
        <v>15.0</v>
      </c>
      <c r="G84" s="166" t="s">
        <v>1576</v>
      </c>
      <c r="H84" s="166"/>
      <c r="I84" s="166">
        <v>0.0</v>
      </c>
      <c r="J84" s="166">
        <v>0.0</v>
      </c>
      <c r="K84" s="166">
        <v>0.0</v>
      </c>
      <c r="L84" s="234">
        <v>1.0</v>
      </c>
    </row>
    <row r="85">
      <c r="A85" s="235">
        <v>88.0</v>
      </c>
      <c r="B85" s="161">
        <v>2.873501E7</v>
      </c>
      <c r="C85" s="161" t="s">
        <v>1659</v>
      </c>
      <c r="D85" s="161">
        <v>5.5070128E7</v>
      </c>
      <c r="E85" s="30">
        <v>42255.0</v>
      </c>
      <c r="F85" s="161">
        <v>10.0</v>
      </c>
      <c r="G85" s="161" t="s">
        <v>1576</v>
      </c>
      <c r="H85" s="161"/>
      <c r="I85" s="161">
        <v>0.0</v>
      </c>
      <c r="J85" s="161">
        <v>0.0</v>
      </c>
      <c r="K85" s="161">
        <v>1.0</v>
      </c>
      <c r="L85" s="236">
        <v>0.0</v>
      </c>
    </row>
    <row r="86">
      <c r="A86" s="233">
        <v>89.0</v>
      </c>
      <c r="B86" s="166">
        <v>2.873501E7</v>
      </c>
      <c r="C86" s="166" t="s">
        <v>1660</v>
      </c>
      <c r="D86" s="166">
        <v>5.6480283E7</v>
      </c>
      <c r="E86" s="28">
        <v>42736.0</v>
      </c>
      <c r="F86" s="166">
        <v>8.0</v>
      </c>
      <c r="G86" s="166" t="s">
        <v>1576</v>
      </c>
      <c r="H86" s="166"/>
      <c r="I86" s="166">
        <v>0.0</v>
      </c>
      <c r="J86" s="166">
        <v>1.0</v>
      </c>
      <c r="K86" s="166">
        <v>0.0</v>
      </c>
      <c r="L86" s="234">
        <v>0.0</v>
      </c>
    </row>
    <row r="87">
      <c r="A87" s="235">
        <v>90.0</v>
      </c>
      <c r="B87" s="161">
        <v>2.9319005E7</v>
      </c>
      <c r="C87" s="161" t="s">
        <v>1661</v>
      </c>
      <c r="D87" s="161">
        <v>5.5481578E7</v>
      </c>
      <c r="E87" s="30">
        <v>42442.0</v>
      </c>
      <c r="F87" s="161">
        <v>9.0</v>
      </c>
      <c r="G87" s="161" t="s">
        <v>1576</v>
      </c>
      <c r="H87" s="161"/>
      <c r="I87" s="161">
        <v>0.0</v>
      </c>
      <c r="J87" s="161">
        <v>0.0</v>
      </c>
      <c r="K87" s="161">
        <v>1.0</v>
      </c>
      <c r="L87" s="236">
        <v>0.0</v>
      </c>
    </row>
    <row r="88">
      <c r="A88" s="233">
        <v>91.0</v>
      </c>
      <c r="B88" s="166">
        <v>2.9400848E7</v>
      </c>
      <c r="C88" s="166" t="s">
        <v>1662</v>
      </c>
      <c r="D88" s="166">
        <v>5.7094406E7</v>
      </c>
      <c r="E88" s="28">
        <v>43295.0</v>
      </c>
      <c r="F88" s="166">
        <v>7.0</v>
      </c>
      <c r="G88" s="166" t="s">
        <v>1576</v>
      </c>
      <c r="H88" s="166"/>
      <c r="I88" s="166">
        <v>0.0</v>
      </c>
      <c r="J88" s="166">
        <v>1.0</v>
      </c>
      <c r="K88" s="166">
        <v>0.0</v>
      </c>
      <c r="L88" s="234">
        <v>0.0</v>
      </c>
    </row>
    <row r="89">
      <c r="A89" s="235">
        <v>92.0</v>
      </c>
      <c r="B89" s="161">
        <v>2.9697288E7</v>
      </c>
      <c r="C89" s="161" t="s">
        <v>1663</v>
      </c>
      <c r="D89" s="161"/>
      <c r="E89" s="30">
        <v>40878.0</v>
      </c>
      <c r="F89" s="161">
        <v>14.0</v>
      </c>
      <c r="G89" s="161" t="s">
        <v>1576</v>
      </c>
      <c r="H89" s="161"/>
      <c r="I89" s="161">
        <v>0.0</v>
      </c>
      <c r="J89" s="161">
        <v>0.0</v>
      </c>
      <c r="K89" s="161">
        <v>0.0</v>
      </c>
      <c r="L89" s="236">
        <v>1.0</v>
      </c>
    </row>
    <row r="90">
      <c r="A90" s="233">
        <v>93.0</v>
      </c>
      <c r="B90" s="166">
        <v>2.9697288E7</v>
      </c>
      <c r="C90" s="166" t="s">
        <v>1664</v>
      </c>
      <c r="D90" s="166"/>
      <c r="E90" s="28">
        <v>42482.0</v>
      </c>
      <c r="F90" s="166">
        <v>9.0</v>
      </c>
      <c r="G90" s="166" t="s">
        <v>1576</v>
      </c>
      <c r="H90" s="166"/>
      <c r="I90" s="166">
        <v>0.0</v>
      </c>
      <c r="J90" s="166">
        <v>0.0</v>
      </c>
      <c r="K90" s="166">
        <v>1.0</v>
      </c>
      <c r="L90" s="234">
        <v>0.0</v>
      </c>
    </row>
    <row r="91">
      <c r="A91" s="235">
        <v>96.0</v>
      </c>
      <c r="B91" s="161">
        <v>3.0455729E7</v>
      </c>
      <c r="C91" s="161" t="s">
        <v>1665</v>
      </c>
      <c r="D91" s="161">
        <v>4.6758287E7</v>
      </c>
      <c r="E91" s="30"/>
      <c r="F91" s="161">
        <v>126.0</v>
      </c>
      <c r="G91" s="161" t="s">
        <v>1576</v>
      </c>
      <c r="H91" s="161"/>
      <c r="I91" s="161">
        <v>0.0</v>
      </c>
      <c r="J91" s="161">
        <v>0.0</v>
      </c>
      <c r="K91" s="161">
        <v>0.0</v>
      </c>
      <c r="L91" s="236">
        <v>0.0</v>
      </c>
    </row>
    <row r="92">
      <c r="A92" s="233">
        <v>97.0</v>
      </c>
      <c r="B92" s="166">
        <v>3.0455729E7</v>
      </c>
      <c r="C92" s="166" t="s">
        <v>1666</v>
      </c>
      <c r="D92" s="166">
        <v>4.8338318E7</v>
      </c>
      <c r="E92" s="28"/>
      <c r="F92" s="166">
        <v>126.0</v>
      </c>
      <c r="G92" s="166" t="s">
        <v>1576</v>
      </c>
      <c r="H92" s="166"/>
      <c r="I92" s="166">
        <v>0.0</v>
      </c>
      <c r="J92" s="166">
        <v>0.0</v>
      </c>
      <c r="K92" s="166">
        <v>0.0</v>
      </c>
      <c r="L92" s="234">
        <v>0.0</v>
      </c>
    </row>
    <row r="93">
      <c r="A93" s="235">
        <v>98.0</v>
      </c>
      <c r="B93" s="161">
        <v>3.0455729E7</v>
      </c>
      <c r="C93" s="161" t="s">
        <v>1667</v>
      </c>
      <c r="D93" s="161">
        <v>5.0257321E7</v>
      </c>
      <c r="E93" s="30"/>
      <c r="F93" s="161">
        <v>126.0</v>
      </c>
      <c r="G93" s="161" t="s">
        <v>1576</v>
      </c>
      <c r="H93" s="161"/>
      <c r="I93" s="161">
        <v>0.0</v>
      </c>
      <c r="J93" s="161">
        <v>0.0</v>
      </c>
      <c r="K93" s="161">
        <v>0.0</v>
      </c>
      <c r="L93" s="236">
        <v>0.0</v>
      </c>
    </row>
    <row r="94">
      <c r="A94" s="233">
        <v>99.0</v>
      </c>
      <c r="B94" s="166">
        <v>3.0465419E7</v>
      </c>
      <c r="C94" s="166" t="s">
        <v>1668</v>
      </c>
      <c r="D94" s="166">
        <v>5.6141902E7</v>
      </c>
      <c r="E94" s="28">
        <v>40666.0</v>
      </c>
      <c r="F94" s="166">
        <v>14.0</v>
      </c>
      <c r="G94" s="166" t="s">
        <v>1576</v>
      </c>
      <c r="H94" s="166"/>
      <c r="I94" s="166">
        <v>0.0</v>
      </c>
      <c r="J94" s="166">
        <v>0.0</v>
      </c>
      <c r="K94" s="166">
        <v>0.0</v>
      </c>
      <c r="L94" s="234">
        <v>1.0</v>
      </c>
    </row>
    <row r="95">
      <c r="A95" s="235">
        <v>100.0</v>
      </c>
      <c r="B95" s="161">
        <v>3.0465419E7</v>
      </c>
      <c r="C95" s="161" t="s">
        <v>1669</v>
      </c>
      <c r="D95" s="161">
        <v>5.6475149E7</v>
      </c>
      <c r="E95" s="30">
        <v>42908.0</v>
      </c>
      <c r="F95" s="161">
        <v>8.0</v>
      </c>
      <c r="G95" s="161" t="s">
        <v>1576</v>
      </c>
      <c r="H95" s="161"/>
      <c r="I95" s="161">
        <v>0.0</v>
      </c>
      <c r="J95" s="161">
        <v>1.0</v>
      </c>
      <c r="K95" s="161">
        <v>0.0</v>
      </c>
      <c r="L95" s="236">
        <v>0.0</v>
      </c>
    </row>
    <row r="96">
      <c r="A96" s="233">
        <v>101.0</v>
      </c>
      <c r="B96" s="166">
        <v>3.1137587E7</v>
      </c>
      <c r="C96" s="166" t="s">
        <v>1670</v>
      </c>
      <c r="D96" s="166">
        <v>5.0156592E7</v>
      </c>
      <c r="E96" s="28">
        <v>40234.0</v>
      </c>
      <c r="F96" s="166">
        <v>15.0</v>
      </c>
      <c r="G96" s="166" t="s">
        <v>1576</v>
      </c>
      <c r="H96" s="166"/>
      <c r="I96" s="166">
        <v>0.0</v>
      </c>
      <c r="J96" s="166">
        <v>0.0</v>
      </c>
      <c r="K96" s="166">
        <v>0.0</v>
      </c>
      <c r="L96" s="234">
        <v>1.0</v>
      </c>
    </row>
    <row r="97">
      <c r="A97" s="235">
        <v>102.0</v>
      </c>
      <c r="B97" s="161">
        <v>3.1164406E7</v>
      </c>
      <c r="C97" s="161" t="s">
        <v>1671</v>
      </c>
      <c r="D97" s="161">
        <v>5.0707822E7</v>
      </c>
      <c r="E97" s="30">
        <v>40481.0</v>
      </c>
      <c r="F97" s="161">
        <v>15.0</v>
      </c>
      <c r="G97" s="161" t="s">
        <v>1576</v>
      </c>
      <c r="H97" s="161"/>
      <c r="I97" s="161">
        <v>0.0</v>
      </c>
      <c r="J97" s="161">
        <v>0.0</v>
      </c>
      <c r="K97" s="161">
        <v>0.0</v>
      </c>
      <c r="L97" s="236">
        <v>1.0</v>
      </c>
    </row>
    <row r="98">
      <c r="A98" s="233">
        <v>103.0</v>
      </c>
      <c r="B98" s="166">
        <v>3.1164406E7</v>
      </c>
      <c r="C98" s="166" t="s">
        <v>1672</v>
      </c>
      <c r="D98" s="166">
        <v>4.8524959E7</v>
      </c>
      <c r="E98" s="28">
        <v>39627.0</v>
      </c>
      <c r="F98" s="166">
        <v>17.0</v>
      </c>
      <c r="G98" s="166" t="s">
        <v>1576</v>
      </c>
      <c r="H98" s="166"/>
      <c r="I98" s="166">
        <v>0.0</v>
      </c>
      <c r="J98" s="166">
        <v>0.0</v>
      </c>
      <c r="K98" s="166">
        <v>0.0</v>
      </c>
      <c r="L98" s="234">
        <v>1.0</v>
      </c>
    </row>
    <row r="99">
      <c r="A99" s="235">
        <v>104.0</v>
      </c>
      <c r="B99" s="161">
        <v>3.1164406E7</v>
      </c>
      <c r="C99" s="161" t="s">
        <v>1673</v>
      </c>
      <c r="D99" s="161">
        <v>5.6280438E7</v>
      </c>
      <c r="E99" s="30">
        <v>42863.0</v>
      </c>
      <c r="F99" s="161">
        <v>8.0</v>
      </c>
      <c r="G99" s="161" t="s">
        <v>1576</v>
      </c>
      <c r="H99" s="161"/>
      <c r="I99" s="161">
        <v>0.0</v>
      </c>
      <c r="J99" s="161">
        <v>1.0</v>
      </c>
      <c r="K99" s="161">
        <v>0.0</v>
      </c>
      <c r="L99" s="236">
        <v>0.0</v>
      </c>
    </row>
    <row r="100">
      <c r="A100" s="233">
        <v>105.0</v>
      </c>
      <c r="B100" s="166">
        <v>3.1302984E7</v>
      </c>
      <c r="C100" s="166" t="s">
        <v>1674</v>
      </c>
      <c r="D100" s="166">
        <v>5.4699167E7</v>
      </c>
      <c r="E100" s="28">
        <v>42117.0</v>
      </c>
      <c r="F100" s="166">
        <v>10.0</v>
      </c>
      <c r="G100" s="166" t="s">
        <v>1576</v>
      </c>
      <c r="H100" s="166"/>
      <c r="I100" s="166">
        <v>0.0</v>
      </c>
      <c r="J100" s="166">
        <v>0.0</v>
      </c>
      <c r="K100" s="166">
        <v>1.0</v>
      </c>
      <c r="L100" s="234">
        <v>0.0</v>
      </c>
    </row>
    <row r="101">
      <c r="A101" s="235">
        <v>106.0</v>
      </c>
      <c r="B101" s="161">
        <v>3.140378E7</v>
      </c>
      <c r="C101" s="161" t="s">
        <v>1675</v>
      </c>
      <c r="D101" s="161"/>
      <c r="E101" s="30">
        <v>40115.0</v>
      </c>
      <c r="F101" s="161">
        <v>16.0</v>
      </c>
      <c r="G101" s="161" t="s">
        <v>1576</v>
      </c>
      <c r="H101" s="161"/>
      <c r="I101" s="161">
        <v>0.0</v>
      </c>
      <c r="J101" s="161">
        <v>0.0</v>
      </c>
      <c r="K101" s="161">
        <v>0.0</v>
      </c>
      <c r="L101" s="236">
        <v>1.0</v>
      </c>
    </row>
    <row r="102">
      <c r="A102" s="233">
        <v>107.0</v>
      </c>
      <c r="B102" s="166">
        <v>3.140378E7</v>
      </c>
      <c r="C102" s="166" t="s">
        <v>1676</v>
      </c>
      <c r="D102" s="166"/>
      <c r="E102" s="28">
        <v>41745.0</v>
      </c>
      <c r="F102" s="166">
        <v>11.0</v>
      </c>
      <c r="G102" s="166" t="s">
        <v>1576</v>
      </c>
      <c r="H102" s="166"/>
      <c r="I102" s="166">
        <v>0.0</v>
      </c>
      <c r="J102" s="166">
        <v>0.0</v>
      </c>
      <c r="K102" s="166">
        <v>1.0</v>
      </c>
      <c r="L102" s="234">
        <v>0.0</v>
      </c>
    </row>
    <row r="103">
      <c r="A103" s="235">
        <v>108.0</v>
      </c>
      <c r="B103" s="161">
        <v>3.1575604E7</v>
      </c>
      <c r="C103" s="161" t="s">
        <v>1677</v>
      </c>
      <c r="D103" s="161"/>
      <c r="E103" s="30">
        <v>40044.0</v>
      </c>
      <c r="F103" s="161">
        <v>16.0</v>
      </c>
      <c r="G103" s="161" t="s">
        <v>1576</v>
      </c>
      <c r="H103" s="161"/>
      <c r="I103" s="161">
        <v>0.0</v>
      </c>
      <c r="J103" s="161">
        <v>0.0</v>
      </c>
      <c r="K103" s="161">
        <v>0.0</v>
      </c>
      <c r="L103" s="236">
        <v>1.0</v>
      </c>
    </row>
    <row r="104">
      <c r="A104" s="233">
        <v>109.0</v>
      </c>
      <c r="B104" s="166">
        <v>3.2554313E7</v>
      </c>
      <c r="C104" s="166" t="s">
        <v>1678</v>
      </c>
      <c r="D104" s="166"/>
      <c r="E104" s="28">
        <v>39936.0</v>
      </c>
      <c r="F104" s="166">
        <v>16.0</v>
      </c>
      <c r="G104" s="166" t="s">
        <v>1576</v>
      </c>
      <c r="H104" s="166"/>
      <c r="I104" s="166">
        <v>0.0</v>
      </c>
      <c r="J104" s="166">
        <v>0.0</v>
      </c>
      <c r="K104" s="166">
        <v>0.0</v>
      </c>
      <c r="L104" s="234">
        <v>1.0</v>
      </c>
    </row>
    <row r="105">
      <c r="A105" s="235">
        <v>110.0</v>
      </c>
      <c r="B105" s="161">
        <v>3.2554313E7</v>
      </c>
      <c r="C105" s="161" t="s">
        <v>1679</v>
      </c>
      <c r="D105" s="161"/>
      <c r="E105" s="30">
        <v>42823.0</v>
      </c>
      <c r="F105" s="161">
        <v>8.0</v>
      </c>
      <c r="G105" s="161" t="s">
        <v>1576</v>
      </c>
      <c r="H105" s="161"/>
      <c r="I105" s="161">
        <v>0.0</v>
      </c>
      <c r="J105" s="161">
        <v>1.0</v>
      </c>
      <c r="K105" s="161">
        <v>0.0</v>
      </c>
      <c r="L105" s="236">
        <v>0.0</v>
      </c>
    </row>
    <row r="106">
      <c r="A106" s="233">
        <v>111.0</v>
      </c>
      <c r="B106" s="166">
        <v>3.3155103E7</v>
      </c>
      <c r="C106" s="166" t="s">
        <v>1680</v>
      </c>
      <c r="D106" s="166">
        <v>4.9008586E7</v>
      </c>
      <c r="E106" s="28">
        <v>39710.0</v>
      </c>
      <c r="F106" s="166">
        <v>17.0</v>
      </c>
      <c r="G106" s="166" t="s">
        <v>1576</v>
      </c>
      <c r="H106" s="166"/>
      <c r="I106" s="166">
        <v>0.0</v>
      </c>
      <c r="J106" s="166">
        <v>0.0</v>
      </c>
      <c r="K106" s="166">
        <v>0.0</v>
      </c>
      <c r="L106" s="234">
        <v>1.0</v>
      </c>
    </row>
    <row r="107">
      <c r="A107" s="235">
        <v>112.0</v>
      </c>
      <c r="B107" s="161">
        <v>3.442385E7</v>
      </c>
      <c r="C107" s="161" t="s">
        <v>1681</v>
      </c>
      <c r="D107" s="161">
        <v>4.8802503E7</v>
      </c>
      <c r="E107" s="30">
        <v>39658.0</v>
      </c>
      <c r="F107" s="161">
        <v>17.0</v>
      </c>
      <c r="G107" s="161" t="s">
        <v>1576</v>
      </c>
      <c r="H107" s="161"/>
      <c r="I107" s="161">
        <v>0.0</v>
      </c>
      <c r="J107" s="161">
        <v>0.0</v>
      </c>
      <c r="K107" s="161">
        <v>0.0</v>
      </c>
      <c r="L107" s="236">
        <v>1.0</v>
      </c>
    </row>
    <row r="108">
      <c r="A108" s="233">
        <v>113.0</v>
      </c>
      <c r="B108" s="166">
        <v>3.4436156E7</v>
      </c>
      <c r="C108" s="166" t="s">
        <v>1682</v>
      </c>
      <c r="D108" s="166">
        <v>5.4301982E7</v>
      </c>
      <c r="E108" s="28">
        <v>41911.0</v>
      </c>
      <c r="F108" s="166">
        <v>11.0</v>
      </c>
      <c r="G108" s="166" t="s">
        <v>1576</v>
      </c>
      <c r="H108" s="166"/>
      <c r="I108" s="166">
        <v>0.0</v>
      </c>
      <c r="J108" s="166">
        <v>0.0</v>
      </c>
      <c r="K108" s="166">
        <v>1.0</v>
      </c>
      <c r="L108" s="234">
        <v>0.0</v>
      </c>
    </row>
    <row r="109">
      <c r="A109" s="235">
        <v>115.0</v>
      </c>
      <c r="B109" s="161">
        <v>3.4871654E7</v>
      </c>
      <c r="C109" s="161" t="s">
        <v>1683</v>
      </c>
      <c r="D109" s="161">
        <v>5.277023E7</v>
      </c>
      <c r="E109" s="30">
        <v>41184.0</v>
      </c>
      <c r="F109" s="161">
        <v>13.0</v>
      </c>
      <c r="G109" s="161" t="s">
        <v>1576</v>
      </c>
      <c r="H109" s="161"/>
      <c r="I109" s="161">
        <v>0.0</v>
      </c>
      <c r="J109" s="161">
        <v>0.0</v>
      </c>
      <c r="K109" s="161">
        <v>0.0</v>
      </c>
      <c r="L109" s="236">
        <v>1.0</v>
      </c>
    </row>
    <row r="110">
      <c r="A110" s="233">
        <v>116.0</v>
      </c>
      <c r="B110" s="166">
        <v>3.4871654E7</v>
      </c>
      <c r="C110" s="166" t="s">
        <v>1684</v>
      </c>
      <c r="D110" s="166">
        <v>5.8454841E7</v>
      </c>
      <c r="E110" s="28">
        <v>44048.0</v>
      </c>
      <c r="F110" s="166">
        <v>5.0</v>
      </c>
      <c r="G110" s="166" t="s">
        <v>1576</v>
      </c>
      <c r="H110" s="166"/>
      <c r="I110" s="166">
        <v>1.0</v>
      </c>
      <c r="J110" s="166">
        <v>0.0</v>
      </c>
      <c r="K110" s="166">
        <v>0.0</v>
      </c>
      <c r="L110" s="234">
        <v>0.0</v>
      </c>
    </row>
    <row r="111">
      <c r="A111" s="235">
        <v>118.0</v>
      </c>
      <c r="B111" s="161">
        <v>3.5973296E7</v>
      </c>
      <c r="C111" s="161" t="s">
        <v>1685</v>
      </c>
      <c r="D111" s="161">
        <v>5.1267277E7</v>
      </c>
      <c r="E111" s="30">
        <v>40728.0</v>
      </c>
      <c r="F111" s="161">
        <v>14.0</v>
      </c>
      <c r="G111" s="161" t="s">
        <v>1576</v>
      </c>
      <c r="H111" s="161"/>
      <c r="I111" s="161">
        <v>0.0</v>
      </c>
      <c r="J111" s="161">
        <v>0.0</v>
      </c>
      <c r="K111" s="161">
        <v>0.0</v>
      </c>
      <c r="L111" s="236">
        <v>1.0</v>
      </c>
    </row>
    <row r="112">
      <c r="A112" s="233">
        <v>119.0</v>
      </c>
      <c r="B112" s="166">
        <v>3.5979324E7</v>
      </c>
      <c r="C112" s="166" t="s">
        <v>1686</v>
      </c>
      <c r="D112" s="166">
        <v>5.0322706E7</v>
      </c>
      <c r="E112" s="28">
        <v>40312.0</v>
      </c>
      <c r="F112" s="166">
        <v>15.0</v>
      </c>
      <c r="G112" s="166" t="s">
        <v>1576</v>
      </c>
      <c r="H112" s="166"/>
      <c r="I112" s="166">
        <v>0.0</v>
      </c>
      <c r="J112" s="166">
        <v>0.0</v>
      </c>
      <c r="K112" s="166">
        <v>0.0</v>
      </c>
      <c r="L112" s="234">
        <v>1.0</v>
      </c>
    </row>
    <row r="113">
      <c r="A113" s="235">
        <v>120.0</v>
      </c>
      <c r="B113" s="161">
        <v>3.6162205E7</v>
      </c>
      <c r="C113" s="161" t="s">
        <v>1687</v>
      </c>
      <c r="D113" s="161">
        <v>5.0289674E7</v>
      </c>
      <c r="E113" s="30">
        <v>40323.0</v>
      </c>
      <c r="F113" s="161">
        <v>15.0</v>
      </c>
      <c r="G113" s="161" t="s">
        <v>1576</v>
      </c>
      <c r="H113" s="161"/>
      <c r="I113" s="161">
        <v>0.0</v>
      </c>
      <c r="J113" s="161">
        <v>0.0</v>
      </c>
      <c r="K113" s="161">
        <v>0.0</v>
      </c>
      <c r="L113" s="236">
        <v>1.0</v>
      </c>
    </row>
    <row r="114">
      <c r="A114" s="233">
        <v>121.0</v>
      </c>
      <c r="B114" s="166">
        <v>3.6162205E7</v>
      </c>
      <c r="C114" s="166" t="s">
        <v>1688</v>
      </c>
      <c r="D114" s="166">
        <v>5.6482394E7</v>
      </c>
      <c r="E114" s="28">
        <v>42981.0</v>
      </c>
      <c r="F114" s="166">
        <v>8.0</v>
      </c>
      <c r="G114" s="166" t="s">
        <v>1576</v>
      </c>
      <c r="H114" s="166"/>
      <c r="I114" s="166">
        <v>0.0</v>
      </c>
      <c r="J114" s="166">
        <v>1.0</v>
      </c>
      <c r="K114" s="166">
        <v>0.0</v>
      </c>
      <c r="L114" s="234">
        <v>0.0</v>
      </c>
    </row>
    <row r="115">
      <c r="A115" s="235">
        <v>122.0</v>
      </c>
      <c r="B115" s="161">
        <v>3.6162205E7</v>
      </c>
      <c r="C115" s="161" t="s">
        <v>1689</v>
      </c>
      <c r="D115" s="161">
        <v>5.2446826E7</v>
      </c>
      <c r="E115" s="30">
        <v>40979.0</v>
      </c>
      <c r="F115" s="161">
        <v>13.0</v>
      </c>
      <c r="G115" s="161" t="s">
        <v>1576</v>
      </c>
      <c r="H115" s="161"/>
      <c r="I115" s="161">
        <v>0.0</v>
      </c>
      <c r="J115" s="161">
        <v>0.0</v>
      </c>
      <c r="K115" s="161">
        <v>0.0</v>
      </c>
      <c r="L115" s="236">
        <v>1.0</v>
      </c>
    </row>
    <row r="116">
      <c r="A116" s="233">
        <v>123.0</v>
      </c>
      <c r="B116" s="166">
        <v>3.6297487E7</v>
      </c>
      <c r="C116" s="166" t="s">
        <v>1690</v>
      </c>
      <c r="D116" s="166">
        <v>5.479255E7</v>
      </c>
      <c r="E116" s="28">
        <v>42108.0</v>
      </c>
      <c r="F116" s="166">
        <v>10.0</v>
      </c>
      <c r="G116" s="166" t="s">
        <v>1576</v>
      </c>
      <c r="H116" s="166"/>
      <c r="I116" s="166">
        <v>0.0</v>
      </c>
      <c r="J116" s="166">
        <v>0.0</v>
      </c>
      <c r="K116" s="166">
        <v>1.0</v>
      </c>
      <c r="L116" s="234">
        <v>0.0</v>
      </c>
    </row>
    <row r="117">
      <c r="A117" s="235">
        <v>124.0</v>
      </c>
      <c r="B117" s="161">
        <v>3.6297487E7</v>
      </c>
      <c r="C117" s="161" t="s">
        <v>1691</v>
      </c>
      <c r="D117" s="161">
        <v>5.8026189E7</v>
      </c>
      <c r="E117" s="30">
        <v>43766.0</v>
      </c>
      <c r="F117" s="161">
        <v>6.0</v>
      </c>
      <c r="G117" s="161" t="s">
        <v>1576</v>
      </c>
      <c r="H117" s="161"/>
      <c r="I117" s="161">
        <v>0.0</v>
      </c>
      <c r="J117" s="161">
        <v>1.0</v>
      </c>
      <c r="K117" s="161">
        <v>0.0</v>
      </c>
      <c r="L117" s="236">
        <v>0.0</v>
      </c>
    </row>
    <row r="118">
      <c r="A118" s="233">
        <v>125.0</v>
      </c>
      <c r="B118" s="166">
        <v>3.6297487E7</v>
      </c>
      <c r="C118" s="166" t="s">
        <v>1692</v>
      </c>
      <c r="D118" s="166">
        <v>5.8873165E7</v>
      </c>
      <c r="E118" s="28">
        <v>44361.0</v>
      </c>
      <c r="F118" s="166">
        <v>4.0</v>
      </c>
      <c r="G118" s="166" t="s">
        <v>1576</v>
      </c>
      <c r="H118" s="166"/>
      <c r="I118" s="166">
        <v>1.0</v>
      </c>
      <c r="J118" s="166">
        <v>0.0</v>
      </c>
      <c r="K118" s="166">
        <v>0.0</v>
      </c>
      <c r="L118" s="234">
        <v>0.0</v>
      </c>
    </row>
    <row r="119">
      <c r="A119" s="235">
        <v>126.0</v>
      </c>
      <c r="B119" s="161">
        <v>3.6375804E7</v>
      </c>
      <c r="C119" s="161" t="s">
        <v>1693</v>
      </c>
      <c r="D119" s="161">
        <v>5.973882E7</v>
      </c>
      <c r="E119" s="30">
        <v>45030.0</v>
      </c>
      <c r="F119" s="161">
        <v>2.0</v>
      </c>
      <c r="G119" s="161" t="s">
        <v>1576</v>
      </c>
      <c r="H119" s="161"/>
      <c r="I119" s="161">
        <v>0.0</v>
      </c>
      <c r="J119" s="161">
        <v>0.0</v>
      </c>
      <c r="K119" s="161">
        <v>0.0</v>
      </c>
      <c r="L119" s="236">
        <v>0.0</v>
      </c>
    </row>
    <row r="120">
      <c r="A120" s="233">
        <v>127.0</v>
      </c>
      <c r="B120" s="166">
        <v>3.6786519E7</v>
      </c>
      <c r="C120" s="166" t="s">
        <v>1694</v>
      </c>
      <c r="D120" s="166">
        <v>5.7651273E7</v>
      </c>
      <c r="E120" s="28">
        <v>43572.0</v>
      </c>
      <c r="F120" s="166">
        <v>6.0</v>
      </c>
      <c r="G120" s="166" t="s">
        <v>1576</v>
      </c>
      <c r="H120" s="166"/>
      <c r="I120" s="166">
        <v>0.0</v>
      </c>
      <c r="J120" s="166">
        <v>1.0</v>
      </c>
      <c r="K120" s="166">
        <v>0.0</v>
      </c>
      <c r="L120" s="234">
        <v>0.0</v>
      </c>
    </row>
    <row r="121">
      <c r="A121" s="235">
        <v>128.0</v>
      </c>
      <c r="B121" s="161">
        <v>3.7036332E7</v>
      </c>
      <c r="C121" s="161" t="s">
        <v>1695</v>
      </c>
      <c r="D121" s="161">
        <v>5.3653388E7</v>
      </c>
      <c r="E121" s="30">
        <v>41641.0</v>
      </c>
      <c r="F121" s="161">
        <v>11.0</v>
      </c>
      <c r="G121" s="161" t="s">
        <v>1576</v>
      </c>
      <c r="H121" s="161"/>
      <c r="I121" s="161">
        <v>0.0</v>
      </c>
      <c r="J121" s="161">
        <v>0.0</v>
      </c>
      <c r="K121" s="161">
        <v>1.0</v>
      </c>
      <c r="L121" s="236">
        <v>0.0</v>
      </c>
    </row>
    <row r="122">
      <c r="A122" s="233">
        <v>129.0</v>
      </c>
      <c r="B122" s="166">
        <v>3.7060301E7</v>
      </c>
      <c r="C122" s="166" t="s">
        <v>1696</v>
      </c>
      <c r="D122" s="166">
        <v>5.0274773E7</v>
      </c>
      <c r="E122" s="28">
        <v>40352.0</v>
      </c>
      <c r="F122" s="166">
        <v>15.0</v>
      </c>
      <c r="G122" s="166" t="s">
        <v>1576</v>
      </c>
      <c r="H122" s="166"/>
      <c r="I122" s="166">
        <v>0.0</v>
      </c>
      <c r="J122" s="166">
        <v>0.0</v>
      </c>
      <c r="K122" s="166">
        <v>0.0</v>
      </c>
      <c r="L122" s="234">
        <v>1.0</v>
      </c>
    </row>
    <row r="123">
      <c r="A123" s="235">
        <v>130.0</v>
      </c>
      <c r="B123" s="161">
        <v>3.7060301E7</v>
      </c>
      <c r="C123" s="161" t="s">
        <v>1697</v>
      </c>
      <c r="D123" s="161">
        <v>5.3284625E7</v>
      </c>
      <c r="E123" s="30">
        <v>41459.0</v>
      </c>
      <c r="F123" s="161">
        <v>12.0</v>
      </c>
      <c r="G123" s="161" t="s">
        <v>1576</v>
      </c>
      <c r="H123" s="161"/>
      <c r="I123" s="161">
        <v>0.0</v>
      </c>
      <c r="J123" s="161">
        <v>0.0</v>
      </c>
      <c r="K123" s="161">
        <v>0.0</v>
      </c>
      <c r="L123" s="236">
        <v>1.0</v>
      </c>
    </row>
    <row r="124">
      <c r="A124" s="233">
        <v>131.0</v>
      </c>
      <c r="B124" s="166">
        <v>3.7099313E7</v>
      </c>
      <c r="C124" s="166" t="s">
        <v>1698</v>
      </c>
      <c r="D124" s="166">
        <v>5.6998944E7</v>
      </c>
      <c r="E124" s="28">
        <v>43235.0</v>
      </c>
      <c r="F124" s="166">
        <v>7.0</v>
      </c>
      <c r="G124" s="166" t="s">
        <v>1576</v>
      </c>
      <c r="H124" s="166"/>
      <c r="I124" s="166">
        <v>0.0</v>
      </c>
      <c r="J124" s="166">
        <v>1.0</v>
      </c>
      <c r="K124" s="166">
        <v>0.0</v>
      </c>
      <c r="L124" s="234">
        <v>0.0</v>
      </c>
    </row>
    <row r="125">
      <c r="A125" s="235">
        <v>132.0</v>
      </c>
      <c r="B125" s="161">
        <v>3.7388128E7</v>
      </c>
      <c r="C125" s="161" t="s">
        <v>1699</v>
      </c>
      <c r="D125" s="161"/>
      <c r="E125" s="30">
        <v>41281.0</v>
      </c>
      <c r="F125" s="161">
        <v>12.0</v>
      </c>
      <c r="G125" s="161" t="s">
        <v>1576</v>
      </c>
      <c r="H125" s="161"/>
      <c r="I125" s="161">
        <v>0.0</v>
      </c>
      <c r="J125" s="161">
        <v>0.0</v>
      </c>
      <c r="K125" s="161">
        <v>0.0</v>
      </c>
      <c r="L125" s="236">
        <v>1.0</v>
      </c>
    </row>
    <row r="126">
      <c r="A126" s="233">
        <v>133.0</v>
      </c>
      <c r="B126" s="166">
        <v>3.7388128E7</v>
      </c>
      <c r="C126" s="166" t="s">
        <v>1700</v>
      </c>
      <c r="D126" s="166"/>
      <c r="E126" s="28">
        <v>42254.0</v>
      </c>
      <c r="F126" s="166">
        <v>10.0</v>
      </c>
      <c r="G126" s="166" t="s">
        <v>1576</v>
      </c>
      <c r="H126" s="166"/>
      <c r="I126" s="166">
        <v>0.0</v>
      </c>
      <c r="J126" s="166">
        <v>0.0</v>
      </c>
      <c r="K126" s="166">
        <v>1.0</v>
      </c>
      <c r="L126" s="234">
        <v>0.0</v>
      </c>
    </row>
    <row r="127">
      <c r="A127" s="235">
        <v>134.0</v>
      </c>
      <c r="B127" s="161">
        <v>3.7388128E7</v>
      </c>
      <c r="C127" s="161" t="s">
        <v>1701</v>
      </c>
      <c r="D127" s="161"/>
      <c r="E127" s="30">
        <v>43740.0</v>
      </c>
      <c r="F127" s="161">
        <v>6.0</v>
      </c>
      <c r="G127" s="161" t="s">
        <v>1576</v>
      </c>
      <c r="H127" s="161"/>
      <c r="I127" s="161">
        <v>0.0</v>
      </c>
      <c r="J127" s="161">
        <v>1.0</v>
      </c>
      <c r="K127" s="161">
        <v>0.0</v>
      </c>
      <c r="L127" s="236">
        <v>0.0</v>
      </c>
    </row>
    <row r="128">
      <c r="A128" s="233">
        <v>135.0</v>
      </c>
      <c r="B128" s="166">
        <v>3.7782026E7</v>
      </c>
      <c r="C128" s="166" t="s">
        <v>1702</v>
      </c>
      <c r="D128" s="166">
        <v>5.4519818E7</v>
      </c>
      <c r="E128" s="28">
        <v>42015.0</v>
      </c>
      <c r="F128" s="166">
        <v>10.0</v>
      </c>
      <c r="G128" s="166" t="s">
        <v>1576</v>
      </c>
      <c r="H128" s="166"/>
      <c r="I128" s="166">
        <v>0.0</v>
      </c>
      <c r="J128" s="166">
        <v>0.0</v>
      </c>
      <c r="K128" s="166">
        <v>1.0</v>
      </c>
      <c r="L128" s="234">
        <v>0.0</v>
      </c>
    </row>
    <row r="129">
      <c r="A129" s="235">
        <v>136.0</v>
      </c>
      <c r="B129" s="161">
        <v>3.7782026E7</v>
      </c>
      <c r="C129" s="161" t="s">
        <v>1703</v>
      </c>
      <c r="D129" s="161">
        <v>5.5885848E7</v>
      </c>
      <c r="E129" s="30">
        <v>42680.0</v>
      </c>
      <c r="F129" s="161">
        <v>9.0</v>
      </c>
      <c r="G129" s="161" t="s">
        <v>1576</v>
      </c>
      <c r="H129" s="161"/>
      <c r="I129" s="161">
        <v>0.0</v>
      </c>
      <c r="J129" s="161">
        <v>0.0</v>
      </c>
      <c r="K129" s="161">
        <v>1.0</v>
      </c>
      <c r="L129" s="236">
        <v>0.0</v>
      </c>
    </row>
    <row r="130">
      <c r="A130" s="233">
        <v>137.0</v>
      </c>
      <c r="B130" s="166">
        <v>3.8026805E7</v>
      </c>
      <c r="C130" s="166" t="s">
        <v>1704</v>
      </c>
      <c r="D130" s="166">
        <v>5.5761712E7</v>
      </c>
      <c r="E130" s="28">
        <v>42604.0</v>
      </c>
      <c r="F130" s="166">
        <v>9.0</v>
      </c>
      <c r="G130" s="166" t="s">
        <v>1576</v>
      </c>
      <c r="H130" s="166"/>
      <c r="I130" s="166">
        <v>0.0</v>
      </c>
      <c r="J130" s="166">
        <v>0.0</v>
      </c>
      <c r="K130" s="166">
        <v>1.0</v>
      </c>
      <c r="L130" s="234">
        <v>0.0</v>
      </c>
    </row>
    <row r="131">
      <c r="A131" s="235">
        <v>138.0</v>
      </c>
      <c r="B131" s="161">
        <v>3.816591E7</v>
      </c>
      <c r="C131" s="161" t="s">
        <v>1705</v>
      </c>
      <c r="D131" s="161">
        <v>5.4055608E7</v>
      </c>
      <c r="E131" s="30">
        <v>41808.0</v>
      </c>
      <c r="F131" s="161">
        <v>11.0</v>
      </c>
      <c r="G131" s="161" t="s">
        <v>1576</v>
      </c>
      <c r="H131" s="161"/>
      <c r="I131" s="161">
        <v>0.0</v>
      </c>
      <c r="J131" s="161">
        <v>0.0</v>
      </c>
      <c r="K131" s="161">
        <v>1.0</v>
      </c>
      <c r="L131" s="236">
        <v>0.0</v>
      </c>
    </row>
    <row r="132">
      <c r="A132" s="233">
        <v>139.0</v>
      </c>
      <c r="B132" s="166">
        <v>3.816591E7</v>
      </c>
      <c r="C132" s="166" t="s">
        <v>1706</v>
      </c>
      <c r="D132" s="166">
        <v>5.6052831E7</v>
      </c>
      <c r="E132" s="28">
        <v>42763.0</v>
      </c>
      <c r="F132" s="166">
        <v>8.0</v>
      </c>
      <c r="G132" s="166" t="s">
        <v>1576</v>
      </c>
      <c r="H132" s="166"/>
      <c r="I132" s="166">
        <v>0.0</v>
      </c>
      <c r="J132" s="166">
        <v>1.0</v>
      </c>
      <c r="K132" s="166">
        <v>0.0</v>
      </c>
      <c r="L132" s="234">
        <v>0.0</v>
      </c>
    </row>
    <row r="133">
      <c r="A133" s="235">
        <v>140.0</v>
      </c>
      <c r="B133" s="161">
        <v>3.8625889E7</v>
      </c>
      <c r="C133" s="161" t="s">
        <v>1707</v>
      </c>
      <c r="D133" s="161">
        <v>5.8050642E7</v>
      </c>
      <c r="E133" s="30">
        <v>43780.0</v>
      </c>
      <c r="F133" s="161">
        <v>6.0</v>
      </c>
      <c r="G133" s="161" t="s">
        <v>1576</v>
      </c>
      <c r="H133" s="161"/>
      <c r="I133" s="161">
        <v>0.0</v>
      </c>
      <c r="J133" s="161">
        <v>1.0</v>
      </c>
      <c r="K133" s="161">
        <v>0.0</v>
      </c>
      <c r="L133" s="236">
        <v>0.0</v>
      </c>
    </row>
    <row r="134">
      <c r="A134" s="233">
        <v>141.0</v>
      </c>
      <c r="B134" s="166">
        <v>3.8838668E7</v>
      </c>
      <c r="C134" s="166" t="s">
        <v>1708</v>
      </c>
      <c r="D134" s="166">
        <v>5.4352952E7</v>
      </c>
      <c r="E134" s="28">
        <v>41936.0</v>
      </c>
      <c r="F134" s="166">
        <v>11.0</v>
      </c>
      <c r="G134" s="166" t="s">
        <v>1576</v>
      </c>
      <c r="H134" s="166"/>
      <c r="I134" s="166">
        <v>0.0</v>
      </c>
      <c r="J134" s="166">
        <v>0.0</v>
      </c>
      <c r="K134" s="166">
        <v>1.0</v>
      </c>
      <c r="L134" s="234">
        <v>0.0</v>
      </c>
    </row>
    <row r="135">
      <c r="A135" s="235">
        <v>143.0</v>
      </c>
      <c r="B135" s="161">
        <v>3.9464452E7</v>
      </c>
      <c r="C135" s="161" t="s">
        <v>1709</v>
      </c>
      <c r="D135" s="161">
        <v>5.6180642E7</v>
      </c>
      <c r="E135" s="30">
        <v>42808.0</v>
      </c>
      <c r="F135" s="161">
        <v>8.0</v>
      </c>
      <c r="G135" s="161" t="s">
        <v>1576</v>
      </c>
      <c r="H135" s="161"/>
      <c r="I135" s="161">
        <v>0.0</v>
      </c>
      <c r="J135" s="161">
        <v>1.0</v>
      </c>
      <c r="K135" s="161">
        <v>0.0</v>
      </c>
      <c r="L135" s="236">
        <v>0.0</v>
      </c>
    </row>
    <row r="136">
      <c r="A136" s="233">
        <v>144.0</v>
      </c>
      <c r="B136" s="166">
        <v>3.9962767E7</v>
      </c>
      <c r="C136" s="166" t="s">
        <v>1710</v>
      </c>
      <c r="D136" s="166">
        <v>5.3600042E7</v>
      </c>
      <c r="E136" s="28">
        <v>41627.0</v>
      </c>
      <c r="F136" s="166">
        <v>12.0</v>
      </c>
      <c r="G136" s="166" t="s">
        <v>1576</v>
      </c>
      <c r="H136" s="166"/>
      <c r="I136" s="166">
        <v>0.0</v>
      </c>
      <c r="J136" s="166">
        <v>0.0</v>
      </c>
      <c r="K136" s="166">
        <v>0.0</v>
      </c>
      <c r="L136" s="234">
        <v>1.0</v>
      </c>
    </row>
    <row r="137">
      <c r="A137" s="235">
        <v>145.0</v>
      </c>
      <c r="B137" s="161">
        <v>4.0133136E7</v>
      </c>
      <c r="C137" s="161" t="s">
        <v>1711</v>
      </c>
      <c r="D137" s="161">
        <v>5.5869445E7</v>
      </c>
      <c r="E137" s="30">
        <v>42658.0</v>
      </c>
      <c r="F137" s="161">
        <v>9.0</v>
      </c>
      <c r="G137" s="161" t="s">
        <v>1576</v>
      </c>
      <c r="H137" s="161"/>
      <c r="I137" s="161">
        <v>0.0</v>
      </c>
      <c r="J137" s="161">
        <v>0.0</v>
      </c>
      <c r="K137" s="161">
        <v>1.0</v>
      </c>
      <c r="L137" s="236">
        <v>0.0</v>
      </c>
    </row>
    <row r="138">
      <c r="A138" s="233">
        <v>146.0</v>
      </c>
      <c r="B138" s="166">
        <v>4.0133136E7</v>
      </c>
      <c r="C138" s="166" t="s">
        <v>1712</v>
      </c>
      <c r="D138" s="166">
        <v>5.9693785E7</v>
      </c>
      <c r="E138" s="28">
        <v>44945.0</v>
      </c>
      <c r="F138" s="166">
        <v>2.0</v>
      </c>
      <c r="G138" s="166" t="s">
        <v>1576</v>
      </c>
      <c r="H138" s="166"/>
      <c r="I138" s="166">
        <v>0.0</v>
      </c>
      <c r="J138" s="166">
        <v>0.0</v>
      </c>
      <c r="K138" s="166">
        <v>0.0</v>
      </c>
      <c r="L138" s="234">
        <v>0.0</v>
      </c>
    </row>
    <row r="139">
      <c r="A139" s="235">
        <v>147.0</v>
      </c>
      <c r="B139" s="161">
        <v>4.0137655E7</v>
      </c>
      <c r="C139" s="161" t="s">
        <v>1713</v>
      </c>
      <c r="D139" s="161">
        <v>5.8804044E7</v>
      </c>
      <c r="E139" s="30">
        <v>44297.0</v>
      </c>
      <c r="F139" s="161">
        <v>4.0</v>
      </c>
      <c r="G139" s="161" t="s">
        <v>1576</v>
      </c>
      <c r="H139" s="161"/>
      <c r="I139" s="161">
        <v>1.0</v>
      </c>
      <c r="J139" s="161">
        <v>0.0</v>
      </c>
      <c r="K139" s="161">
        <v>0.0</v>
      </c>
      <c r="L139" s="236">
        <v>0.0</v>
      </c>
    </row>
    <row r="140">
      <c r="A140" s="233">
        <v>150.0</v>
      </c>
      <c r="B140" s="166">
        <v>4.258637E7</v>
      </c>
      <c r="C140" s="166" t="s">
        <v>1714</v>
      </c>
      <c r="D140" s="166">
        <v>5.829578E7</v>
      </c>
      <c r="E140" s="28">
        <v>43946.0</v>
      </c>
      <c r="F140" s="166">
        <v>5.0</v>
      </c>
      <c r="G140" s="166" t="s">
        <v>1576</v>
      </c>
      <c r="H140" s="166"/>
      <c r="I140" s="166">
        <v>1.0</v>
      </c>
      <c r="J140" s="166">
        <v>0.0</v>
      </c>
      <c r="K140" s="166">
        <v>0.0</v>
      </c>
      <c r="L140" s="234">
        <v>0.0</v>
      </c>
    </row>
    <row r="141">
      <c r="A141" s="235">
        <v>152.0</v>
      </c>
      <c r="B141" s="161">
        <v>4.49638E7</v>
      </c>
      <c r="C141" s="161" t="s">
        <v>1715</v>
      </c>
      <c r="D141" s="161">
        <v>5.862097E7</v>
      </c>
      <c r="E141" s="30">
        <v>44198.0</v>
      </c>
      <c r="F141" s="161">
        <v>4.0</v>
      </c>
      <c r="G141" s="161" t="s">
        <v>1576</v>
      </c>
      <c r="H141" s="161"/>
      <c r="I141" s="161">
        <v>1.0</v>
      </c>
      <c r="J141" s="161">
        <v>0.0</v>
      </c>
      <c r="K141" s="161">
        <v>0.0</v>
      </c>
      <c r="L141" s="236">
        <v>0.0</v>
      </c>
    </row>
    <row r="142">
      <c r="A142" s="233">
        <v>153.0</v>
      </c>
      <c r="B142" s="166">
        <v>9.3895929E7</v>
      </c>
      <c r="C142" s="166" t="s">
        <v>1716</v>
      </c>
      <c r="D142" s="166"/>
      <c r="E142" s="28">
        <v>44209.0</v>
      </c>
      <c r="F142" s="166">
        <v>4.0</v>
      </c>
      <c r="G142" s="166" t="s">
        <v>1576</v>
      </c>
      <c r="H142" s="166"/>
      <c r="I142" s="166">
        <v>1.0</v>
      </c>
      <c r="J142" s="166">
        <v>0.0</v>
      </c>
      <c r="K142" s="166">
        <v>0.0</v>
      </c>
      <c r="L142" s="234">
        <v>0.0</v>
      </c>
    </row>
    <row r="143">
      <c r="A143" s="235">
        <v>154.0</v>
      </c>
      <c r="B143" s="161">
        <v>9.3996095E7</v>
      </c>
      <c r="C143" s="161" t="s">
        <v>1587</v>
      </c>
      <c r="D143" s="161">
        <v>5.0289552E7</v>
      </c>
      <c r="E143" s="30">
        <v>40323.0</v>
      </c>
      <c r="F143" s="161">
        <v>15.0</v>
      </c>
      <c r="G143" s="161" t="s">
        <v>1576</v>
      </c>
      <c r="H143" s="161"/>
      <c r="I143" s="161">
        <v>0.0</v>
      </c>
      <c r="J143" s="161">
        <v>0.0</v>
      </c>
      <c r="K143" s="161">
        <v>0.0</v>
      </c>
      <c r="L143" s="236">
        <v>1.0</v>
      </c>
    </row>
    <row r="144">
      <c r="A144" s="233">
        <v>155.0</v>
      </c>
      <c r="B144" s="166">
        <v>9.3996095E7</v>
      </c>
      <c r="C144" s="166" t="s">
        <v>1717</v>
      </c>
      <c r="D144" s="166">
        <v>4.9002705E7</v>
      </c>
      <c r="E144" s="28">
        <v>39910.0</v>
      </c>
      <c r="F144" s="166">
        <v>16.0</v>
      </c>
      <c r="G144" s="166" t="s">
        <v>1576</v>
      </c>
      <c r="H144" s="166"/>
      <c r="I144" s="166">
        <v>0.0</v>
      </c>
      <c r="J144" s="166">
        <v>0.0</v>
      </c>
      <c r="K144" s="166">
        <v>0.0</v>
      </c>
      <c r="L144" s="234">
        <v>1.0</v>
      </c>
    </row>
    <row r="145">
      <c r="A145" s="235">
        <v>156.0</v>
      </c>
      <c r="B145" s="161">
        <v>9.4087495E7</v>
      </c>
      <c r="C145" s="161" t="s">
        <v>1718</v>
      </c>
      <c r="D145" s="161"/>
      <c r="E145" s="30">
        <v>42354.0</v>
      </c>
      <c r="F145" s="161">
        <v>10.0</v>
      </c>
      <c r="G145" s="161" t="s">
        <v>1576</v>
      </c>
      <c r="H145" s="161"/>
      <c r="I145" s="161">
        <v>0.0</v>
      </c>
      <c r="J145" s="161">
        <v>0.0</v>
      </c>
      <c r="K145" s="161">
        <v>1.0</v>
      </c>
      <c r="L145" s="236">
        <v>0.0</v>
      </c>
    </row>
    <row r="146">
      <c r="A146" s="233">
        <v>157.0</v>
      </c>
      <c r="B146" s="166">
        <v>9.4290896E7</v>
      </c>
      <c r="C146" s="166" t="s">
        <v>1719</v>
      </c>
      <c r="D146" s="166">
        <v>5.6282538E7</v>
      </c>
      <c r="E146" s="28">
        <v>42851.0</v>
      </c>
      <c r="F146" s="166">
        <v>8.0</v>
      </c>
      <c r="G146" s="166" t="s">
        <v>1576</v>
      </c>
      <c r="H146" s="166"/>
      <c r="I146" s="166">
        <v>0.0</v>
      </c>
      <c r="J146" s="166">
        <v>1.0</v>
      </c>
      <c r="K146" s="166">
        <v>0.0</v>
      </c>
      <c r="L146" s="234">
        <v>0.0</v>
      </c>
    </row>
    <row r="147">
      <c r="A147" s="235">
        <v>158.0</v>
      </c>
      <c r="B147" s="161">
        <v>9.4521109E7</v>
      </c>
      <c r="C147" s="161" t="s">
        <v>1720</v>
      </c>
      <c r="D147" s="161"/>
      <c r="E147" s="30">
        <v>43513.0</v>
      </c>
      <c r="F147" s="161">
        <v>6.0</v>
      </c>
      <c r="G147" s="161" t="s">
        <v>1576</v>
      </c>
      <c r="H147" s="161"/>
      <c r="I147" s="161">
        <v>0.0</v>
      </c>
      <c r="J147" s="161">
        <v>1.0</v>
      </c>
      <c r="K147" s="161">
        <v>0.0</v>
      </c>
      <c r="L147" s="236">
        <v>0.0</v>
      </c>
    </row>
    <row r="148">
      <c r="A148" s="233">
        <v>159.0</v>
      </c>
      <c r="B148" s="166">
        <v>9.5040589E7</v>
      </c>
      <c r="C148" s="166" t="s">
        <v>1721</v>
      </c>
      <c r="D148" s="166">
        <v>5.5389451E7</v>
      </c>
      <c r="E148" s="28">
        <v>42398.0</v>
      </c>
      <c r="F148" s="166">
        <v>9.0</v>
      </c>
      <c r="G148" s="166" t="s">
        <v>1576</v>
      </c>
      <c r="H148" s="166"/>
      <c r="I148" s="166">
        <v>0.0</v>
      </c>
      <c r="J148" s="166">
        <v>0.0</v>
      </c>
      <c r="K148" s="166">
        <v>1.0</v>
      </c>
      <c r="L148" s="234">
        <v>0.0</v>
      </c>
    </row>
    <row r="149">
      <c r="A149" s="235">
        <v>160.0</v>
      </c>
      <c r="B149" s="161">
        <v>1.0000016E7</v>
      </c>
      <c r="C149" s="161" t="s">
        <v>1722</v>
      </c>
      <c r="D149" s="161">
        <v>5.6482959E7</v>
      </c>
      <c r="E149" s="30">
        <v>42962.0</v>
      </c>
      <c r="F149" s="161">
        <v>8.0</v>
      </c>
      <c r="G149" s="161" t="s">
        <v>1576</v>
      </c>
      <c r="H149" s="161"/>
      <c r="I149" s="161">
        <v>0.0</v>
      </c>
      <c r="J149" s="161">
        <v>1.0</v>
      </c>
      <c r="K149" s="161">
        <v>0.0</v>
      </c>
      <c r="L149" s="236">
        <v>0.0</v>
      </c>
    </row>
    <row r="150">
      <c r="A150" s="233">
        <v>161.0</v>
      </c>
      <c r="B150" s="166">
        <v>1.0000017E7</v>
      </c>
      <c r="C150" s="166" t="s">
        <v>1723</v>
      </c>
      <c r="D150" s="166">
        <v>5.3814583E7</v>
      </c>
      <c r="E150" s="28">
        <v>41719.0</v>
      </c>
      <c r="F150" s="166">
        <v>11.0</v>
      </c>
      <c r="G150" s="166" t="s">
        <v>1576</v>
      </c>
      <c r="H150" s="166"/>
      <c r="I150" s="166">
        <v>0.0</v>
      </c>
      <c r="J150" s="166">
        <v>0.0</v>
      </c>
      <c r="K150" s="166">
        <v>1.0</v>
      </c>
      <c r="L150" s="234">
        <v>0.0</v>
      </c>
    </row>
    <row r="151">
      <c r="A151" s="235">
        <v>162.0</v>
      </c>
      <c r="B151" s="161">
        <v>1.0000017E7</v>
      </c>
      <c r="C151" s="161" t="s">
        <v>1724</v>
      </c>
      <c r="D151" s="161">
        <v>5.5180992E7</v>
      </c>
      <c r="E151" s="30">
        <v>42350.0</v>
      </c>
      <c r="F151" s="161">
        <v>10.0</v>
      </c>
      <c r="G151" s="161" t="s">
        <v>1576</v>
      </c>
      <c r="H151" s="161"/>
      <c r="I151" s="161">
        <v>0.0</v>
      </c>
      <c r="J151" s="161">
        <v>0.0</v>
      </c>
      <c r="K151" s="161">
        <v>1.0</v>
      </c>
      <c r="L151" s="236">
        <v>0.0</v>
      </c>
    </row>
    <row r="152">
      <c r="A152" s="233">
        <v>163.0</v>
      </c>
      <c r="B152" s="166">
        <v>1.0000018E7</v>
      </c>
      <c r="C152" s="166" t="s">
        <v>1725</v>
      </c>
      <c r="D152" s="166">
        <v>5.7523452E7</v>
      </c>
      <c r="E152" s="28">
        <v>43503.0</v>
      </c>
      <c r="F152" s="166">
        <v>6.0</v>
      </c>
      <c r="G152" s="166" t="s">
        <v>1576</v>
      </c>
      <c r="H152" s="166"/>
      <c r="I152" s="166">
        <v>0.0</v>
      </c>
      <c r="J152" s="166">
        <v>1.0</v>
      </c>
      <c r="K152" s="166">
        <v>0.0</v>
      </c>
      <c r="L152" s="234">
        <v>0.0</v>
      </c>
    </row>
    <row r="153">
      <c r="A153" s="235">
        <v>164.0</v>
      </c>
      <c r="B153" s="161">
        <v>1.0000018E7</v>
      </c>
      <c r="C153" s="161" t="s">
        <v>1726</v>
      </c>
      <c r="D153" s="161">
        <v>5.9246931E7</v>
      </c>
      <c r="E153" s="30">
        <v>44657.0</v>
      </c>
      <c r="F153" s="161">
        <v>3.0</v>
      </c>
      <c r="G153" s="161" t="s">
        <v>1576</v>
      </c>
      <c r="H153" s="161"/>
      <c r="I153" s="161">
        <v>0.0</v>
      </c>
      <c r="J153" s="161">
        <v>0.0</v>
      </c>
      <c r="K153" s="161">
        <v>0.0</v>
      </c>
      <c r="L153" s="236">
        <v>0.0</v>
      </c>
    </row>
    <row r="154">
      <c r="A154" s="233">
        <v>165.0</v>
      </c>
      <c r="B154" s="166">
        <v>1.0000019E7</v>
      </c>
      <c r="C154" s="166" t="s">
        <v>1727</v>
      </c>
      <c r="D154" s="166">
        <v>5.4525502E7</v>
      </c>
      <c r="E154" s="28">
        <v>42057.0</v>
      </c>
      <c r="F154" s="166">
        <v>10.0</v>
      </c>
      <c r="G154" s="166" t="s">
        <v>1576</v>
      </c>
      <c r="H154" s="166"/>
      <c r="I154" s="166">
        <v>0.0</v>
      </c>
      <c r="J154" s="166">
        <v>0.0</v>
      </c>
      <c r="K154" s="166">
        <v>1.0</v>
      </c>
      <c r="L154" s="234">
        <v>0.0</v>
      </c>
    </row>
    <row r="155">
      <c r="A155" s="235">
        <v>166.0</v>
      </c>
      <c r="B155" s="161">
        <v>1.000002E7</v>
      </c>
      <c r="C155" s="161" t="s">
        <v>1728</v>
      </c>
      <c r="D155" s="161">
        <v>5.4299563E7</v>
      </c>
      <c r="E155" s="30">
        <v>41910.0</v>
      </c>
      <c r="F155" s="161">
        <v>11.0</v>
      </c>
      <c r="G155" s="161" t="s">
        <v>1576</v>
      </c>
      <c r="H155" s="161"/>
      <c r="I155" s="161">
        <v>0.0</v>
      </c>
      <c r="J155" s="161">
        <v>0.0</v>
      </c>
      <c r="K155" s="161">
        <v>1.0</v>
      </c>
      <c r="L155" s="236">
        <v>0.0</v>
      </c>
    </row>
    <row r="156">
      <c r="A156" s="233">
        <v>167.0</v>
      </c>
      <c r="B156" s="166">
        <v>1.000002E7</v>
      </c>
      <c r="C156" s="166" t="s">
        <v>1729</v>
      </c>
      <c r="D156" s="166">
        <v>5.7477622E7</v>
      </c>
      <c r="E156" s="28">
        <v>43505.0</v>
      </c>
      <c r="F156" s="166">
        <v>6.0</v>
      </c>
      <c r="G156" s="166" t="s">
        <v>1576</v>
      </c>
      <c r="H156" s="166"/>
      <c r="I156" s="166">
        <v>0.0</v>
      </c>
      <c r="J156" s="166">
        <v>1.0</v>
      </c>
      <c r="K156" s="166">
        <v>0.0</v>
      </c>
      <c r="L156" s="234">
        <v>0.0</v>
      </c>
    </row>
    <row r="157">
      <c r="A157" s="235">
        <v>168.0</v>
      </c>
      <c r="B157" s="161">
        <v>1.0000021E7</v>
      </c>
      <c r="C157" s="161" t="s">
        <v>1730</v>
      </c>
      <c r="D157" s="161">
        <v>9.5765873E7</v>
      </c>
      <c r="E157" s="30">
        <v>39128.0</v>
      </c>
      <c r="F157" s="161">
        <v>18.0</v>
      </c>
      <c r="G157" s="161" t="s">
        <v>1576</v>
      </c>
      <c r="H157" s="161"/>
      <c r="I157" s="161">
        <v>0.0</v>
      </c>
      <c r="J157" s="161">
        <v>0.0</v>
      </c>
      <c r="K157" s="161">
        <v>0.0</v>
      </c>
      <c r="L157" s="236">
        <v>1.0</v>
      </c>
    </row>
    <row r="158">
      <c r="A158" s="233">
        <v>169.0</v>
      </c>
      <c r="B158" s="166">
        <v>3.9066896E7</v>
      </c>
      <c r="C158" s="166" t="s">
        <v>1148</v>
      </c>
      <c r="D158" s="166">
        <v>3.7113751E7</v>
      </c>
      <c r="E158" s="28">
        <v>42618.0</v>
      </c>
      <c r="F158" s="166">
        <v>9.0</v>
      </c>
      <c r="G158" s="166"/>
      <c r="H158" s="166"/>
      <c r="I158" s="166">
        <v>0.0</v>
      </c>
      <c r="J158" s="166">
        <v>0.0</v>
      </c>
      <c r="K158" s="166">
        <v>1.0</v>
      </c>
      <c r="L158" s="234">
        <v>0.0</v>
      </c>
    </row>
    <row r="159">
      <c r="A159" s="67">
        <v>167.0</v>
      </c>
      <c r="B159" s="68">
        <v>2.79330531E8</v>
      </c>
      <c r="C159" s="68" t="s">
        <v>1731</v>
      </c>
      <c r="D159" s="68">
        <v>4.9087221E7</v>
      </c>
      <c r="E159" s="60">
        <v>39773.0</v>
      </c>
      <c r="F159" s="68">
        <v>17.0</v>
      </c>
      <c r="G159" s="68"/>
      <c r="H159" s="68"/>
      <c r="I159" s="68">
        <v>0.0</v>
      </c>
      <c r="J159" s="68">
        <v>0.0</v>
      </c>
      <c r="K159" s="68">
        <v>0.0</v>
      </c>
      <c r="L159" s="237">
        <v>1.0</v>
      </c>
    </row>
  </sheetData>
  <dataValidations>
    <dataValidation type="custom" allowBlank="1" showDropDown="1" sqref="E2:E159">
      <formula1>OR(NOT(ISERROR(DATEVALUE(E2))), AND(ISNUMBER(E2), LEFT(CELL("format", E2))="D"))</formula1>
    </dataValidation>
  </dataValidations>
  <drawing r:id="rId1"/>
  <tableParts count="1">
    <tablePart r:id="rId3"/>
  </tableParts>
</worksheet>
</file>